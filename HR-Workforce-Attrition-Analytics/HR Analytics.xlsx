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weta\Downloads\Project\Project - HR Analytics\IBM HR Analytics Employee Attrition Dataset\"/>
    </mc:Choice>
  </mc:AlternateContent>
  <xr:revisionPtr revIDLastSave="0" documentId="13_ncr:1_{75A16B58-EDB2-4292-A704-8F8F3C8BA485}" xr6:coauthVersionLast="47" xr6:coauthVersionMax="47" xr10:uidLastSave="{00000000-0000-0000-0000-000000000000}"/>
  <bookViews>
    <workbookView xWindow="-120" yWindow="-120" windowWidth="20730" windowHeight="11160" tabRatio="413" xr2:uid="{00955EB1-7ED0-40B3-99D9-7566ED0BD33B}"/>
  </bookViews>
  <sheets>
    <sheet name="Dashboard" sheetId="8" r:id="rId1"/>
    <sheet name="HR_Data" sheetId="2" r:id="rId2"/>
    <sheet name="Data_Audit" sheetId="3" r:id="rId3"/>
    <sheet name="Pivot_Table" sheetId="5" r:id="rId4"/>
  </sheets>
  <definedNames>
    <definedName name="_xlnm._FilterDatabase" localSheetId="2" hidden="1">Data_Audit!$A$8:$K$9</definedName>
    <definedName name="_xlcn.WorksheetConnection_HRAttritionproject.xlsxHR_Data1" hidden="1">HR_Data[]</definedName>
    <definedName name="ExternalData_1" localSheetId="1" hidden="1">HR_Data!$A$1:$O$1471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Data" name="HR_Data" connection="WorksheetConnection_HR Attrition project.xlsx!HR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8" l="1"/>
  <c r="C3" i="8"/>
  <c r="A9" i="8"/>
  <c r="A7" i="8"/>
  <c r="A5" i="8"/>
  <c r="A3" i="8"/>
  <c r="T2" i="2" a="1"/>
  <c r="T2" i="2" s="1"/>
  <c r="T3" i="2" a="1"/>
  <c r="T3" i="2"/>
  <c r="T4" i="2" a="1"/>
  <c r="T4" i="2" s="1"/>
  <c r="T5" i="2" a="1"/>
  <c r="T5" i="2"/>
  <c r="T6" i="2" a="1"/>
  <c r="T6" i="2" s="1"/>
  <c r="T7" i="2" a="1"/>
  <c r="T7" i="2" s="1"/>
  <c r="T8" i="2" a="1"/>
  <c r="T8" i="2" s="1"/>
  <c r="T9" i="2" a="1"/>
  <c r="T9" i="2"/>
  <c r="T10" i="2" a="1"/>
  <c r="T10" i="2" s="1"/>
  <c r="T11" i="2" a="1"/>
  <c r="T11" i="2"/>
  <c r="T12" i="2" a="1"/>
  <c r="T12" i="2" s="1"/>
  <c r="T13" i="2" a="1"/>
  <c r="T13" i="2"/>
  <c r="T14" i="2" a="1"/>
  <c r="T14" i="2" s="1"/>
  <c r="T15" i="2" a="1"/>
  <c r="T15" i="2" s="1"/>
  <c r="T16" i="2" a="1"/>
  <c r="T16" i="2" s="1"/>
  <c r="T17" i="2" a="1"/>
  <c r="T17" i="2"/>
  <c r="T18" i="2" a="1"/>
  <c r="T18" i="2" s="1"/>
  <c r="T19" i="2" a="1"/>
  <c r="T19" i="2"/>
  <c r="T20" i="2" a="1"/>
  <c r="T20" i="2" s="1"/>
  <c r="T21" i="2" a="1"/>
  <c r="T21" i="2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/>
  <c r="T28" i="2" a="1"/>
  <c r="T28" i="2" s="1"/>
  <c r="T29" i="2" a="1"/>
  <c r="T29" i="2"/>
  <c r="T30" i="2" a="1"/>
  <c r="T30" i="2" s="1"/>
  <c r="T31" i="2" a="1"/>
  <c r="T31" i="2" s="1"/>
  <c r="T32" i="2" a="1"/>
  <c r="T32" i="2" s="1"/>
  <c r="T33" i="2" a="1"/>
  <c r="T33" i="2"/>
  <c r="T34" i="2" a="1"/>
  <c r="T34" i="2" s="1"/>
  <c r="T35" i="2" a="1"/>
  <c r="T35" i="2"/>
  <c r="T36" i="2" a="1"/>
  <c r="T36" i="2" s="1"/>
  <c r="T37" i="2" a="1"/>
  <c r="T37" i="2"/>
  <c r="T38" i="2" a="1"/>
  <c r="T38" i="2" s="1"/>
  <c r="T39" i="2" a="1"/>
  <c r="T39" i="2" s="1"/>
  <c r="T40" i="2" a="1"/>
  <c r="T40" i="2" s="1"/>
  <c r="T41" i="2" a="1"/>
  <c r="T41" i="2"/>
  <c r="T42" i="2" a="1"/>
  <c r="T42" i="2" s="1"/>
  <c r="T43" i="2" a="1"/>
  <c r="T43" i="2"/>
  <c r="T44" i="2" a="1"/>
  <c r="T44" i="2" s="1"/>
  <c r="T45" i="2" a="1"/>
  <c r="T45" i="2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/>
  <c r="T52" i="2" a="1"/>
  <c r="T52" i="2" s="1"/>
  <c r="T53" i="2" a="1"/>
  <c r="T53" i="2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/>
  <c r="T60" i="2" a="1"/>
  <c r="T60" i="2" s="1"/>
  <c r="T61" i="2" a="1"/>
  <c r="T61" i="2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/>
  <c r="T68" i="2" a="1"/>
  <c r="T68" i="2" s="1"/>
  <c r="T69" i="2" a="1"/>
  <c r="T69" i="2"/>
  <c r="T70" i="2" a="1"/>
  <c r="T70" i="2" s="1"/>
  <c r="T71" i="2" a="1"/>
  <c r="T71" i="2" s="1"/>
  <c r="T72" i="2" a="1"/>
  <c r="T72" i="2" s="1"/>
  <c r="T73" i="2" a="1"/>
  <c r="T73" i="2"/>
  <c r="T74" i="2" a="1"/>
  <c r="T74" i="2" s="1"/>
  <c r="T75" i="2" a="1"/>
  <c r="T75" i="2"/>
  <c r="T76" i="2" a="1"/>
  <c r="T76" i="2" s="1"/>
  <c r="T77" i="2" a="1"/>
  <c r="T77" i="2"/>
  <c r="T78" i="2" a="1"/>
  <c r="T78" i="2" s="1"/>
  <c r="T79" i="2" a="1"/>
  <c r="T79" i="2" s="1"/>
  <c r="T80" i="2" a="1"/>
  <c r="T80" i="2" s="1"/>
  <c r="T81" i="2" a="1"/>
  <c r="T81" i="2"/>
  <c r="T82" i="2" a="1"/>
  <c r="T82" i="2" s="1"/>
  <c r="T83" i="2" a="1"/>
  <c r="T83" i="2"/>
  <c r="T84" i="2" a="1"/>
  <c r="T84" i="2" s="1"/>
  <c r="T85" i="2" a="1"/>
  <c r="T85" i="2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/>
  <c r="T92" i="2" a="1"/>
  <c r="T92" i="2" s="1"/>
  <c r="T93" i="2" a="1"/>
  <c r="T93" i="2"/>
  <c r="T94" i="2" a="1"/>
  <c r="T94" i="2" s="1"/>
  <c r="T95" i="2" a="1"/>
  <c r="T95" i="2" s="1"/>
  <c r="T96" i="2" a="1"/>
  <c r="T96" i="2" s="1"/>
  <c r="T97" i="2" a="1"/>
  <c r="T97" i="2"/>
  <c r="T98" i="2" a="1"/>
  <c r="T98" i="2" s="1"/>
  <c r="T99" i="2" a="1"/>
  <c r="T99" i="2"/>
  <c r="T100" i="2" a="1"/>
  <c r="T100" i="2" s="1"/>
  <c r="T101" i="2" a="1"/>
  <c r="T101" i="2"/>
  <c r="T102" i="2" a="1"/>
  <c r="T102" i="2" s="1"/>
  <c r="T103" i="2" a="1"/>
  <c r="T103" i="2" s="1"/>
  <c r="T104" i="2" a="1"/>
  <c r="T104" i="2" s="1"/>
  <c r="T105" i="2" a="1"/>
  <c r="T105" i="2"/>
  <c r="T106" i="2" a="1"/>
  <c r="T106" i="2" s="1"/>
  <c r="T107" i="2" a="1"/>
  <c r="T107" i="2"/>
  <c r="T108" i="2" a="1"/>
  <c r="T108" i="2" s="1"/>
  <c r="T109" i="2" a="1"/>
  <c r="T109" i="2"/>
  <c r="T110" i="2" a="1"/>
  <c r="T110" i="2" s="1"/>
  <c r="T111" i="2" a="1"/>
  <c r="T111" i="2" s="1"/>
  <c r="T112" i="2" a="1"/>
  <c r="T112" i="2" s="1"/>
  <c r="T113" i="2" a="1"/>
  <c r="T113" i="2"/>
  <c r="T114" i="2" a="1"/>
  <c r="T114" i="2" s="1"/>
  <c r="T115" i="2" a="1"/>
  <c r="T115" i="2"/>
  <c r="T116" i="2" a="1"/>
  <c r="T116" i="2" s="1"/>
  <c r="T117" i="2" a="1"/>
  <c r="T117" i="2"/>
  <c r="T118" i="2" a="1"/>
  <c r="T118" i="2" s="1"/>
  <c r="T119" i="2" a="1"/>
  <c r="T119" i="2" s="1"/>
  <c r="T120" i="2" a="1"/>
  <c r="T120" i="2" s="1"/>
  <c r="T121" i="2" a="1"/>
  <c r="T121" i="2" s="1"/>
  <c r="T122" i="2" a="1"/>
  <c r="T122" i="2" s="1"/>
  <c r="T123" i="2" a="1"/>
  <c r="T123" i="2"/>
  <c r="T124" i="2" a="1"/>
  <c r="T124" i="2" s="1"/>
  <c r="T125" i="2" a="1"/>
  <c r="T125" i="2"/>
  <c r="T126" i="2" a="1"/>
  <c r="T126" i="2" s="1"/>
  <c r="T127" i="2" a="1"/>
  <c r="T127" i="2" s="1"/>
  <c r="T128" i="2" a="1"/>
  <c r="T128" i="2" s="1"/>
  <c r="T129" i="2" a="1"/>
  <c r="T129" i="2"/>
  <c r="T130" i="2" a="1"/>
  <c r="T130" i="2" s="1"/>
  <c r="T131" i="2" a="1"/>
  <c r="T131" i="2"/>
  <c r="T132" i="2" a="1"/>
  <c r="T132" i="2" s="1"/>
  <c r="T133" i="2" a="1"/>
  <c r="T133" i="2"/>
  <c r="T134" i="2" a="1"/>
  <c r="T134" i="2" s="1"/>
  <c r="T135" i="2" a="1"/>
  <c r="T135" i="2" s="1"/>
  <c r="T136" i="2" a="1"/>
  <c r="T136" i="2" s="1"/>
  <c r="T137" i="2" a="1"/>
  <c r="T137" i="2"/>
  <c r="T138" i="2" a="1"/>
  <c r="T138" i="2" s="1"/>
  <c r="T139" i="2" a="1"/>
  <c r="T139" i="2"/>
  <c r="T140" i="2" a="1"/>
  <c r="T140" i="2" s="1"/>
  <c r="T141" i="2" a="1"/>
  <c r="T141" i="2"/>
  <c r="T142" i="2" a="1"/>
  <c r="T142" i="2" s="1"/>
  <c r="T143" i="2" a="1"/>
  <c r="T143" i="2" s="1"/>
  <c r="T144" i="2" a="1"/>
  <c r="T144" i="2" s="1"/>
  <c r="T145" i="2" a="1"/>
  <c r="T145" i="2"/>
  <c r="T146" i="2" a="1"/>
  <c r="T146" i="2" s="1"/>
  <c r="T147" i="2" a="1"/>
  <c r="T147" i="2"/>
  <c r="T148" i="2" a="1"/>
  <c r="T148" i="2" s="1"/>
  <c r="T149" i="2" a="1"/>
  <c r="T149" i="2"/>
  <c r="T150" i="2" a="1"/>
  <c r="T150" i="2" s="1"/>
  <c r="T151" i="2" a="1"/>
  <c r="T151" i="2" s="1"/>
  <c r="T152" i="2" a="1"/>
  <c r="T152" i="2" s="1"/>
  <c r="T153" i="2" a="1"/>
  <c r="T153" i="2" s="1"/>
  <c r="T154" i="2" a="1"/>
  <c r="T154" i="2" s="1"/>
  <c r="T155" i="2" a="1"/>
  <c r="T155" i="2"/>
  <c r="T156" i="2" a="1"/>
  <c r="T156" i="2" s="1"/>
  <c r="T157" i="2" a="1"/>
  <c r="T157" i="2"/>
  <c r="T158" i="2" a="1"/>
  <c r="T158" i="2" s="1"/>
  <c r="T159" i="2" a="1"/>
  <c r="T159" i="2" s="1"/>
  <c r="T160" i="2" a="1"/>
  <c r="T160" i="2" s="1"/>
  <c r="T161" i="2" a="1"/>
  <c r="T161" i="2"/>
  <c r="T162" i="2" a="1"/>
  <c r="T162" i="2" s="1"/>
  <c r="T163" i="2" a="1"/>
  <c r="T163" i="2"/>
  <c r="T164" i="2" a="1"/>
  <c r="T164" i="2" s="1"/>
  <c r="T165" i="2" a="1"/>
  <c r="T165" i="2"/>
  <c r="T166" i="2" a="1"/>
  <c r="T166" i="2" s="1"/>
  <c r="T167" i="2" a="1"/>
  <c r="T167" i="2" s="1"/>
  <c r="T168" i="2" a="1"/>
  <c r="T168" i="2" s="1"/>
  <c r="T169" i="2" a="1"/>
  <c r="T169" i="2"/>
  <c r="T170" i="2" a="1"/>
  <c r="T170" i="2" s="1"/>
  <c r="T171" i="2" a="1"/>
  <c r="T171" i="2"/>
  <c r="T172" i="2" a="1"/>
  <c r="T172" i="2" s="1"/>
  <c r="T173" i="2" a="1"/>
  <c r="T173" i="2"/>
  <c r="T174" i="2" a="1"/>
  <c r="T174" i="2" s="1"/>
  <c r="T175" i="2" a="1"/>
  <c r="T175" i="2"/>
  <c r="T176" i="2" a="1"/>
  <c r="T176" i="2" s="1"/>
  <c r="T177" i="2" a="1"/>
  <c r="T177" i="2"/>
  <c r="T178" i="2" a="1"/>
  <c r="T178" i="2" s="1"/>
  <c r="T179" i="2" a="1"/>
  <c r="T179" i="2"/>
  <c r="T180" i="2" a="1"/>
  <c r="T180" i="2" s="1"/>
  <c r="T181" i="2" a="1"/>
  <c r="T181" i="2" s="1"/>
  <c r="T182" i="2" a="1"/>
  <c r="T182" i="2" s="1"/>
  <c r="T183" i="2" a="1"/>
  <c r="T183" i="2" s="1"/>
  <c r="T184" i="2" a="1"/>
  <c r="T184" i="2" s="1"/>
  <c r="T185" i="2" a="1"/>
  <c r="T185" i="2"/>
  <c r="T186" i="2" a="1"/>
  <c r="T186" i="2" s="1"/>
  <c r="T187" i="2" a="1"/>
  <c r="T187" i="2"/>
  <c r="T188" i="2" a="1"/>
  <c r="T188" i="2" s="1"/>
  <c r="T189" i="2" a="1"/>
  <c r="T189" i="2" s="1"/>
  <c r="T190" i="2" a="1"/>
  <c r="T190" i="2" s="1"/>
  <c r="T191" i="2" a="1"/>
  <c r="T191" i="2"/>
  <c r="T192" i="2" a="1"/>
  <c r="T192" i="2" s="1"/>
  <c r="T193" i="2" a="1"/>
  <c r="T193" i="2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/>
  <c r="T200" i="2" a="1"/>
  <c r="T200" i="2" s="1"/>
  <c r="T201" i="2" a="1"/>
  <c r="T201" i="2"/>
  <c r="T202" i="2" a="1"/>
  <c r="T202" i="2" s="1"/>
  <c r="T203" i="2" a="1"/>
  <c r="T203" i="2"/>
  <c r="T204" i="2" a="1"/>
  <c r="T204" i="2" s="1"/>
  <c r="T205" i="2" a="1"/>
  <c r="T205" i="2" s="1"/>
  <c r="T206" i="2" a="1"/>
  <c r="T206" i="2" s="1"/>
  <c r="T207" i="2" a="1"/>
  <c r="T207" i="2" s="1"/>
  <c r="T208" i="2" a="1"/>
  <c r="T208" i="2" s="1"/>
  <c r="T209" i="2" a="1"/>
  <c r="T209" i="2"/>
  <c r="T210" i="2" a="1"/>
  <c r="T210" i="2" s="1"/>
  <c r="T211" i="2" a="1"/>
  <c r="T211" i="2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/>
  <c r="T218" i="2" a="1"/>
  <c r="T218" i="2" s="1"/>
  <c r="T219" i="2" a="1"/>
  <c r="T219" i="2"/>
  <c r="T220" i="2" a="1"/>
  <c r="T220" i="2" s="1"/>
  <c r="T221" i="2" a="1"/>
  <c r="T221" i="2" s="1"/>
  <c r="T222" i="2" a="1"/>
  <c r="T222" i="2" s="1"/>
  <c r="T223" i="2" a="1"/>
  <c r="T223" i="2"/>
  <c r="T224" i="2" a="1"/>
  <c r="T224" i="2" s="1"/>
  <c r="T225" i="2" a="1"/>
  <c r="T225" i="2"/>
  <c r="T226" i="2" a="1"/>
  <c r="T226" i="2" s="1"/>
  <c r="T227" i="2" a="1"/>
  <c r="T227" i="2"/>
  <c r="T228" i="2" a="1"/>
  <c r="T228" i="2" s="1"/>
  <c r="T229" i="2" a="1"/>
  <c r="T229" i="2" s="1"/>
  <c r="T230" i="2" a="1"/>
  <c r="T230" i="2" s="1"/>
  <c r="T231" i="2" a="1"/>
  <c r="T231" i="2"/>
  <c r="T232" i="2" a="1"/>
  <c r="T232" i="2" s="1"/>
  <c r="T233" i="2" a="1"/>
  <c r="T233" i="2"/>
  <c r="T234" i="2" a="1"/>
  <c r="T234" i="2" s="1"/>
  <c r="T235" i="2" a="1"/>
  <c r="T235" i="2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/>
  <c r="T242" i="2" a="1"/>
  <c r="T242" i="2" s="1"/>
  <c r="T243" i="2" a="1"/>
  <c r="T243" i="2"/>
  <c r="T244" i="2" a="1"/>
  <c r="T244" i="2" s="1"/>
  <c r="T245" i="2" a="1"/>
  <c r="T245" i="2" s="1"/>
  <c r="T246" i="2" a="1"/>
  <c r="T246" i="2" s="1"/>
  <c r="T247" i="2" a="1"/>
  <c r="T247" i="2"/>
  <c r="T248" i="2" a="1"/>
  <c r="T248" i="2" s="1"/>
  <c r="T249" i="2" a="1"/>
  <c r="T249" i="2"/>
  <c r="T250" i="2" a="1"/>
  <c r="T250" i="2" s="1"/>
  <c r="T251" i="2" a="1"/>
  <c r="T251" i="2"/>
  <c r="T252" i="2" a="1"/>
  <c r="T252" i="2" s="1"/>
  <c r="T253" i="2" a="1"/>
  <c r="T253" i="2" s="1"/>
  <c r="T254" i="2" a="1"/>
  <c r="T254" i="2" s="1"/>
  <c r="T255" i="2" a="1"/>
  <c r="T255" i="2"/>
  <c r="T256" i="2" a="1"/>
  <c r="T256" i="2" s="1"/>
  <c r="T257" i="2" a="1"/>
  <c r="T257" i="2"/>
  <c r="T258" i="2" a="1"/>
  <c r="T258" i="2" s="1"/>
  <c r="T259" i="2" a="1"/>
  <c r="T259" i="2"/>
  <c r="T260" i="2" a="1"/>
  <c r="T260" i="2" s="1"/>
  <c r="T261" i="2" a="1"/>
  <c r="T261" i="2" s="1"/>
  <c r="T262" i="2" a="1"/>
  <c r="T262" i="2" s="1"/>
  <c r="T263" i="2" a="1"/>
  <c r="T263" i="2"/>
  <c r="T264" i="2" a="1"/>
  <c r="T264" i="2" s="1"/>
  <c r="T265" i="2" a="1"/>
  <c r="T265" i="2"/>
  <c r="T266" i="2" a="1"/>
  <c r="T266" i="2" s="1"/>
  <c r="T267" i="2" a="1"/>
  <c r="T267" i="2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/>
  <c r="T274" i="2" a="1"/>
  <c r="T274" i="2" s="1"/>
  <c r="T275" i="2" a="1"/>
  <c r="T275" i="2"/>
  <c r="T276" i="2" a="1"/>
  <c r="T276" i="2" s="1"/>
  <c r="T277" i="2" a="1"/>
  <c r="T277" i="2" s="1"/>
  <c r="T278" i="2" a="1"/>
  <c r="T278" i="2" s="1"/>
  <c r="T279" i="2" a="1"/>
  <c r="T279" i="2"/>
  <c r="T280" i="2" a="1"/>
  <c r="T280" i="2" s="1"/>
  <c r="T281" i="2" a="1"/>
  <c r="T281" i="2"/>
  <c r="T282" i="2" a="1"/>
  <c r="T282" i="2" s="1"/>
  <c r="T283" i="2" a="1"/>
  <c r="T283" i="2"/>
  <c r="T284" i="2" a="1"/>
  <c r="T284" i="2" s="1"/>
  <c r="T285" i="2" a="1"/>
  <c r="T285" i="2" s="1"/>
  <c r="T286" i="2" a="1"/>
  <c r="T286" i="2" s="1"/>
  <c r="T287" i="2" a="1"/>
  <c r="T287" i="2"/>
  <c r="T288" i="2" a="1"/>
  <c r="T288" i="2" s="1"/>
  <c r="T289" i="2" a="1"/>
  <c r="T289" i="2"/>
  <c r="T290" i="2" a="1"/>
  <c r="T290" i="2" s="1"/>
  <c r="T291" i="2" a="1"/>
  <c r="T291" i="2"/>
  <c r="T292" i="2" a="1"/>
  <c r="T292" i="2" s="1"/>
  <c r="T293" i="2" a="1"/>
  <c r="T293" i="2" s="1"/>
  <c r="T294" i="2" a="1"/>
  <c r="T294" i="2" s="1"/>
  <c r="T295" i="2" a="1"/>
  <c r="T295" i="2"/>
  <c r="T296" i="2" a="1"/>
  <c r="T296" i="2" s="1"/>
  <c r="T297" i="2" a="1"/>
  <c r="T297" i="2"/>
  <c r="T298" i="2" a="1"/>
  <c r="T298" i="2" s="1"/>
  <c r="T299" i="2" a="1"/>
  <c r="T299" i="2"/>
  <c r="T300" i="2" a="1"/>
  <c r="T300" i="2"/>
  <c r="T301" i="2" a="1"/>
  <c r="T301" i="2"/>
  <c r="T302" i="2" a="1"/>
  <c r="T302" i="2"/>
  <c r="T303" i="2" a="1"/>
  <c r="T303" i="2"/>
  <c r="T304" i="2" a="1"/>
  <c r="T304" i="2"/>
  <c r="T305" i="2" a="1"/>
  <c r="T305" i="2"/>
  <c r="T306" i="2" a="1"/>
  <c r="T306" i="2"/>
  <c r="T307" i="2" a="1"/>
  <c r="T307" i="2" s="1"/>
  <c r="T308" i="2" a="1"/>
  <c r="T308" i="2" s="1"/>
  <c r="T309" i="2" a="1"/>
  <c r="T309" i="2" s="1"/>
  <c r="T310" i="2" a="1"/>
  <c r="T310" i="2"/>
  <c r="T311" i="2" a="1"/>
  <c r="T311" i="2" s="1"/>
  <c r="T312" i="2" a="1"/>
  <c r="T312" i="2"/>
  <c r="T313" i="2" a="1"/>
  <c r="T313" i="2" s="1"/>
  <c r="T314" i="2" a="1"/>
  <c r="T314" i="2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/>
  <c r="T321" i="2" a="1"/>
  <c r="T321" i="2" s="1"/>
  <c r="T322" i="2" a="1"/>
  <c r="T322" i="2"/>
  <c r="T323" i="2" a="1"/>
  <c r="T323" i="2" s="1"/>
  <c r="T324" i="2" a="1"/>
  <c r="T324" i="2" s="1"/>
  <c r="T325" i="2" a="1"/>
  <c r="T325" i="2" s="1"/>
  <c r="T326" i="2" a="1"/>
  <c r="T326" i="2"/>
  <c r="T327" i="2" a="1"/>
  <c r="T327" i="2" s="1"/>
  <c r="T328" i="2" a="1"/>
  <c r="T328" i="2"/>
  <c r="T329" i="2" a="1"/>
  <c r="T329" i="2" s="1"/>
  <c r="T330" i="2" a="1"/>
  <c r="T330" i="2"/>
  <c r="T331" i="2" a="1"/>
  <c r="T331" i="2" s="1"/>
  <c r="T332" i="2" a="1"/>
  <c r="T332" i="2" s="1"/>
  <c r="T333" i="2" a="1"/>
  <c r="T333" i="2" s="1"/>
  <c r="T334" i="2" a="1"/>
  <c r="T334" i="2"/>
  <c r="T335" i="2" a="1"/>
  <c r="T335" i="2" s="1"/>
  <c r="T336" i="2" a="1"/>
  <c r="T336" i="2"/>
  <c r="T337" i="2" a="1"/>
  <c r="T337" i="2" s="1"/>
  <c r="T338" i="2" a="1"/>
  <c r="T338" i="2"/>
  <c r="T339" i="2" a="1"/>
  <c r="T339" i="2" s="1"/>
  <c r="T340" i="2" a="1"/>
  <c r="T340" i="2" s="1"/>
  <c r="T341" i="2" a="1"/>
  <c r="T341" i="2" s="1"/>
  <c r="T342" i="2" a="1"/>
  <c r="T342" i="2"/>
  <c r="T343" i="2" a="1"/>
  <c r="T343" i="2" s="1"/>
  <c r="T344" i="2" a="1"/>
  <c r="T344" i="2"/>
  <c r="T345" i="2" a="1"/>
  <c r="T345" i="2" s="1"/>
  <c r="T346" i="2" a="1"/>
  <c r="T346" i="2"/>
  <c r="T347" i="2" a="1"/>
  <c r="T347" i="2" s="1"/>
  <c r="T348" i="2" a="1"/>
  <c r="T348" i="2" s="1"/>
  <c r="T349" i="2" a="1"/>
  <c r="T349" i="2" s="1"/>
  <c r="T350" i="2" a="1"/>
  <c r="T350" i="2" s="1"/>
  <c r="T351" i="2" a="1"/>
  <c r="T351" i="2" s="1"/>
  <c r="T352" i="2" a="1"/>
  <c r="T352" i="2"/>
  <c r="T353" i="2" a="1"/>
  <c r="T353" i="2" s="1"/>
  <c r="T354" i="2" a="1"/>
  <c r="T354" i="2"/>
  <c r="T355" i="2" a="1"/>
  <c r="T355" i="2" s="1"/>
  <c r="T356" i="2" a="1"/>
  <c r="T356" i="2" s="1"/>
  <c r="T357" i="2" a="1"/>
  <c r="T357" i="2" s="1"/>
  <c r="T358" i="2" a="1"/>
  <c r="T358" i="2"/>
  <c r="T359" i="2" a="1"/>
  <c r="T359" i="2" s="1"/>
  <c r="T360" i="2" a="1"/>
  <c r="T360" i="2"/>
  <c r="T361" i="2" a="1"/>
  <c r="T361" i="2" s="1"/>
  <c r="T362" i="2" a="1"/>
  <c r="T362" i="2"/>
  <c r="T363" i="2" a="1"/>
  <c r="T363" i="2" s="1"/>
  <c r="T364" i="2" a="1"/>
  <c r="T364" i="2" s="1"/>
  <c r="T365" i="2" a="1"/>
  <c r="T365" i="2" s="1"/>
  <c r="T366" i="2" a="1"/>
  <c r="T366" i="2"/>
  <c r="T367" i="2" a="1"/>
  <c r="T367" i="2" s="1"/>
  <c r="T368" i="2" a="1"/>
  <c r="T368" i="2"/>
  <c r="T369" i="2" a="1"/>
  <c r="T369" i="2" s="1"/>
  <c r="T370" i="2" a="1"/>
  <c r="T370" i="2"/>
  <c r="T371" i="2" a="1"/>
  <c r="T371" i="2" s="1"/>
  <c r="T372" i="2" a="1"/>
  <c r="T372" i="2" s="1"/>
  <c r="T373" i="2" a="1"/>
  <c r="T373" i="2" s="1"/>
  <c r="T374" i="2" a="1"/>
  <c r="T374" i="2"/>
  <c r="T375" i="2" a="1"/>
  <c r="T375" i="2" s="1"/>
  <c r="T376" i="2" a="1"/>
  <c r="T376" i="2"/>
  <c r="T377" i="2" a="1"/>
  <c r="T377" i="2" s="1"/>
  <c r="T378" i="2" a="1"/>
  <c r="T378" i="2"/>
  <c r="T379" i="2" a="1"/>
  <c r="T379" i="2" s="1"/>
  <c r="T380" i="2" a="1"/>
  <c r="T380" i="2" s="1"/>
  <c r="T381" i="2" a="1"/>
  <c r="T381" i="2" s="1"/>
  <c r="T382" i="2" a="1"/>
  <c r="T382" i="2" s="1"/>
  <c r="T383" i="2" a="1"/>
  <c r="T383" i="2" s="1"/>
  <c r="T384" i="2" a="1"/>
  <c r="T384" i="2"/>
  <c r="T385" i="2" a="1"/>
  <c r="T385" i="2" s="1"/>
  <c r="T386" i="2" a="1"/>
  <c r="T386" i="2"/>
  <c r="T387" i="2" a="1"/>
  <c r="T387" i="2" s="1"/>
  <c r="T388" i="2" a="1"/>
  <c r="T388" i="2" s="1"/>
  <c r="T389" i="2" a="1"/>
  <c r="T389" i="2" s="1"/>
  <c r="T390" i="2" a="1"/>
  <c r="T390" i="2"/>
  <c r="T391" i="2" a="1"/>
  <c r="T391" i="2" s="1"/>
  <c r="T392" i="2" a="1"/>
  <c r="T392" i="2"/>
  <c r="T393" i="2" a="1"/>
  <c r="T393" i="2" s="1"/>
  <c r="T394" i="2" a="1"/>
  <c r="T394" i="2"/>
  <c r="T395" i="2" a="1"/>
  <c r="T395" i="2" s="1"/>
  <c r="T396" i="2" a="1"/>
  <c r="T396" i="2" s="1"/>
  <c r="T397" i="2" a="1"/>
  <c r="T397" i="2" s="1"/>
  <c r="T398" i="2" a="1"/>
  <c r="T398" i="2"/>
  <c r="T399" i="2" a="1"/>
  <c r="T399" i="2" s="1"/>
  <c r="T400" i="2" a="1"/>
  <c r="T400" i="2"/>
  <c r="T401" i="2" a="1"/>
  <c r="T401" i="2" s="1"/>
  <c r="T402" i="2" a="1"/>
  <c r="T402" i="2" s="1"/>
  <c r="T403" i="2" a="1"/>
  <c r="T403" i="2" s="1"/>
  <c r="T404" i="2" a="1"/>
  <c r="T404" i="2" s="1"/>
  <c r="T405" i="2" a="1"/>
  <c r="T405" i="2" s="1"/>
  <c r="T406" i="2" a="1"/>
  <c r="T406" i="2" s="1"/>
  <c r="T407" i="2" a="1"/>
  <c r="T407" i="2" s="1"/>
  <c r="T408" i="2" a="1"/>
  <c r="T408" i="2"/>
  <c r="T409" i="2" a="1"/>
  <c r="T409" i="2" s="1"/>
  <c r="T410" i="2" a="1"/>
  <c r="T410" i="2" s="1"/>
  <c r="T411" i="2" a="1"/>
  <c r="T411" i="2" s="1"/>
  <c r="T412" i="2" a="1"/>
  <c r="T412" i="2" s="1"/>
  <c r="T413" i="2" a="1"/>
  <c r="T413" i="2" s="1"/>
  <c r="T414" i="2" a="1"/>
  <c r="T414" i="2"/>
  <c r="T415" i="2" a="1"/>
  <c r="T415" i="2" s="1"/>
  <c r="T416" i="2" a="1"/>
  <c r="T416" i="2"/>
  <c r="T417" i="2" a="1"/>
  <c r="T417" i="2" s="1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 s="1"/>
  <c r="T424" i="2" a="1"/>
  <c r="T424" i="2"/>
  <c r="T425" i="2" a="1"/>
  <c r="T425" i="2" s="1"/>
  <c r="T426" i="2" a="1"/>
  <c r="T426" i="2" s="1"/>
  <c r="T427" i="2" a="1"/>
  <c r="T427" i="2" s="1"/>
  <c r="T428" i="2" a="1"/>
  <c r="T428" i="2" s="1"/>
  <c r="T429" i="2" a="1"/>
  <c r="T429" i="2" s="1"/>
  <c r="T430" i="2" a="1"/>
  <c r="T430" i="2"/>
  <c r="T431" i="2" a="1"/>
  <c r="T431" i="2" s="1"/>
  <c r="T432" i="2" a="1"/>
  <c r="T432" i="2"/>
  <c r="T433" i="2" a="1"/>
  <c r="T433" i="2" s="1"/>
  <c r="T434" i="2" a="1"/>
  <c r="T434" i="2" s="1"/>
  <c r="T435" i="2" a="1"/>
  <c r="T435" i="2" s="1"/>
  <c r="T436" i="2" a="1"/>
  <c r="T436" i="2" s="1"/>
  <c r="T437" i="2" a="1"/>
  <c r="T437" i="2" s="1"/>
  <c r="T438" i="2" a="1"/>
  <c r="T438" i="2" s="1"/>
  <c r="T439" i="2" a="1"/>
  <c r="T439" i="2" s="1"/>
  <c r="T440" i="2" a="1"/>
  <c r="T440" i="2"/>
  <c r="T441" i="2" a="1"/>
  <c r="T441" i="2" s="1"/>
  <c r="T442" i="2" a="1"/>
  <c r="T442" i="2" s="1"/>
  <c r="T443" i="2" a="1"/>
  <c r="T443" i="2" s="1"/>
  <c r="T444" i="2" a="1"/>
  <c r="T444" i="2" s="1"/>
  <c r="T445" i="2" a="1"/>
  <c r="T445" i="2" s="1"/>
  <c r="T446" i="2" a="1"/>
  <c r="T446" i="2"/>
  <c r="T447" i="2" a="1"/>
  <c r="T447" i="2" s="1"/>
  <c r="T448" i="2" a="1"/>
  <c r="T448" i="2"/>
  <c r="T449" i="2" a="1"/>
  <c r="T449" i="2" s="1"/>
  <c r="T450" i="2" a="1"/>
  <c r="T450" i="2" s="1"/>
  <c r="T451" i="2" a="1"/>
  <c r="T451" i="2" s="1"/>
  <c r="T452" i="2" a="1"/>
  <c r="T452" i="2" s="1"/>
  <c r="T453" i="2" a="1"/>
  <c r="T453" i="2" s="1"/>
  <c r="T454" i="2" a="1"/>
  <c r="T454" i="2" s="1"/>
  <c r="T455" i="2" a="1"/>
  <c r="T455" i="2" s="1"/>
  <c r="T456" i="2" a="1"/>
  <c r="T456" i="2"/>
  <c r="T457" i="2" a="1"/>
  <c r="T457" i="2" s="1"/>
  <c r="T458" i="2" a="1"/>
  <c r="T458" i="2" s="1"/>
  <c r="T459" i="2" a="1"/>
  <c r="T459" i="2" s="1"/>
  <c r="T460" i="2" a="1"/>
  <c r="T460" i="2" s="1"/>
  <c r="T461" i="2" a="1"/>
  <c r="T461" i="2" s="1"/>
  <c r="T462" i="2" a="1"/>
  <c r="T462" i="2"/>
  <c r="T463" i="2" a="1"/>
  <c r="T463" i="2" s="1"/>
  <c r="T464" i="2" a="1"/>
  <c r="T464" i="2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 s="1"/>
  <c r="T472" i="2" a="1"/>
  <c r="T472" i="2"/>
  <c r="T473" i="2" a="1"/>
  <c r="T473" i="2" s="1"/>
  <c r="T474" i="2" a="1"/>
  <c r="T474" i="2" s="1"/>
  <c r="T475" i="2" a="1"/>
  <c r="T475" i="2" s="1"/>
  <c r="T476" i="2" a="1"/>
  <c r="T476" i="2" s="1"/>
  <c r="T477" i="2" a="1"/>
  <c r="T477" i="2" s="1"/>
  <c r="T478" i="2" a="1"/>
  <c r="T478" i="2"/>
  <c r="T479" i="2" a="1"/>
  <c r="T479" i="2" s="1"/>
  <c r="T480" i="2" a="1"/>
  <c r="T480" i="2"/>
  <c r="T481" i="2" a="1"/>
  <c r="T481" i="2" s="1"/>
  <c r="T482" i="2" a="1"/>
  <c r="T482" i="2"/>
  <c r="T483" i="2" a="1"/>
  <c r="T483" i="2" s="1"/>
  <c r="T484" i="2" a="1"/>
  <c r="T484" i="2" s="1"/>
  <c r="T485" i="2" a="1"/>
  <c r="T485" i="2" s="1"/>
  <c r="T486" i="2" a="1"/>
  <c r="T486" i="2" s="1"/>
  <c r="T487" i="2" a="1"/>
  <c r="T487" i="2" s="1"/>
  <c r="T488" i="2" a="1"/>
  <c r="T488" i="2"/>
  <c r="T489" i="2" a="1"/>
  <c r="T489" i="2" s="1"/>
  <c r="T490" i="2" a="1"/>
  <c r="T490" i="2"/>
  <c r="T491" i="2" a="1"/>
  <c r="T491" i="2" s="1"/>
  <c r="T492" i="2" a="1"/>
  <c r="T492" i="2" s="1"/>
  <c r="T493" i="2" a="1"/>
  <c r="T493" i="2" s="1"/>
  <c r="T494" i="2" a="1"/>
  <c r="T494" i="2" s="1"/>
  <c r="T495" i="2" a="1"/>
  <c r="T495" i="2" s="1"/>
  <c r="T496" i="2" a="1"/>
  <c r="T496" i="2"/>
  <c r="T497" i="2" a="1"/>
  <c r="T497" i="2" s="1"/>
  <c r="T498" i="2" a="1"/>
  <c r="T498" i="2"/>
  <c r="T499" i="2" a="1"/>
  <c r="T499" i="2" s="1"/>
  <c r="T500" i="2" a="1"/>
  <c r="T500" i="2" s="1"/>
  <c r="T501" i="2" a="1"/>
  <c r="T501" i="2" s="1"/>
  <c r="T502" i="2" a="1"/>
  <c r="T502" i="2"/>
  <c r="T503" i="2" a="1"/>
  <c r="T503" i="2" s="1"/>
  <c r="T504" i="2" a="1"/>
  <c r="T504" i="2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 s="1"/>
  <c r="T512" i="2" a="1"/>
  <c r="T512" i="2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/>
  <c r="T519" i="2" a="1"/>
  <c r="T519" i="2" s="1"/>
  <c r="T520" i="2" a="1"/>
  <c r="T520" i="2"/>
  <c r="T521" i="2" a="1"/>
  <c r="T521" i="2" s="1"/>
  <c r="T522" i="2" a="1"/>
  <c r="T522" i="2" s="1"/>
  <c r="T523" i="2" a="1"/>
  <c r="T523" i="2" s="1"/>
  <c r="T524" i="2" a="1"/>
  <c r="T524" i="2" s="1"/>
  <c r="T525" i="2" a="1"/>
  <c r="T525" i="2" s="1"/>
  <c r="T526" i="2" a="1"/>
  <c r="T526" i="2" s="1"/>
  <c r="T527" i="2" a="1"/>
  <c r="T527" i="2" s="1"/>
  <c r="T528" i="2" a="1"/>
  <c r="T528" i="2"/>
  <c r="T529" i="2" a="1"/>
  <c r="T529" i="2" s="1"/>
  <c r="T530" i="2" a="1"/>
  <c r="T530" i="2" s="1"/>
  <c r="T531" i="2" a="1"/>
  <c r="T531" i="2" s="1"/>
  <c r="T532" i="2" a="1"/>
  <c r="T532" i="2" s="1"/>
  <c r="T533" i="2" a="1"/>
  <c r="T533" i="2" s="1"/>
  <c r="T534" i="2" a="1"/>
  <c r="T534" i="2"/>
  <c r="T535" i="2" a="1"/>
  <c r="T535" i="2" s="1"/>
  <c r="T536" i="2" a="1"/>
  <c r="T536" i="2"/>
  <c r="T537" i="2" a="1"/>
  <c r="T537" i="2" s="1"/>
  <c r="T538" i="2" a="1"/>
  <c r="T538" i="2" s="1"/>
  <c r="T539" i="2" a="1"/>
  <c r="T539" i="2" s="1"/>
  <c r="T540" i="2" a="1"/>
  <c r="T540" i="2" s="1"/>
  <c r="T541" i="2" a="1"/>
  <c r="T541" i="2" s="1"/>
  <c r="T542" i="2" a="1"/>
  <c r="T542" i="2" s="1"/>
  <c r="T543" i="2" a="1"/>
  <c r="T543" i="2" s="1"/>
  <c r="T544" i="2" a="1"/>
  <c r="T544" i="2"/>
  <c r="T545" i="2" a="1"/>
  <c r="T545" i="2" s="1"/>
  <c r="T546" i="2" a="1"/>
  <c r="T546" i="2" s="1"/>
  <c r="T547" i="2" a="1"/>
  <c r="T547" i="2" s="1"/>
  <c r="T548" i="2" a="1"/>
  <c r="T548" i="2" s="1"/>
  <c r="T549" i="2" a="1"/>
  <c r="T549" i="2" s="1"/>
  <c r="T550" i="2" a="1"/>
  <c r="T550" i="2"/>
  <c r="T551" i="2" a="1"/>
  <c r="T551" i="2" s="1"/>
  <c r="T552" i="2" a="1"/>
  <c r="T552" i="2"/>
  <c r="T553" i="2" a="1"/>
  <c r="T553" i="2" s="1"/>
  <c r="T554" i="2" a="1"/>
  <c r="T554" i="2" s="1"/>
  <c r="T555" i="2" a="1"/>
  <c r="T555" i="2" s="1"/>
  <c r="T556" i="2" a="1"/>
  <c r="T556" i="2" s="1"/>
  <c r="T557" i="2" a="1"/>
  <c r="T557" i="2" s="1"/>
  <c r="T558" i="2" a="1"/>
  <c r="T558" i="2" s="1"/>
  <c r="T559" i="2" a="1"/>
  <c r="T559" i="2" s="1"/>
  <c r="T560" i="2" a="1"/>
  <c r="T560" i="2"/>
  <c r="T561" i="2" a="1"/>
  <c r="T561" i="2" s="1"/>
  <c r="T562" i="2" a="1"/>
  <c r="T562" i="2" s="1"/>
  <c r="T563" i="2" a="1"/>
  <c r="T563" i="2" s="1"/>
  <c r="T564" i="2" a="1"/>
  <c r="T564" i="2" s="1"/>
  <c r="T565" i="2" a="1"/>
  <c r="T565" i="2" s="1"/>
  <c r="T566" i="2" a="1"/>
  <c r="T566" i="2"/>
  <c r="T567" i="2" a="1"/>
  <c r="T567" i="2" s="1"/>
  <c r="T568" i="2" a="1"/>
  <c r="T568" i="2"/>
  <c r="T569" i="2" a="1"/>
  <c r="T569" i="2" s="1"/>
  <c r="T570" i="2" a="1"/>
  <c r="T570" i="2" s="1"/>
  <c r="T571" i="2" a="1"/>
  <c r="T571" i="2" s="1"/>
  <c r="T572" i="2" a="1"/>
  <c r="T572" i="2" s="1"/>
  <c r="T573" i="2" a="1"/>
  <c r="T573" i="2" s="1"/>
  <c r="T574" i="2" a="1"/>
  <c r="T574" i="2" s="1"/>
  <c r="T575" i="2" a="1"/>
  <c r="T575" i="2" s="1"/>
  <c r="T576" i="2" a="1"/>
  <c r="T576" i="2"/>
  <c r="T577" i="2" a="1"/>
  <c r="T577" i="2" s="1"/>
  <c r="T578" i="2" a="1"/>
  <c r="T578" i="2" s="1"/>
  <c r="T579" i="2" a="1"/>
  <c r="T579" i="2" s="1"/>
  <c r="T580" i="2" a="1"/>
  <c r="T580" i="2" s="1"/>
  <c r="T581" i="2" a="1"/>
  <c r="T581" i="2" s="1"/>
  <c r="T582" i="2" a="1"/>
  <c r="T582" i="2"/>
  <c r="T583" i="2" a="1"/>
  <c r="T583" i="2" s="1"/>
  <c r="T584" i="2" a="1"/>
  <c r="T584" i="2"/>
  <c r="T585" i="2" a="1"/>
  <c r="T585" i="2" s="1"/>
  <c r="T586" i="2" a="1"/>
  <c r="T586" i="2" s="1"/>
  <c r="T587" i="2" a="1"/>
  <c r="T587" i="2" s="1"/>
  <c r="T588" i="2" a="1"/>
  <c r="T588" i="2" s="1"/>
  <c r="T589" i="2" a="1"/>
  <c r="T589" i="2" s="1"/>
  <c r="T590" i="2" a="1"/>
  <c r="T590" i="2" s="1"/>
  <c r="T591" i="2" a="1"/>
  <c r="T591" i="2" s="1"/>
  <c r="T592" i="2" a="1"/>
  <c r="T592" i="2"/>
  <c r="T593" i="2" a="1"/>
  <c r="T593" i="2" s="1"/>
  <c r="T594" i="2" a="1"/>
  <c r="T594" i="2" s="1"/>
  <c r="T595" i="2" a="1"/>
  <c r="T595" i="2" s="1"/>
  <c r="T596" i="2" a="1"/>
  <c r="T596" i="2" s="1"/>
  <c r="T597" i="2" a="1"/>
  <c r="T597" i="2" s="1"/>
  <c r="T598" i="2" a="1"/>
  <c r="T598" i="2"/>
  <c r="T599" i="2" a="1"/>
  <c r="T599" i="2" s="1"/>
  <c r="T600" i="2" a="1"/>
  <c r="T600" i="2"/>
  <c r="T601" i="2" a="1"/>
  <c r="T601" i="2" s="1"/>
  <c r="T602" i="2" a="1"/>
  <c r="T602" i="2" s="1"/>
  <c r="T603" i="2" a="1"/>
  <c r="T603" i="2" s="1"/>
  <c r="T604" i="2" a="1"/>
  <c r="T604" i="2" s="1"/>
  <c r="T605" i="2" a="1"/>
  <c r="T605" i="2" s="1"/>
  <c r="T606" i="2" a="1"/>
  <c r="T606" i="2" s="1"/>
  <c r="T607" i="2" a="1"/>
  <c r="T607" i="2" s="1"/>
  <c r="T608" i="2" a="1"/>
  <c r="T608" i="2"/>
  <c r="T609" i="2" a="1"/>
  <c r="T609" i="2" s="1"/>
  <c r="T610" i="2" a="1"/>
  <c r="T610" i="2" s="1"/>
  <c r="T611" i="2" a="1"/>
  <c r="T611" i="2" s="1"/>
  <c r="T612" i="2" a="1"/>
  <c r="T612" i="2" s="1"/>
  <c r="T613" i="2" a="1"/>
  <c r="T613" i="2" s="1"/>
  <c r="T614" i="2" a="1"/>
  <c r="T614" i="2"/>
  <c r="T615" i="2" a="1"/>
  <c r="T615" i="2" s="1"/>
  <c r="T616" i="2" a="1"/>
  <c r="T616" i="2"/>
  <c r="T617" i="2" a="1"/>
  <c r="T617" i="2" s="1"/>
  <c r="T618" i="2" a="1"/>
  <c r="T618" i="2" s="1"/>
  <c r="T619" i="2" a="1"/>
  <c r="T619" i="2" s="1"/>
  <c r="T620" i="2" a="1"/>
  <c r="T620" i="2" s="1"/>
  <c r="T621" i="2" a="1"/>
  <c r="T621" i="2" s="1"/>
  <c r="T622" i="2" a="1"/>
  <c r="T622" i="2" s="1"/>
  <c r="T623" i="2" a="1"/>
  <c r="T623" i="2" s="1"/>
  <c r="T624" i="2" a="1"/>
  <c r="T624" i="2"/>
  <c r="T625" i="2" a="1"/>
  <c r="T625" i="2" s="1"/>
  <c r="T626" i="2" a="1"/>
  <c r="T626" i="2" s="1"/>
  <c r="T627" i="2" a="1"/>
  <c r="T627" i="2" s="1"/>
  <c r="T628" i="2" a="1"/>
  <c r="T628" i="2" s="1"/>
  <c r="T629" i="2" a="1"/>
  <c r="T629" i="2" s="1"/>
  <c r="T630" i="2" a="1"/>
  <c r="T630" i="2"/>
  <c r="T631" i="2" a="1"/>
  <c r="T631" i="2" s="1"/>
  <c r="T632" i="2" a="1"/>
  <c r="T632" i="2"/>
  <c r="T633" i="2" a="1"/>
  <c r="T633" i="2" s="1"/>
  <c r="T634" i="2" a="1"/>
  <c r="T634" i="2" s="1"/>
  <c r="T635" i="2" a="1"/>
  <c r="T635" i="2" s="1"/>
  <c r="T636" i="2" a="1"/>
  <c r="T636" i="2" s="1"/>
  <c r="T637" i="2" a="1"/>
  <c r="T637" i="2" s="1"/>
  <c r="T638" i="2" a="1"/>
  <c r="T638" i="2" s="1"/>
  <c r="T639" i="2" a="1"/>
  <c r="T639" i="2" s="1"/>
  <c r="T640" i="2" a="1"/>
  <c r="T640" i="2"/>
  <c r="T641" i="2" a="1"/>
  <c r="T641" i="2" s="1"/>
  <c r="T642" i="2" a="1"/>
  <c r="T642" i="2" s="1"/>
  <c r="T643" i="2" a="1"/>
  <c r="T643" i="2" s="1"/>
  <c r="T644" i="2" a="1"/>
  <c r="T644" i="2" s="1"/>
  <c r="T645" i="2" a="1"/>
  <c r="T645" i="2"/>
  <c r="T646" i="2" a="1"/>
  <c r="T646" i="2" s="1"/>
  <c r="T647" i="2" a="1"/>
  <c r="T647" i="2"/>
  <c r="T648" i="2" a="1"/>
  <c r="T648" i="2" s="1"/>
  <c r="T649" i="2" a="1"/>
  <c r="T649" i="2" s="1"/>
  <c r="T650" i="2" a="1"/>
  <c r="T650" i="2" s="1"/>
  <c r="T651" i="2" a="1"/>
  <c r="T651" i="2" s="1"/>
  <c r="T652" i="2" a="1"/>
  <c r="T652" i="2" s="1"/>
  <c r="T653" i="2" a="1"/>
  <c r="T653" i="2"/>
  <c r="T654" i="2" a="1"/>
  <c r="T654" i="2" s="1"/>
  <c r="T655" i="2" a="1"/>
  <c r="T655" i="2"/>
  <c r="T656" i="2" a="1"/>
  <c r="T656" i="2" s="1"/>
  <c r="T657" i="2" a="1"/>
  <c r="T657" i="2" s="1"/>
  <c r="T658" i="2" a="1"/>
  <c r="T658" i="2" s="1"/>
  <c r="T659" i="2" a="1"/>
  <c r="T659" i="2" s="1"/>
  <c r="T660" i="2" a="1"/>
  <c r="T660" i="2" s="1"/>
  <c r="T661" i="2" a="1"/>
  <c r="T661" i="2"/>
  <c r="T662" i="2" a="1"/>
  <c r="T662" i="2" s="1"/>
  <c r="T663" i="2" a="1"/>
  <c r="T663" i="2"/>
  <c r="T664" i="2" a="1"/>
  <c r="T664" i="2" s="1"/>
  <c r="T665" i="2" a="1"/>
  <c r="T665" i="2" s="1"/>
  <c r="T666" i="2" a="1"/>
  <c r="T666" i="2" s="1"/>
  <c r="T667" i="2" a="1"/>
  <c r="T667" i="2" s="1"/>
  <c r="T668" i="2" a="1"/>
  <c r="T668" i="2" s="1"/>
  <c r="T669" i="2" a="1"/>
  <c r="T669" i="2"/>
  <c r="T670" i="2" a="1"/>
  <c r="T670" i="2" s="1"/>
  <c r="T671" i="2" a="1"/>
  <c r="T671" i="2"/>
  <c r="T672" i="2" a="1"/>
  <c r="T672" i="2" s="1"/>
  <c r="T673" i="2" a="1"/>
  <c r="T673" i="2" s="1"/>
  <c r="T674" i="2" a="1"/>
  <c r="T674" i="2" s="1"/>
  <c r="T675" i="2" a="1"/>
  <c r="T675" i="2" s="1"/>
  <c r="T676" i="2" a="1"/>
  <c r="T676" i="2" s="1"/>
  <c r="T677" i="2" a="1"/>
  <c r="T677" i="2"/>
  <c r="T678" i="2" a="1"/>
  <c r="T678" i="2" s="1"/>
  <c r="T679" i="2" a="1"/>
  <c r="T679" i="2"/>
  <c r="T680" i="2" a="1"/>
  <c r="T680" i="2" s="1"/>
  <c r="T681" i="2" a="1"/>
  <c r="T681" i="2" s="1"/>
  <c r="T682" i="2" a="1"/>
  <c r="T682" i="2" s="1"/>
  <c r="T683" i="2" a="1"/>
  <c r="T683" i="2" s="1"/>
  <c r="T684" i="2" a="1"/>
  <c r="T684" i="2" s="1"/>
  <c r="T685" i="2" a="1"/>
  <c r="T685" i="2"/>
  <c r="T686" i="2" a="1"/>
  <c r="T686" i="2" s="1"/>
  <c r="T687" i="2" a="1"/>
  <c r="T687" i="2"/>
  <c r="T688" i="2" a="1"/>
  <c r="T688" i="2" s="1"/>
  <c r="T689" i="2" a="1"/>
  <c r="T689" i="2" s="1"/>
  <c r="T690" i="2" a="1"/>
  <c r="T690" i="2" s="1"/>
  <c r="T691" i="2" a="1"/>
  <c r="T691" i="2" s="1"/>
  <c r="T692" i="2" a="1"/>
  <c r="T692" i="2" s="1"/>
  <c r="T693" i="2" a="1"/>
  <c r="T693" i="2"/>
  <c r="T694" i="2" a="1"/>
  <c r="T694" i="2" s="1"/>
  <c r="T695" i="2" a="1"/>
  <c r="T695" i="2"/>
  <c r="T696" i="2" a="1"/>
  <c r="T696" i="2" s="1"/>
  <c r="T697" i="2" a="1"/>
  <c r="T697" i="2" s="1"/>
  <c r="T698" i="2" a="1"/>
  <c r="T698" i="2" s="1"/>
  <c r="T699" i="2" a="1"/>
  <c r="T699" i="2" s="1"/>
  <c r="T700" i="2" a="1"/>
  <c r="T700" i="2" s="1"/>
  <c r="T701" i="2" a="1"/>
  <c r="T701" i="2"/>
  <c r="T702" i="2" a="1"/>
  <c r="T702" i="2" s="1"/>
  <c r="T703" i="2" a="1"/>
  <c r="T703" i="2"/>
  <c r="T704" i="2" a="1"/>
  <c r="T704" i="2" s="1"/>
  <c r="T705" i="2" a="1"/>
  <c r="T705" i="2" s="1"/>
  <c r="T706" i="2" a="1"/>
  <c r="T706" i="2" s="1"/>
  <c r="T707" i="2" a="1"/>
  <c r="T707" i="2" s="1"/>
  <c r="T708" i="2" a="1"/>
  <c r="T708" i="2" s="1"/>
  <c r="T709" i="2" a="1"/>
  <c r="T709" i="2"/>
  <c r="T710" i="2" a="1"/>
  <c r="T710" i="2" s="1"/>
  <c r="T711" i="2" a="1"/>
  <c r="T711" i="2"/>
  <c r="T712" i="2" a="1"/>
  <c r="T712" i="2" s="1"/>
  <c r="T713" i="2" a="1"/>
  <c r="T713" i="2" s="1"/>
  <c r="T714" i="2" a="1"/>
  <c r="T714" i="2" s="1"/>
  <c r="T715" i="2" a="1"/>
  <c r="T715" i="2" s="1"/>
  <c r="T716" i="2" a="1"/>
  <c r="T716" i="2" s="1"/>
  <c r="T717" i="2" a="1"/>
  <c r="T717" i="2"/>
  <c r="T718" i="2" a="1"/>
  <c r="T718" i="2" s="1"/>
  <c r="T719" i="2" a="1"/>
  <c r="T719" i="2"/>
  <c r="T720" i="2" a="1"/>
  <c r="T720" i="2" s="1"/>
  <c r="T721" i="2" a="1"/>
  <c r="T721" i="2" s="1"/>
  <c r="T722" i="2" a="1"/>
  <c r="T722" i="2" s="1"/>
  <c r="T723" i="2" a="1"/>
  <c r="T723" i="2" s="1"/>
  <c r="T724" i="2" a="1"/>
  <c r="T724" i="2" s="1"/>
  <c r="T725" i="2" a="1"/>
  <c r="T725" i="2"/>
  <c r="T726" i="2" a="1"/>
  <c r="T726" i="2" s="1"/>
  <c r="T727" i="2" a="1"/>
  <c r="T727" i="2"/>
  <c r="T728" i="2" a="1"/>
  <c r="T728" i="2" s="1"/>
  <c r="T729" i="2" a="1"/>
  <c r="T729" i="2" s="1"/>
  <c r="T730" i="2" a="1"/>
  <c r="T730" i="2" s="1"/>
  <c r="T731" i="2" a="1"/>
  <c r="T731" i="2" s="1"/>
  <c r="T732" i="2" a="1"/>
  <c r="T732" i="2" s="1"/>
  <c r="T733" i="2" a="1"/>
  <c r="T733" i="2"/>
  <c r="T734" i="2" a="1"/>
  <c r="T734" i="2" s="1"/>
  <c r="T735" i="2" a="1"/>
  <c r="T735" i="2"/>
  <c r="T736" i="2" a="1"/>
  <c r="T736" i="2" s="1"/>
  <c r="T737" i="2" a="1"/>
  <c r="T737" i="2" s="1"/>
  <c r="T738" i="2" a="1"/>
  <c r="T738" i="2" s="1"/>
  <c r="T739" i="2" a="1"/>
  <c r="T739" i="2" s="1"/>
  <c r="T740" i="2" a="1"/>
  <c r="T740" i="2" s="1"/>
  <c r="T741" i="2" a="1"/>
  <c r="T741" i="2"/>
  <c r="T742" i="2" a="1"/>
  <c r="T742" i="2" s="1"/>
  <c r="T743" i="2" a="1"/>
  <c r="T743" i="2"/>
  <c r="T744" i="2" a="1"/>
  <c r="T744" i="2" s="1"/>
  <c r="T745" i="2" a="1"/>
  <c r="T745" i="2" s="1"/>
  <c r="T746" i="2" a="1"/>
  <c r="T746" i="2" s="1"/>
  <c r="T747" i="2" a="1"/>
  <c r="T747" i="2" s="1"/>
  <c r="T748" i="2" a="1"/>
  <c r="T748" i="2" s="1"/>
  <c r="T749" i="2" a="1"/>
  <c r="T749" i="2"/>
  <c r="T750" i="2" a="1"/>
  <c r="T750" i="2" s="1"/>
  <c r="T751" i="2" a="1"/>
  <c r="T751" i="2"/>
  <c r="T752" i="2" a="1"/>
  <c r="T752" i="2" s="1"/>
  <c r="T753" i="2" a="1"/>
  <c r="T753" i="2" s="1"/>
  <c r="T754" i="2" a="1"/>
  <c r="T754" i="2" s="1"/>
  <c r="T755" i="2" a="1"/>
  <c r="T755" i="2" s="1"/>
  <c r="T756" i="2" a="1"/>
  <c r="T756" i="2" s="1"/>
  <c r="T757" i="2" a="1"/>
  <c r="T757" i="2"/>
  <c r="T758" i="2" a="1"/>
  <c r="T758" i="2" s="1"/>
  <c r="T759" i="2" a="1"/>
  <c r="T759" i="2"/>
  <c r="T760" i="2" a="1"/>
  <c r="T760" i="2" s="1"/>
  <c r="T761" i="2" a="1"/>
  <c r="T761" i="2" s="1"/>
  <c r="T762" i="2" a="1"/>
  <c r="T762" i="2" s="1"/>
  <c r="T763" i="2" a="1"/>
  <c r="T763" i="2" s="1"/>
  <c r="T764" i="2" a="1"/>
  <c r="T764" i="2" s="1"/>
  <c r="T765" i="2" a="1"/>
  <c r="T765" i="2"/>
  <c r="T766" i="2" a="1"/>
  <c r="T766" i="2" s="1"/>
  <c r="T767" i="2" a="1"/>
  <c r="T767" i="2"/>
  <c r="T768" i="2" a="1"/>
  <c r="T768" i="2" s="1"/>
  <c r="T769" i="2" a="1"/>
  <c r="T769" i="2" s="1"/>
  <c r="T770" i="2" a="1"/>
  <c r="T770" i="2" s="1"/>
  <c r="T771" i="2" a="1"/>
  <c r="T771" i="2" s="1"/>
  <c r="T772" i="2" a="1"/>
  <c r="T772" i="2" s="1"/>
  <c r="T773" i="2" a="1"/>
  <c r="T773" i="2"/>
  <c r="T774" i="2" a="1"/>
  <c r="T774" i="2" s="1"/>
  <c r="T775" i="2" a="1"/>
  <c r="T775" i="2"/>
  <c r="T776" i="2" a="1"/>
  <c r="T776" i="2" s="1"/>
  <c r="T777" i="2" a="1"/>
  <c r="T777" i="2" s="1"/>
  <c r="T778" i="2" a="1"/>
  <c r="T778" i="2" s="1"/>
  <c r="T779" i="2" a="1"/>
  <c r="T779" i="2" s="1"/>
  <c r="T780" i="2" a="1"/>
  <c r="T780" i="2" s="1"/>
  <c r="T781" i="2" a="1"/>
  <c r="T781" i="2"/>
  <c r="T782" i="2" a="1"/>
  <c r="T782" i="2" s="1"/>
  <c r="T783" i="2" a="1"/>
  <c r="T783" i="2"/>
  <c r="T784" i="2" a="1"/>
  <c r="T784" i="2" s="1"/>
  <c r="T785" i="2" a="1"/>
  <c r="T785" i="2" s="1"/>
  <c r="T786" i="2" a="1"/>
  <c r="T786" i="2" s="1"/>
  <c r="T787" i="2" a="1"/>
  <c r="T787" i="2" s="1"/>
  <c r="T788" i="2" a="1"/>
  <c r="T788" i="2" s="1"/>
  <c r="T789" i="2" a="1"/>
  <c r="T789" i="2"/>
  <c r="T790" i="2" a="1"/>
  <c r="T790" i="2" s="1"/>
  <c r="T791" i="2" a="1"/>
  <c r="T791" i="2"/>
  <c r="T792" i="2" a="1"/>
  <c r="T792" i="2" s="1"/>
  <c r="T793" i="2" a="1"/>
  <c r="T793" i="2" s="1"/>
  <c r="T794" i="2" a="1"/>
  <c r="T794" i="2" s="1"/>
  <c r="T795" i="2" a="1"/>
  <c r="T795" i="2" s="1"/>
  <c r="T796" i="2" a="1"/>
  <c r="T796" i="2" s="1"/>
  <c r="T797" i="2" a="1"/>
  <c r="T797" i="2"/>
  <c r="T798" i="2" a="1"/>
  <c r="T798" i="2" s="1"/>
  <c r="T799" i="2" a="1"/>
  <c r="T799" i="2"/>
  <c r="T800" i="2" a="1"/>
  <c r="T800" i="2" s="1"/>
  <c r="T801" i="2" a="1"/>
  <c r="T801" i="2" s="1"/>
  <c r="T802" i="2" a="1"/>
  <c r="T802" i="2" s="1"/>
  <c r="T803" i="2" a="1"/>
  <c r="T803" i="2" s="1"/>
  <c r="T804" i="2" a="1"/>
  <c r="T804" i="2" s="1"/>
  <c r="T805" i="2" a="1"/>
  <c r="T805" i="2"/>
  <c r="T806" i="2" a="1"/>
  <c r="T806" i="2" s="1"/>
  <c r="T807" i="2" a="1"/>
  <c r="T807" i="2"/>
  <c r="T808" i="2" a="1"/>
  <c r="T808" i="2" s="1"/>
  <c r="T809" i="2" a="1"/>
  <c r="T809" i="2" s="1"/>
  <c r="T810" i="2" a="1"/>
  <c r="T810" i="2" s="1"/>
  <c r="T811" i="2" a="1"/>
  <c r="T811" i="2" s="1"/>
  <c r="T812" i="2" a="1"/>
  <c r="T812" i="2" s="1"/>
  <c r="T813" i="2" a="1"/>
  <c r="T813" i="2"/>
  <c r="T814" i="2" a="1"/>
  <c r="T814" i="2" s="1"/>
  <c r="T815" i="2" a="1"/>
  <c r="T815" i="2"/>
  <c r="T816" i="2" a="1"/>
  <c r="T816" i="2" s="1"/>
  <c r="T817" i="2" a="1"/>
  <c r="T817" i="2" s="1"/>
  <c r="T818" i="2" a="1"/>
  <c r="T818" i="2" s="1"/>
  <c r="T819" i="2" a="1"/>
  <c r="T819" i="2" s="1"/>
  <c r="T820" i="2" a="1"/>
  <c r="T820" i="2" s="1"/>
  <c r="T821" i="2" a="1"/>
  <c r="T821" i="2"/>
  <c r="T822" i="2" a="1"/>
  <c r="T822" i="2" s="1"/>
  <c r="T823" i="2" a="1"/>
  <c r="T823" i="2"/>
  <c r="T824" i="2" a="1"/>
  <c r="T824" i="2" s="1"/>
  <c r="T825" i="2" a="1"/>
  <c r="T825" i="2" s="1"/>
  <c r="T826" i="2" a="1"/>
  <c r="T826" i="2" s="1"/>
  <c r="T827" i="2" a="1"/>
  <c r="T827" i="2" s="1"/>
  <c r="T828" i="2" a="1"/>
  <c r="T828" i="2" s="1"/>
  <c r="T829" i="2" a="1"/>
  <c r="T829" i="2"/>
  <c r="T830" i="2" a="1"/>
  <c r="T830" i="2" s="1"/>
  <c r="T831" i="2" a="1"/>
  <c r="T831" i="2"/>
  <c r="T832" i="2" a="1"/>
  <c r="T832" i="2" s="1"/>
  <c r="T833" i="2" a="1"/>
  <c r="T833" i="2" s="1"/>
  <c r="T834" i="2" a="1"/>
  <c r="T834" i="2" s="1"/>
  <c r="T835" i="2" a="1"/>
  <c r="T835" i="2" s="1"/>
  <c r="T836" i="2" a="1"/>
  <c r="T836" i="2" s="1"/>
  <c r="T837" i="2" a="1"/>
  <c r="T837" i="2"/>
  <c r="T838" i="2" a="1"/>
  <c r="T838" i="2" s="1"/>
  <c r="T839" i="2" a="1"/>
  <c r="T839" i="2"/>
  <c r="T840" i="2" a="1"/>
  <c r="T840" i="2" s="1"/>
  <c r="T841" i="2" a="1"/>
  <c r="T841" i="2" s="1"/>
  <c r="T842" i="2" a="1"/>
  <c r="T842" i="2" s="1"/>
  <c r="T843" i="2" a="1"/>
  <c r="T843" i="2" s="1"/>
  <c r="T844" i="2" a="1"/>
  <c r="T844" i="2" s="1"/>
  <c r="T845" i="2" a="1"/>
  <c r="T845" i="2"/>
  <c r="T846" i="2" a="1"/>
  <c r="T846" i="2" s="1"/>
  <c r="T847" i="2" a="1"/>
  <c r="T847" i="2"/>
  <c r="T848" i="2" a="1"/>
  <c r="T848" i="2" s="1"/>
  <c r="T849" i="2" a="1"/>
  <c r="T849" i="2" s="1"/>
  <c r="T850" i="2" a="1"/>
  <c r="T850" i="2" s="1"/>
  <c r="T851" i="2" a="1"/>
  <c r="T851" i="2" s="1"/>
  <c r="T852" i="2" a="1"/>
  <c r="T852" i="2" s="1"/>
  <c r="T853" i="2" a="1"/>
  <c r="T853" i="2"/>
  <c r="T854" i="2" a="1"/>
  <c r="T854" i="2" s="1"/>
  <c r="T855" i="2" a="1"/>
  <c r="T855" i="2"/>
  <c r="T856" i="2" a="1"/>
  <c r="T856" i="2" s="1"/>
  <c r="T857" i="2" a="1"/>
  <c r="T857" i="2" s="1"/>
  <c r="T858" i="2" a="1"/>
  <c r="T858" i="2" s="1"/>
  <c r="T859" i="2" a="1"/>
  <c r="T859" i="2" s="1"/>
  <c r="T860" i="2" a="1"/>
  <c r="T860" i="2" s="1"/>
  <c r="T861" i="2" a="1"/>
  <c r="T861" i="2"/>
  <c r="T862" i="2" a="1"/>
  <c r="T862" i="2" s="1"/>
  <c r="T863" i="2" a="1"/>
  <c r="T863" i="2"/>
  <c r="T864" i="2" a="1"/>
  <c r="T864" i="2" s="1"/>
  <c r="T865" i="2" a="1"/>
  <c r="T865" i="2" s="1"/>
  <c r="T866" i="2" a="1"/>
  <c r="T866" i="2" s="1"/>
  <c r="T867" i="2" a="1"/>
  <c r="T867" i="2" s="1"/>
  <c r="T868" i="2" a="1"/>
  <c r="T868" i="2" s="1"/>
  <c r="T869" i="2" a="1"/>
  <c r="T869" i="2"/>
  <c r="T870" i="2" a="1"/>
  <c r="T870" i="2" s="1"/>
  <c r="T871" i="2" a="1"/>
  <c r="T871" i="2"/>
  <c r="T872" i="2" a="1"/>
  <c r="T872" i="2" s="1"/>
  <c r="T873" i="2" a="1"/>
  <c r="T873" i="2" s="1"/>
  <c r="T874" i="2" a="1"/>
  <c r="T874" i="2" s="1"/>
  <c r="T875" i="2" a="1"/>
  <c r="T875" i="2" s="1"/>
  <c r="T876" i="2" a="1"/>
  <c r="T876" i="2" s="1"/>
  <c r="T877" i="2" a="1"/>
  <c r="T877" i="2"/>
  <c r="T878" i="2" a="1"/>
  <c r="T878" i="2" s="1"/>
  <c r="T879" i="2" a="1"/>
  <c r="T879" i="2"/>
  <c r="T880" i="2" a="1"/>
  <c r="T880" i="2" s="1"/>
  <c r="T881" i="2" a="1"/>
  <c r="T881" i="2" s="1"/>
  <c r="T882" i="2" a="1"/>
  <c r="T882" i="2" s="1"/>
  <c r="T883" i="2" a="1"/>
  <c r="T883" i="2" s="1"/>
  <c r="T884" i="2" a="1"/>
  <c r="T884" i="2" s="1"/>
  <c r="T885" i="2" a="1"/>
  <c r="T885" i="2"/>
  <c r="T886" i="2" a="1"/>
  <c r="T886" i="2" s="1"/>
  <c r="T887" i="2" a="1"/>
  <c r="T887" i="2"/>
  <c r="T888" i="2" a="1"/>
  <c r="T888" i="2" s="1"/>
  <c r="T889" i="2" a="1"/>
  <c r="T889" i="2" s="1"/>
  <c r="T890" i="2" a="1"/>
  <c r="T890" i="2" s="1"/>
  <c r="T891" i="2" a="1"/>
  <c r="T891" i="2" s="1"/>
  <c r="T892" i="2" a="1"/>
  <c r="T892" i="2" s="1"/>
  <c r="T893" i="2" a="1"/>
  <c r="T893" i="2"/>
  <c r="T894" i="2" a="1"/>
  <c r="T894" i="2" s="1"/>
  <c r="T895" i="2" a="1"/>
  <c r="T895" i="2"/>
  <c r="T896" i="2" a="1"/>
  <c r="T896" i="2" s="1"/>
  <c r="T897" i="2" a="1"/>
  <c r="T897" i="2" s="1"/>
  <c r="T898" i="2" a="1"/>
  <c r="T898" i="2" s="1"/>
  <c r="T899" i="2" a="1"/>
  <c r="T899" i="2" s="1"/>
  <c r="T900" i="2" a="1"/>
  <c r="T900" i="2" s="1"/>
  <c r="T901" i="2" a="1"/>
  <c r="T901" i="2"/>
  <c r="T902" i="2" a="1"/>
  <c r="T902" i="2" s="1"/>
  <c r="T903" i="2" a="1"/>
  <c r="T903" i="2"/>
  <c r="T904" i="2" a="1"/>
  <c r="T904" i="2" s="1"/>
  <c r="T905" i="2" a="1"/>
  <c r="T905" i="2" s="1"/>
  <c r="T906" i="2" a="1"/>
  <c r="T906" i="2" s="1"/>
  <c r="T907" i="2" a="1"/>
  <c r="T907" i="2" s="1"/>
  <c r="T908" i="2" a="1"/>
  <c r="T908" i="2" s="1"/>
  <c r="T909" i="2" a="1"/>
  <c r="T909" i="2"/>
  <c r="T910" i="2" a="1"/>
  <c r="T910" i="2" s="1"/>
  <c r="T911" i="2" a="1"/>
  <c r="T911" i="2"/>
  <c r="T912" i="2" a="1"/>
  <c r="T912" i="2" s="1"/>
  <c r="T913" i="2" a="1"/>
  <c r="T913" i="2" s="1"/>
  <c r="T914" i="2" a="1"/>
  <c r="T914" i="2" s="1"/>
  <c r="T915" i="2" a="1"/>
  <c r="T915" i="2" s="1"/>
  <c r="T916" i="2" a="1"/>
  <c r="T916" i="2" s="1"/>
  <c r="T917" i="2" a="1"/>
  <c r="T917" i="2"/>
  <c r="T918" i="2" a="1"/>
  <c r="T918" i="2" s="1"/>
  <c r="T919" i="2" a="1"/>
  <c r="T919" i="2"/>
  <c r="T920" i="2" a="1"/>
  <c r="T920" i="2" s="1"/>
  <c r="T921" i="2" a="1"/>
  <c r="T921" i="2" s="1"/>
  <c r="T922" i="2" a="1"/>
  <c r="T922" i="2" s="1"/>
  <c r="T923" i="2" a="1"/>
  <c r="T923" i="2" s="1"/>
  <c r="T924" i="2" a="1"/>
  <c r="T924" i="2" s="1"/>
  <c r="T925" i="2" a="1"/>
  <c r="T925" i="2"/>
  <c r="T926" i="2" a="1"/>
  <c r="T926" i="2" s="1"/>
  <c r="T927" i="2" a="1"/>
  <c r="T927" i="2"/>
  <c r="T928" i="2" a="1"/>
  <c r="T928" i="2" s="1"/>
  <c r="T929" i="2" a="1"/>
  <c r="T929" i="2" s="1"/>
  <c r="T930" i="2" a="1"/>
  <c r="T930" i="2" s="1"/>
  <c r="T931" i="2" a="1"/>
  <c r="T931" i="2" s="1"/>
  <c r="T932" i="2" a="1"/>
  <c r="T932" i="2" s="1"/>
  <c r="T933" i="2" a="1"/>
  <c r="T933" i="2"/>
  <c r="T934" i="2" a="1"/>
  <c r="T934" i="2" s="1"/>
  <c r="T935" i="2" a="1"/>
  <c r="T935" i="2"/>
  <c r="T936" i="2" a="1"/>
  <c r="T936" i="2" s="1"/>
  <c r="T937" i="2" a="1"/>
  <c r="T937" i="2" s="1"/>
  <c r="T938" i="2" a="1"/>
  <c r="T938" i="2" s="1"/>
  <c r="T939" i="2" a="1"/>
  <c r="T939" i="2" s="1"/>
  <c r="T940" i="2" a="1"/>
  <c r="T940" i="2" s="1"/>
  <c r="T941" i="2" a="1"/>
  <c r="T941" i="2"/>
  <c r="T942" i="2" a="1"/>
  <c r="T942" i="2" s="1"/>
  <c r="T943" i="2" a="1"/>
  <c r="T943" i="2"/>
  <c r="T944" i="2" a="1"/>
  <c r="T944" i="2" s="1"/>
  <c r="T945" i="2" a="1"/>
  <c r="T945" i="2" s="1"/>
  <c r="T946" i="2" a="1"/>
  <c r="T946" i="2" s="1"/>
  <c r="T947" i="2" a="1"/>
  <c r="T947" i="2" s="1"/>
  <c r="T948" i="2" a="1"/>
  <c r="T948" i="2" s="1"/>
  <c r="T949" i="2" a="1"/>
  <c r="T949" i="2"/>
  <c r="T950" i="2" a="1"/>
  <c r="T950" i="2" s="1"/>
  <c r="T951" i="2" a="1"/>
  <c r="T951" i="2"/>
  <c r="T952" i="2" a="1"/>
  <c r="T952" i="2" s="1"/>
  <c r="T953" i="2" a="1"/>
  <c r="T953" i="2" s="1"/>
  <c r="T954" i="2" a="1"/>
  <c r="T954" i="2" s="1"/>
  <c r="T955" i="2" a="1"/>
  <c r="T955" i="2" s="1"/>
  <c r="T956" i="2" a="1"/>
  <c r="T956" i="2" s="1"/>
  <c r="T957" i="2" a="1"/>
  <c r="T957" i="2"/>
  <c r="T958" i="2" a="1"/>
  <c r="T958" i="2" s="1"/>
  <c r="T959" i="2" a="1"/>
  <c r="T959" i="2"/>
  <c r="T960" i="2" a="1"/>
  <c r="T960" i="2" s="1"/>
  <c r="T961" i="2" a="1"/>
  <c r="T961" i="2" s="1"/>
  <c r="T962" i="2" a="1"/>
  <c r="T962" i="2" s="1"/>
  <c r="T963" i="2" a="1"/>
  <c r="T963" i="2" s="1"/>
  <c r="T964" i="2" a="1"/>
  <c r="T964" i="2" s="1"/>
  <c r="T965" i="2" a="1"/>
  <c r="T965" i="2"/>
  <c r="T966" i="2" a="1"/>
  <c r="T966" i="2" s="1"/>
  <c r="T967" i="2" a="1"/>
  <c r="T967" i="2"/>
  <c r="T968" i="2" a="1"/>
  <c r="T968" i="2" s="1"/>
  <c r="T969" i="2" a="1"/>
  <c r="T969" i="2" s="1"/>
  <c r="T970" i="2" a="1"/>
  <c r="T970" i="2" s="1"/>
  <c r="T971" i="2" a="1"/>
  <c r="T971" i="2" s="1"/>
  <c r="T972" i="2" a="1"/>
  <c r="T972" i="2" s="1"/>
  <c r="T973" i="2" a="1"/>
  <c r="T973" i="2"/>
  <c r="T974" i="2" a="1"/>
  <c r="T974" i="2" s="1"/>
  <c r="T975" i="2" a="1"/>
  <c r="T975" i="2"/>
  <c r="T976" i="2" a="1"/>
  <c r="T976" i="2" s="1"/>
  <c r="T977" i="2" a="1"/>
  <c r="T977" i="2" s="1"/>
  <c r="T978" i="2" a="1"/>
  <c r="T978" i="2" s="1"/>
  <c r="T979" i="2" a="1"/>
  <c r="T979" i="2" s="1"/>
  <c r="T980" i="2" a="1"/>
  <c r="T980" i="2" s="1"/>
  <c r="T981" i="2" a="1"/>
  <c r="T981" i="2"/>
  <c r="T982" i="2" a="1"/>
  <c r="T982" i="2" s="1"/>
  <c r="T983" i="2" a="1"/>
  <c r="T983" i="2"/>
  <c r="T984" i="2" a="1"/>
  <c r="T984" i="2" s="1"/>
  <c r="T985" i="2" a="1"/>
  <c r="T985" i="2" s="1"/>
  <c r="T986" i="2" a="1"/>
  <c r="T986" i="2" s="1"/>
  <c r="T987" i="2" a="1"/>
  <c r="T987" i="2" s="1"/>
  <c r="T988" i="2" a="1"/>
  <c r="T988" i="2" s="1"/>
  <c r="T989" i="2" a="1"/>
  <c r="T989" i="2"/>
  <c r="T990" i="2" a="1"/>
  <c r="T990" i="2" s="1"/>
  <c r="T991" i="2" a="1"/>
  <c r="T991" i="2"/>
  <c r="T992" i="2" a="1"/>
  <c r="T992" i="2" s="1"/>
  <c r="T993" i="2" a="1"/>
  <c r="T993" i="2" s="1"/>
  <c r="T994" i="2" a="1"/>
  <c r="T994" i="2" s="1"/>
  <c r="T995" i="2" a="1"/>
  <c r="T995" i="2" s="1"/>
  <c r="T996" i="2" a="1"/>
  <c r="T996" i="2" s="1"/>
  <c r="T997" i="2" a="1"/>
  <c r="T997" i="2"/>
  <c r="T998" i="2" a="1"/>
  <c r="T998" i="2" s="1"/>
  <c r="T999" i="2" a="1"/>
  <c r="T999" i="2"/>
  <c r="T1000" i="2" a="1"/>
  <c r="T1000" i="2" s="1"/>
  <c r="T1001" i="2" a="1"/>
  <c r="T1001" i="2" s="1"/>
  <c r="T1002" i="2" a="1"/>
  <c r="T1002" i="2" s="1"/>
  <c r="T1003" i="2" a="1"/>
  <c r="T1003" i="2" s="1"/>
  <c r="T1004" i="2" a="1"/>
  <c r="T1004" i="2" s="1"/>
  <c r="T1005" i="2" a="1"/>
  <c r="T1005" i="2"/>
  <c r="T1006" i="2" a="1"/>
  <c r="T1006" i="2" s="1"/>
  <c r="T1007" i="2" a="1"/>
  <c r="T1007" i="2"/>
  <c r="T1008" i="2" a="1"/>
  <c r="T1008" i="2" s="1"/>
  <c r="T1009" i="2" a="1"/>
  <c r="T1009" i="2" s="1"/>
  <c r="T1010" i="2" a="1"/>
  <c r="T1010" i="2" s="1"/>
  <c r="T1011" i="2" a="1"/>
  <c r="T1011" i="2" s="1"/>
  <c r="T1012" i="2" a="1"/>
  <c r="T1012" i="2" s="1"/>
  <c r="T1013" i="2" a="1"/>
  <c r="T1013" i="2"/>
  <c r="T1014" i="2" a="1"/>
  <c r="T1014" i="2" s="1"/>
  <c r="T1015" i="2" a="1"/>
  <c r="T1015" i="2"/>
  <c r="T1016" i="2" a="1"/>
  <c r="T1016" i="2" s="1"/>
  <c r="T1017" i="2" a="1"/>
  <c r="T1017" i="2" s="1"/>
  <c r="T1018" i="2" a="1"/>
  <c r="T1018" i="2" s="1"/>
  <c r="T1019" i="2" a="1"/>
  <c r="T1019" i="2" s="1"/>
  <c r="T1020" i="2" a="1"/>
  <c r="T1020" i="2" s="1"/>
  <c r="T1021" i="2" a="1"/>
  <c r="T1021" i="2"/>
  <c r="T1022" i="2" a="1"/>
  <c r="T1022" i="2" s="1"/>
  <c r="T1023" i="2" a="1"/>
  <c r="T1023" i="2"/>
  <c r="T1024" i="2" a="1"/>
  <c r="T1024" i="2" s="1"/>
  <c r="T1025" i="2" a="1"/>
  <c r="T1025" i="2" s="1"/>
  <c r="T1026" i="2" a="1"/>
  <c r="T1026" i="2" s="1"/>
  <c r="T1027" i="2" a="1"/>
  <c r="T1027" i="2" s="1"/>
  <c r="T1028" i="2" a="1"/>
  <c r="T1028" i="2" s="1"/>
  <c r="T1029" i="2" a="1"/>
  <c r="T1029" i="2"/>
  <c r="T1030" i="2" a="1"/>
  <c r="T1030" i="2" s="1"/>
  <c r="T1031" i="2" a="1"/>
  <c r="T1031" i="2"/>
  <c r="T1032" i="2" a="1"/>
  <c r="T1032" i="2" s="1"/>
  <c r="T1033" i="2" a="1"/>
  <c r="T1033" i="2" s="1"/>
  <c r="T1034" i="2" a="1"/>
  <c r="T1034" i="2" s="1"/>
  <c r="T1035" i="2" a="1"/>
  <c r="T1035" i="2" s="1"/>
  <c r="T1036" i="2" a="1"/>
  <c r="T1036" i="2" s="1"/>
  <c r="T1037" i="2" a="1"/>
  <c r="T1037" i="2"/>
  <c r="T1038" i="2" a="1"/>
  <c r="T1038" i="2" s="1"/>
  <c r="T1039" i="2" a="1"/>
  <c r="T1039" i="2"/>
  <c r="T1040" i="2" a="1"/>
  <c r="T1040" i="2" s="1"/>
  <c r="T1041" i="2" a="1"/>
  <c r="T1041" i="2" s="1"/>
  <c r="T1042" i="2" a="1"/>
  <c r="T1042" i="2" s="1"/>
  <c r="T1043" i="2" a="1"/>
  <c r="T1043" i="2" s="1"/>
  <c r="T1044" i="2" a="1"/>
  <c r="T1044" i="2" s="1"/>
  <c r="T1045" i="2" a="1"/>
  <c r="T1045" i="2"/>
  <c r="T1046" i="2" a="1"/>
  <c r="T1046" i="2" s="1"/>
  <c r="T1047" i="2" a="1"/>
  <c r="T1047" i="2"/>
  <c r="T1048" i="2" a="1"/>
  <c r="T1048" i="2" s="1"/>
  <c r="T1049" i="2" a="1"/>
  <c r="T1049" i="2" s="1"/>
  <c r="T1050" i="2" a="1"/>
  <c r="T1050" i="2" s="1"/>
  <c r="T1051" i="2" a="1"/>
  <c r="T1051" i="2" s="1"/>
  <c r="T1052" i="2" a="1"/>
  <c r="T1052" i="2" s="1"/>
  <c r="T1053" i="2" a="1"/>
  <c r="T1053" i="2"/>
  <c r="T1054" i="2" a="1"/>
  <c r="T1054" i="2" s="1"/>
  <c r="T1055" i="2" a="1"/>
  <c r="T1055" i="2"/>
  <c r="T1056" i="2" a="1"/>
  <c r="T1056" i="2" s="1"/>
  <c r="T1057" i="2" a="1"/>
  <c r="T1057" i="2" s="1"/>
  <c r="T1058" i="2" a="1"/>
  <c r="T1058" i="2" s="1"/>
  <c r="T1059" i="2" a="1"/>
  <c r="T1059" i="2" s="1"/>
  <c r="T1060" i="2" a="1"/>
  <c r="T1060" i="2" s="1"/>
  <c r="T1061" i="2" a="1"/>
  <c r="T1061" i="2"/>
  <c r="T1062" i="2" a="1"/>
  <c r="T1062" i="2" s="1"/>
  <c r="T1063" i="2" a="1"/>
  <c r="T1063" i="2"/>
  <c r="T1064" i="2" a="1"/>
  <c r="T1064" i="2" s="1"/>
  <c r="T1065" i="2" a="1"/>
  <c r="T1065" i="2" s="1"/>
  <c r="T1066" i="2" a="1"/>
  <c r="T1066" i="2" s="1"/>
  <c r="T1067" i="2" a="1"/>
  <c r="T1067" i="2" s="1"/>
  <c r="T1068" i="2" a="1"/>
  <c r="T1068" i="2" s="1"/>
  <c r="T1069" i="2" a="1"/>
  <c r="T1069" i="2"/>
  <c r="T1070" i="2" a="1"/>
  <c r="T1070" i="2" s="1"/>
  <c r="T1071" i="2" a="1"/>
  <c r="T1071" i="2"/>
  <c r="T1072" i="2" a="1"/>
  <c r="T1072" i="2" s="1"/>
  <c r="T1073" i="2" a="1"/>
  <c r="T1073" i="2" s="1"/>
  <c r="T1074" i="2" a="1"/>
  <c r="T1074" i="2" s="1"/>
  <c r="T1075" i="2" a="1"/>
  <c r="T1075" i="2" s="1"/>
  <c r="T1076" i="2" a="1"/>
  <c r="T1076" i="2" s="1"/>
  <c r="T1077" i="2" a="1"/>
  <c r="T1077" i="2"/>
  <c r="T1078" i="2" a="1"/>
  <c r="T1078" i="2" s="1"/>
  <c r="T1079" i="2" a="1"/>
  <c r="T1079" i="2"/>
  <c r="T1080" i="2" a="1"/>
  <c r="T1080" i="2" s="1"/>
  <c r="T1081" i="2" a="1"/>
  <c r="T1081" i="2" s="1"/>
  <c r="T1082" i="2" a="1"/>
  <c r="T1082" i="2" s="1"/>
  <c r="T1083" i="2" a="1"/>
  <c r="T1083" i="2" s="1"/>
  <c r="T1084" i="2" a="1"/>
  <c r="T1084" i="2" s="1"/>
  <c r="T1085" i="2" a="1"/>
  <c r="T1085" i="2"/>
  <c r="T1086" i="2" a="1"/>
  <c r="T1086" i="2" s="1"/>
  <c r="T1087" i="2" a="1"/>
  <c r="T1087" i="2"/>
  <c r="T1088" i="2" a="1"/>
  <c r="T1088" i="2" s="1"/>
  <c r="T1089" i="2" a="1"/>
  <c r="T1089" i="2" s="1"/>
  <c r="T1090" i="2" a="1"/>
  <c r="T1090" i="2" s="1"/>
  <c r="T1091" i="2" a="1"/>
  <c r="T1091" i="2" s="1"/>
  <c r="T1092" i="2" a="1"/>
  <c r="T1092" i="2" s="1"/>
  <c r="T1093" i="2" a="1"/>
  <c r="T1093" i="2"/>
  <c r="T1094" i="2" a="1"/>
  <c r="T1094" i="2" s="1"/>
  <c r="T1095" i="2" a="1"/>
  <c r="T1095" i="2"/>
  <c r="T1096" i="2" a="1"/>
  <c r="T1096" i="2" s="1"/>
  <c r="T1097" i="2" a="1"/>
  <c r="T1097" i="2" s="1"/>
  <c r="T1098" i="2" a="1"/>
  <c r="T1098" i="2" s="1"/>
  <c r="T1099" i="2" a="1"/>
  <c r="T1099" i="2" s="1"/>
  <c r="T1100" i="2" a="1"/>
  <c r="T1100" i="2" s="1"/>
  <c r="T1101" i="2" a="1"/>
  <c r="T1101" i="2"/>
  <c r="T1102" i="2" a="1"/>
  <c r="T1102" i="2" s="1"/>
  <c r="T1103" i="2" a="1"/>
  <c r="T1103" i="2"/>
  <c r="T1104" i="2" a="1"/>
  <c r="T1104" i="2" s="1"/>
  <c r="T1105" i="2" a="1"/>
  <c r="T1105" i="2" s="1"/>
  <c r="T1106" i="2" a="1"/>
  <c r="T1106" i="2" s="1"/>
  <c r="T1107" i="2" a="1"/>
  <c r="T1107" i="2" s="1"/>
  <c r="T1108" i="2" a="1"/>
  <c r="T1108" i="2" s="1"/>
  <c r="T1109" i="2" a="1"/>
  <c r="T1109" i="2"/>
  <c r="T1110" i="2" a="1"/>
  <c r="T1110" i="2" s="1"/>
  <c r="T1111" i="2" a="1"/>
  <c r="T1111" i="2"/>
  <c r="T1112" i="2" a="1"/>
  <c r="T1112" i="2" s="1"/>
  <c r="T1113" i="2" a="1"/>
  <c r="T1113" i="2" s="1"/>
  <c r="T1114" i="2" a="1"/>
  <c r="T1114" i="2" s="1"/>
  <c r="T1115" i="2" a="1"/>
  <c r="T1115" i="2" s="1"/>
  <c r="T1116" i="2" a="1"/>
  <c r="T1116" i="2" s="1"/>
  <c r="T1117" i="2" a="1"/>
  <c r="T1117" i="2"/>
  <c r="T1118" i="2" a="1"/>
  <c r="T1118" i="2" s="1"/>
  <c r="T1119" i="2" a="1"/>
  <c r="T1119" i="2"/>
  <c r="T1120" i="2" a="1"/>
  <c r="T1120" i="2" s="1"/>
  <c r="T1121" i="2" a="1"/>
  <c r="T1121" i="2" s="1"/>
  <c r="T1122" i="2" a="1"/>
  <c r="T1122" i="2" s="1"/>
  <c r="T1123" i="2" a="1"/>
  <c r="T1123" i="2" s="1"/>
  <c r="T1124" i="2" a="1"/>
  <c r="T1124" i="2" s="1"/>
  <c r="T1125" i="2" a="1"/>
  <c r="T1125" i="2"/>
  <c r="T1126" i="2" a="1"/>
  <c r="T1126" i="2" s="1"/>
  <c r="T1127" i="2" a="1"/>
  <c r="T1127" i="2"/>
  <c r="T1128" i="2" a="1"/>
  <c r="T1128" i="2" s="1"/>
  <c r="T1129" i="2" a="1"/>
  <c r="T1129" i="2" s="1"/>
  <c r="T1130" i="2" a="1"/>
  <c r="T1130" i="2" s="1"/>
  <c r="T1131" i="2" a="1"/>
  <c r="T1131" i="2" s="1"/>
  <c r="T1132" i="2" a="1"/>
  <c r="T1132" i="2" s="1"/>
  <c r="T1133" i="2" a="1"/>
  <c r="T1133" i="2"/>
  <c r="T1134" i="2" a="1"/>
  <c r="T1134" i="2" s="1"/>
  <c r="T1135" i="2" a="1"/>
  <c r="T1135" i="2"/>
  <c r="T1136" i="2" a="1"/>
  <c r="T1136" i="2" s="1"/>
  <c r="T1137" i="2" a="1"/>
  <c r="T1137" i="2" s="1"/>
  <c r="T1138" i="2" a="1"/>
  <c r="T1138" i="2" s="1"/>
  <c r="T1139" i="2" a="1"/>
  <c r="T1139" i="2" s="1"/>
  <c r="T1140" i="2" a="1"/>
  <c r="T1140" i="2" s="1"/>
  <c r="T1141" i="2" a="1"/>
  <c r="T1141" i="2"/>
  <c r="T1142" i="2" a="1"/>
  <c r="T1142" i="2" s="1"/>
  <c r="T1143" i="2" a="1"/>
  <c r="T1143" i="2"/>
  <c r="T1144" i="2" a="1"/>
  <c r="T1144" i="2" s="1"/>
  <c r="T1145" i="2" a="1"/>
  <c r="T1145" i="2" s="1"/>
  <c r="T1146" i="2" a="1"/>
  <c r="T1146" i="2" s="1"/>
  <c r="T1147" i="2" a="1"/>
  <c r="T1147" i="2" s="1"/>
  <c r="T1148" i="2" a="1"/>
  <c r="T1148" i="2" s="1"/>
  <c r="T1149" i="2" a="1"/>
  <c r="T1149" i="2"/>
  <c r="T1150" i="2" a="1"/>
  <c r="T1150" i="2" s="1"/>
  <c r="T1151" i="2" a="1"/>
  <c r="T1151" i="2"/>
  <c r="T1152" i="2" a="1"/>
  <c r="T1152" i="2" s="1"/>
  <c r="T1153" i="2" a="1"/>
  <c r="T1153" i="2" s="1"/>
  <c r="T1154" i="2" a="1"/>
  <c r="T1154" i="2" s="1"/>
  <c r="T1155" i="2" a="1"/>
  <c r="T1155" i="2" s="1"/>
  <c r="T1156" i="2" a="1"/>
  <c r="T1156" i="2" s="1"/>
  <c r="T1157" i="2" a="1"/>
  <c r="T1157" i="2"/>
  <c r="T1158" i="2" a="1"/>
  <c r="T1158" i="2" s="1"/>
  <c r="T1159" i="2" a="1"/>
  <c r="T1159" i="2"/>
  <c r="T1160" i="2" a="1"/>
  <c r="T1160" i="2" s="1"/>
  <c r="T1161" i="2" a="1"/>
  <c r="T1161" i="2" s="1"/>
  <c r="T1162" i="2" a="1"/>
  <c r="T1162" i="2" s="1"/>
  <c r="T1163" i="2" a="1"/>
  <c r="T1163" i="2" s="1"/>
  <c r="T1164" i="2" a="1"/>
  <c r="T1164" i="2" s="1"/>
  <c r="T1165" i="2" a="1"/>
  <c r="T1165" i="2"/>
  <c r="T1166" i="2" a="1"/>
  <c r="T1166" i="2" s="1"/>
  <c r="T1167" i="2" a="1"/>
  <c r="T1167" i="2"/>
  <c r="T1168" i="2" a="1"/>
  <c r="T1168" i="2" s="1"/>
  <c r="T1169" i="2" a="1"/>
  <c r="T1169" i="2" s="1"/>
  <c r="T1170" i="2" a="1"/>
  <c r="T1170" i="2" s="1"/>
  <c r="T1171" i="2" a="1"/>
  <c r="T1171" i="2" s="1"/>
  <c r="T1172" i="2" a="1"/>
  <c r="T1172" i="2" s="1"/>
  <c r="T1173" i="2" a="1"/>
  <c r="T1173" i="2"/>
  <c r="T1174" i="2" a="1"/>
  <c r="T1174" i="2" s="1"/>
  <c r="T1175" i="2" a="1"/>
  <c r="T1175" i="2"/>
  <c r="T1176" i="2" a="1"/>
  <c r="T1176" i="2" s="1"/>
  <c r="T1177" i="2" a="1"/>
  <c r="T1177" i="2" s="1"/>
  <c r="T1178" i="2" a="1"/>
  <c r="T1178" i="2" s="1"/>
  <c r="T1179" i="2" a="1"/>
  <c r="T1179" i="2" s="1"/>
  <c r="T1180" i="2" a="1"/>
  <c r="T1180" i="2" s="1"/>
  <c r="T1181" i="2" a="1"/>
  <c r="T1181" i="2"/>
  <c r="T1182" i="2" a="1"/>
  <c r="T1182" i="2" s="1"/>
  <c r="T1183" i="2" a="1"/>
  <c r="T1183" i="2"/>
  <c r="T1184" i="2" a="1"/>
  <c r="T1184" i="2" s="1"/>
  <c r="T1185" i="2" a="1"/>
  <c r="T1185" i="2" s="1"/>
  <c r="T1186" i="2" a="1"/>
  <c r="T1186" i="2" s="1"/>
  <c r="T1187" i="2" a="1"/>
  <c r="T1187" i="2" s="1"/>
  <c r="T1188" i="2" a="1"/>
  <c r="T1188" i="2" s="1"/>
  <c r="T1189" i="2" a="1"/>
  <c r="T1189" i="2"/>
  <c r="T1190" i="2" a="1"/>
  <c r="T1190" i="2" s="1"/>
  <c r="T1191" i="2" a="1"/>
  <c r="T1191" i="2"/>
  <c r="T1192" i="2" a="1"/>
  <c r="T1192" i="2" s="1"/>
  <c r="T1193" i="2" a="1"/>
  <c r="T1193" i="2" s="1"/>
  <c r="T1194" i="2" a="1"/>
  <c r="T1194" i="2" s="1"/>
  <c r="T1195" i="2" a="1"/>
  <c r="T1195" i="2" s="1"/>
  <c r="T1196" i="2" a="1"/>
  <c r="T1196" i="2" s="1"/>
  <c r="T1197" i="2" a="1"/>
  <c r="T1197" i="2"/>
  <c r="T1198" i="2" a="1"/>
  <c r="T1198" i="2" s="1"/>
  <c r="T1199" i="2" a="1"/>
  <c r="T1199" i="2"/>
  <c r="T1200" i="2" a="1"/>
  <c r="T1200" i="2" s="1"/>
  <c r="T1201" i="2" a="1"/>
  <c r="T1201" i="2" s="1"/>
  <c r="T1202" i="2" a="1"/>
  <c r="T1202" i="2" s="1"/>
  <c r="T1203" i="2" a="1"/>
  <c r="T1203" i="2" s="1"/>
  <c r="T1204" i="2" a="1"/>
  <c r="T1204" i="2" s="1"/>
  <c r="T1205" i="2" a="1"/>
  <c r="T1205" i="2"/>
  <c r="T1206" i="2" a="1"/>
  <c r="T1206" i="2" s="1"/>
  <c r="T1207" i="2" a="1"/>
  <c r="T1207" i="2"/>
  <c r="T1208" i="2" a="1"/>
  <c r="T1208" i="2" s="1"/>
  <c r="T1209" i="2" a="1"/>
  <c r="T1209" i="2" s="1"/>
  <c r="T1210" i="2" a="1"/>
  <c r="T1210" i="2" s="1"/>
  <c r="T1211" i="2" a="1"/>
  <c r="T1211" i="2" s="1"/>
  <c r="T1212" i="2" a="1"/>
  <c r="T1212" i="2" s="1"/>
  <c r="T1213" i="2" a="1"/>
  <c r="T1213" i="2"/>
  <c r="T1214" i="2" a="1"/>
  <c r="T1214" i="2" s="1"/>
  <c r="T1215" i="2" a="1"/>
  <c r="T1215" i="2"/>
  <c r="T1216" i="2" a="1"/>
  <c r="T1216" i="2" s="1"/>
  <c r="T1217" i="2" a="1"/>
  <c r="T1217" i="2" s="1"/>
  <c r="T1218" i="2" a="1"/>
  <c r="T1218" i="2" s="1"/>
  <c r="T1219" i="2" a="1"/>
  <c r="T1219" i="2" s="1"/>
  <c r="T1220" i="2" a="1"/>
  <c r="T1220" i="2" s="1"/>
  <c r="T1221" i="2" a="1"/>
  <c r="T1221" i="2"/>
  <c r="T1222" i="2" a="1"/>
  <c r="T1222" i="2" s="1"/>
  <c r="T1223" i="2" a="1"/>
  <c r="T1223" i="2"/>
  <c r="T1224" i="2" a="1"/>
  <c r="T1224" i="2" s="1"/>
  <c r="T1225" i="2" a="1"/>
  <c r="T1225" i="2" s="1"/>
  <c r="T1226" i="2" a="1"/>
  <c r="T1226" i="2" s="1"/>
  <c r="T1227" i="2" a="1"/>
  <c r="T1227" i="2" s="1"/>
  <c r="T1228" i="2" a="1"/>
  <c r="T1228" i="2" s="1"/>
  <c r="T1229" i="2" a="1"/>
  <c r="T1229" i="2"/>
  <c r="T1230" i="2" a="1"/>
  <c r="T1230" i="2" s="1"/>
  <c r="T1231" i="2" a="1"/>
  <c r="T1231" i="2"/>
  <c r="T1232" i="2" a="1"/>
  <c r="T1232" i="2" s="1"/>
  <c r="T1233" i="2" a="1"/>
  <c r="T1233" i="2" s="1"/>
  <c r="T1234" i="2" a="1"/>
  <c r="T1234" i="2" s="1"/>
  <c r="T1235" i="2" a="1"/>
  <c r="T1235" i="2" s="1"/>
  <c r="T1236" i="2" a="1"/>
  <c r="T1236" i="2" s="1"/>
  <c r="T1237" i="2" a="1"/>
  <c r="T1237" i="2"/>
  <c r="T1238" i="2" a="1"/>
  <c r="T1238" i="2" s="1"/>
  <c r="T1239" i="2" a="1"/>
  <c r="T1239" i="2"/>
  <c r="T1240" i="2" a="1"/>
  <c r="T1240" i="2" s="1"/>
  <c r="T1241" i="2" a="1"/>
  <c r="T1241" i="2" s="1"/>
  <c r="T1242" i="2" a="1"/>
  <c r="T1242" i="2" s="1"/>
  <c r="T1243" i="2" a="1"/>
  <c r="T1243" i="2" s="1"/>
  <c r="T1244" i="2" a="1"/>
  <c r="T1244" i="2" s="1"/>
  <c r="T1245" i="2" a="1"/>
  <c r="T1245" i="2"/>
  <c r="T1246" i="2" a="1"/>
  <c r="T1246" i="2" s="1"/>
  <c r="T1247" i="2" a="1"/>
  <c r="T1247" i="2"/>
  <c r="T1248" i="2" a="1"/>
  <c r="T1248" i="2" s="1"/>
  <c r="T1249" i="2" a="1"/>
  <c r="T1249" i="2" s="1"/>
  <c r="T1250" i="2" a="1"/>
  <c r="T1250" i="2" s="1"/>
  <c r="T1251" i="2" a="1"/>
  <c r="T1251" i="2" s="1"/>
  <c r="T1252" i="2" a="1"/>
  <c r="T1252" i="2" s="1"/>
  <c r="T1253" i="2" a="1"/>
  <c r="T1253" i="2"/>
  <c r="T1254" i="2" a="1"/>
  <c r="T1254" i="2" s="1"/>
  <c r="T1255" i="2" a="1"/>
  <c r="T1255" i="2"/>
  <c r="T1256" i="2" a="1"/>
  <c r="T1256" i="2" s="1"/>
  <c r="T1257" i="2" a="1"/>
  <c r="T1257" i="2" s="1"/>
  <c r="T1258" i="2" a="1"/>
  <c r="T1258" i="2" s="1"/>
  <c r="T1259" i="2" a="1"/>
  <c r="T1259" i="2" s="1"/>
  <c r="T1260" i="2" a="1"/>
  <c r="T1260" i="2" s="1"/>
  <c r="T1261" i="2" a="1"/>
  <c r="T1261" i="2"/>
  <c r="T1262" i="2" a="1"/>
  <c r="T1262" i="2" s="1"/>
  <c r="T1263" i="2" a="1"/>
  <c r="T1263" i="2"/>
  <c r="T1264" i="2" a="1"/>
  <c r="T1264" i="2" s="1"/>
  <c r="T1265" i="2" a="1"/>
  <c r="T1265" i="2" s="1"/>
  <c r="T1266" i="2" a="1"/>
  <c r="T1266" i="2" s="1"/>
  <c r="T1267" i="2" a="1"/>
  <c r="T1267" i="2" s="1"/>
  <c r="T1268" i="2" a="1"/>
  <c r="T1268" i="2" s="1"/>
  <c r="T1269" i="2" a="1"/>
  <c r="T1269" i="2"/>
  <c r="T1270" i="2" a="1"/>
  <c r="T1270" i="2" s="1"/>
  <c r="T1271" i="2" a="1"/>
  <c r="T1271" i="2"/>
  <c r="T1272" i="2" a="1"/>
  <c r="T1272" i="2" s="1"/>
  <c r="T1273" i="2" a="1"/>
  <c r="T1273" i="2"/>
  <c r="T1274" i="2" a="1"/>
  <c r="T1274" i="2" s="1"/>
  <c r="T1275" i="2" a="1"/>
  <c r="T1275" i="2"/>
  <c r="T1276" i="2" a="1"/>
  <c r="T1276" i="2" s="1"/>
  <c r="T1277" i="2" a="1"/>
  <c r="T1277" i="2"/>
  <c r="T1278" i="2" a="1"/>
  <c r="T1278" i="2" s="1"/>
  <c r="T1279" i="2" a="1"/>
  <c r="T1279" i="2"/>
  <c r="T1280" i="2" a="1"/>
  <c r="T1280" i="2" s="1"/>
  <c r="T1281" i="2" a="1"/>
  <c r="T1281" i="2"/>
  <c r="T1282" i="2" a="1"/>
  <c r="T1282" i="2" s="1"/>
  <c r="T1283" i="2" a="1"/>
  <c r="T1283" i="2"/>
  <c r="T1284" i="2" a="1"/>
  <c r="T1284" i="2" s="1"/>
  <c r="T1285" i="2" a="1"/>
  <c r="T1285" i="2"/>
  <c r="T1286" i="2" a="1"/>
  <c r="T1286" i="2" s="1"/>
  <c r="T1287" i="2" a="1"/>
  <c r="T1287" i="2"/>
  <c r="T1288" i="2" a="1"/>
  <c r="T1288" i="2" s="1"/>
  <c r="T1289" i="2" a="1"/>
  <c r="T1289" i="2"/>
  <c r="T1290" i="2" a="1"/>
  <c r="T1290" i="2" s="1"/>
  <c r="T1291" i="2" a="1"/>
  <c r="T1291" i="2"/>
  <c r="T1292" i="2" a="1"/>
  <c r="T1292" i="2" s="1"/>
  <c r="T1293" i="2" a="1"/>
  <c r="T1293" i="2"/>
  <c r="T1294" i="2" a="1"/>
  <c r="T1294" i="2" s="1"/>
  <c r="T1295" i="2" a="1"/>
  <c r="T1295" i="2"/>
  <c r="T1296" i="2" a="1"/>
  <c r="T1296" i="2" s="1"/>
  <c r="T1297" i="2" a="1"/>
  <c r="T1297" i="2"/>
  <c r="T1298" i="2" a="1"/>
  <c r="T1298" i="2" s="1"/>
  <c r="T1299" i="2" a="1"/>
  <c r="T1299" i="2"/>
  <c r="T1300" i="2" a="1"/>
  <c r="T1300" i="2" s="1"/>
  <c r="T1301" i="2" a="1"/>
  <c r="T1301" i="2"/>
  <c r="T1302" i="2" a="1"/>
  <c r="T1302" i="2" s="1"/>
  <c r="T1303" i="2" a="1"/>
  <c r="T1303" i="2"/>
  <c r="T1304" i="2" a="1"/>
  <c r="T1304" i="2" s="1"/>
  <c r="T1305" i="2" a="1"/>
  <c r="T1305" i="2"/>
  <c r="T1306" i="2" a="1"/>
  <c r="T1306" i="2" s="1"/>
  <c r="T1307" i="2" a="1"/>
  <c r="T1307" i="2"/>
  <c r="T1308" i="2" a="1"/>
  <c r="T1308" i="2" s="1"/>
  <c r="T1309" i="2" a="1"/>
  <c r="T1309" i="2"/>
  <c r="T1310" i="2" a="1"/>
  <c r="T1310" i="2" s="1"/>
  <c r="T1311" i="2" a="1"/>
  <c r="T1311" i="2"/>
  <c r="T1312" i="2" a="1"/>
  <c r="T1312" i="2" s="1"/>
  <c r="T1313" i="2" a="1"/>
  <c r="T1313" i="2"/>
  <c r="T1314" i="2" a="1"/>
  <c r="T1314" i="2" s="1"/>
  <c r="T1315" i="2" a="1"/>
  <c r="T1315" i="2"/>
  <c r="T1316" i="2" a="1"/>
  <c r="T1316" i="2" s="1"/>
  <c r="T1317" i="2" a="1"/>
  <c r="T1317" i="2"/>
  <c r="T1318" i="2" a="1"/>
  <c r="T1318" i="2" s="1"/>
  <c r="T1319" i="2" a="1"/>
  <c r="T1319" i="2"/>
  <c r="T1320" i="2" a="1"/>
  <c r="T1320" i="2" s="1"/>
  <c r="T1321" i="2" a="1"/>
  <c r="T1321" i="2"/>
  <c r="T1322" i="2" a="1"/>
  <c r="T1322" i="2" s="1"/>
  <c r="T1323" i="2" a="1"/>
  <c r="T1323" i="2"/>
  <c r="T1324" i="2" a="1"/>
  <c r="T1324" i="2" s="1"/>
  <c r="T1325" i="2" a="1"/>
  <c r="T1325" i="2"/>
  <c r="T1326" i="2" a="1"/>
  <c r="T1326" i="2" s="1"/>
  <c r="T1327" i="2" a="1"/>
  <c r="T1327" i="2"/>
  <c r="T1328" i="2" a="1"/>
  <c r="T1328" i="2" s="1"/>
  <c r="T1329" i="2" a="1"/>
  <c r="T1329" i="2"/>
  <c r="T1330" i="2" a="1"/>
  <c r="T1330" i="2" s="1"/>
  <c r="T1331" i="2" a="1"/>
  <c r="T1331" i="2"/>
  <c r="T1332" i="2" a="1"/>
  <c r="T1332" i="2" s="1"/>
  <c r="T1333" i="2" a="1"/>
  <c r="T1333" i="2"/>
  <c r="T1334" i="2" a="1"/>
  <c r="T1334" i="2" s="1"/>
  <c r="T1335" i="2" a="1"/>
  <c r="T1335" i="2"/>
  <c r="T1336" i="2" a="1"/>
  <c r="T1336" i="2" s="1"/>
  <c r="T1337" i="2" a="1"/>
  <c r="T1337" i="2"/>
  <c r="T1338" i="2" a="1"/>
  <c r="T1338" i="2" s="1"/>
  <c r="T1339" i="2" a="1"/>
  <c r="T1339" i="2"/>
  <c r="T1340" i="2" a="1"/>
  <c r="T1340" i="2" s="1"/>
  <c r="T1341" i="2" a="1"/>
  <c r="T1341" i="2"/>
  <c r="T1342" i="2" a="1"/>
  <c r="T1342" i="2" s="1"/>
  <c r="T1343" i="2" a="1"/>
  <c r="T1343" i="2"/>
  <c r="T1344" i="2" a="1"/>
  <c r="T1344" i="2" s="1"/>
  <c r="T1345" i="2" a="1"/>
  <c r="T1345" i="2"/>
  <c r="T1346" i="2" a="1"/>
  <c r="T1346" i="2" s="1"/>
  <c r="T1347" i="2" a="1"/>
  <c r="T1347" i="2"/>
  <c r="T1348" i="2" a="1"/>
  <c r="T1348" i="2" s="1"/>
  <c r="T1349" i="2" a="1"/>
  <c r="T1349" i="2"/>
  <c r="T1350" i="2" a="1"/>
  <c r="T1350" i="2" s="1"/>
  <c r="T1351" i="2" a="1"/>
  <c r="T1351" i="2"/>
  <c r="T1352" i="2" a="1"/>
  <c r="T1352" i="2" s="1"/>
  <c r="T1353" i="2" a="1"/>
  <c r="T1353" i="2"/>
  <c r="T1354" i="2" a="1"/>
  <c r="T1354" i="2" s="1"/>
  <c r="T1355" i="2" a="1"/>
  <c r="T1355" i="2"/>
  <c r="T1356" i="2" a="1"/>
  <c r="T1356" i="2" s="1"/>
  <c r="T1357" i="2" a="1"/>
  <c r="T1357" i="2"/>
  <c r="T1358" i="2" a="1"/>
  <c r="T1358" i="2" s="1"/>
  <c r="T1359" i="2" a="1"/>
  <c r="T1359" i="2"/>
  <c r="T1360" i="2" a="1"/>
  <c r="T1360" i="2" s="1"/>
  <c r="T1361" i="2" a="1"/>
  <c r="T1361" i="2"/>
  <c r="T1362" i="2" a="1"/>
  <c r="T1362" i="2" s="1"/>
  <c r="T1363" i="2" a="1"/>
  <c r="T1363" i="2"/>
  <c r="T1364" i="2" a="1"/>
  <c r="T1364" i="2" s="1"/>
  <c r="T1365" i="2" a="1"/>
  <c r="T1365" i="2"/>
  <c r="T1366" i="2" a="1"/>
  <c r="T1366" i="2" s="1"/>
  <c r="T1367" i="2" a="1"/>
  <c r="T1367" i="2"/>
  <c r="T1368" i="2" a="1"/>
  <c r="T1368" i="2" s="1"/>
  <c r="T1369" i="2" a="1"/>
  <c r="T1369" i="2"/>
  <c r="T1370" i="2" a="1"/>
  <c r="T1370" i="2" s="1"/>
  <c r="T1371" i="2" a="1"/>
  <c r="T1371" i="2"/>
  <c r="T1372" i="2" a="1"/>
  <c r="T1372" i="2" s="1"/>
  <c r="T1373" i="2" a="1"/>
  <c r="T1373" i="2"/>
  <c r="T1374" i="2" a="1"/>
  <c r="T1374" i="2" s="1"/>
  <c r="T1375" i="2" a="1"/>
  <c r="T1375" i="2"/>
  <c r="T1376" i="2" a="1"/>
  <c r="T1376" i="2" s="1"/>
  <c r="T1377" i="2" a="1"/>
  <c r="T1377" i="2"/>
  <c r="T1378" i="2" a="1"/>
  <c r="T1378" i="2" s="1"/>
  <c r="T1379" i="2" a="1"/>
  <c r="T1379" i="2"/>
  <c r="T1380" i="2" a="1"/>
  <c r="T1380" i="2" s="1"/>
  <c r="T1381" i="2" a="1"/>
  <c r="T1381" i="2"/>
  <c r="T1382" i="2" a="1"/>
  <c r="T1382" i="2" s="1"/>
  <c r="T1383" i="2" a="1"/>
  <c r="T1383" i="2"/>
  <c r="T1384" i="2" a="1"/>
  <c r="T1384" i="2" s="1"/>
  <c r="T1385" i="2" a="1"/>
  <c r="T1385" i="2"/>
  <c r="T1386" i="2" a="1"/>
  <c r="T1386" i="2" s="1"/>
  <c r="T1387" i="2" a="1"/>
  <c r="T1387" i="2"/>
  <c r="T1388" i="2" a="1"/>
  <c r="T1388" i="2" s="1"/>
  <c r="T1389" i="2" a="1"/>
  <c r="T1389" i="2"/>
  <c r="T1390" i="2" a="1"/>
  <c r="T1390" i="2" s="1"/>
  <c r="T1391" i="2" a="1"/>
  <c r="T1391" i="2"/>
  <c r="T1392" i="2" a="1"/>
  <c r="T1392" i="2" s="1"/>
  <c r="T1393" i="2" a="1"/>
  <c r="T1393" i="2"/>
  <c r="T1394" i="2" a="1"/>
  <c r="T1394" i="2" s="1"/>
  <c r="T1395" i="2" a="1"/>
  <c r="T1395" i="2"/>
  <c r="T1396" i="2" a="1"/>
  <c r="T1396" i="2" s="1"/>
  <c r="T1397" i="2" a="1"/>
  <c r="T1397" i="2"/>
  <c r="T1398" i="2" a="1"/>
  <c r="T1398" i="2" s="1"/>
  <c r="T1399" i="2" a="1"/>
  <c r="T1399" i="2"/>
  <c r="T1400" i="2" a="1"/>
  <c r="T1400" i="2" s="1"/>
  <c r="T1401" i="2" a="1"/>
  <c r="T1401" i="2"/>
  <c r="T1402" i="2" a="1"/>
  <c r="T1402" i="2" s="1"/>
  <c r="T1403" i="2" a="1"/>
  <c r="T1403" i="2"/>
  <c r="T1404" i="2" a="1"/>
  <c r="T1404" i="2" s="1"/>
  <c r="T1405" i="2" a="1"/>
  <c r="T1405" i="2"/>
  <c r="T1406" i="2" a="1"/>
  <c r="T1406" i="2" s="1"/>
  <c r="T1407" i="2" a="1"/>
  <c r="T1407" i="2"/>
  <c r="T1408" i="2" a="1"/>
  <c r="T1408" i="2" s="1"/>
  <c r="T1409" i="2" a="1"/>
  <c r="T1409" i="2"/>
  <c r="T1410" i="2" a="1"/>
  <c r="T1410" i="2" s="1"/>
  <c r="T1411" i="2" a="1"/>
  <c r="T1411" i="2"/>
  <c r="T1412" i="2" a="1"/>
  <c r="T1412" i="2" s="1"/>
  <c r="T1413" i="2" a="1"/>
  <c r="T1413" i="2"/>
  <c r="T1414" i="2" a="1"/>
  <c r="T1414" i="2" s="1"/>
  <c r="T1415" i="2" a="1"/>
  <c r="T1415" i="2"/>
  <c r="T1416" i="2" a="1"/>
  <c r="T1416" i="2" s="1"/>
  <c r="T1417" i="2" a="1"/>
  <c r="T1417" i="2"/>
  <c r="T1418" i="2" a="1"/>
  <c r="T1418" i="2" s="1"/>
  <c r="T1419" i="2" a="1"/>
  <c r="T1419" i="2"/>
  <c r="T1420" i="2" a="1"/>
  <c r="T1420" i="2" s="1"/>
  <c r="T1421" i="2" a="1"/>
  <c r="T1421" i="2"/>
  <c r="T1422" i="2" a="1"/>
  <c r="T1422" i="2" s="1"/>
  <c r="T1423" i="2" a="1"/>
  <c r="T1423" i="2"/>
  <c r="T1424" i="2" a="1"/>
  <c r="T1424" i="2" s="1"/>
  <c r="T1425" i="2" a="1"/>
  <c r="T1425" i="2"/>
  <c r="T1426" i="2" a="1"/>
  <c r="T1426" i="2" s="1"/>
  <c r="T1427" i="2" a="1"/>
  <c r="T1427" i="2"/>
  <c r="T1428" i="2" a="1"/>
  <c r="T1428" i="2" s="1"/>
  <c r="T1429" i="2" a="1"/>
  <c r="T1429" i="2"/>
  <c r="T1430" i="2" a="1"/>
  <c r="T1430" i="2" s="1"/>
  <c r="T1431" i="2" a="1"/>
  <c r="T1431" i="2"/>
  <c r="T1432" i="2" a="1"/>
  <c r="T1432" i="2" s="1"/>
  <c r="T1433" i="2" a="1"/>
  <c r="T1433" i="2"/>
  <c r="T1434" i="2" a="1"/>
  <c r="T1434" i="2" s="1"/>
  <c r="T1435" i="2" a="1"/>
  <c r="T1435" i="2"/>
  <c r="T1436" i="2" a="1"/>
  <c r="T1436" i="2" s="1"/>
  <c r="T1437" i="2" a="1"/>
  <c r="T1437" i="2"/>
  <c r="T1438" i="2" a="1"/>
  <c r="T1438" i="2" s="1"/>
  <c r="T1439" i="2" a="1"/>
  <c r="T1439" i="2"/>
  <c r="T1440" i="2" a="1"/>
  <c r="T1440" i="2" s="1"/>
  <c r="T1441" i="2" a="1"/>
  <c r="T1441" i="2"/>
  <c r="T1442" i="2" a="1"/>
  <c r="T1442" i="2" s="1"/>
  <c r="T1443" i="2" a="1"/>
  <c r="T1443" i="2"/>
  <c r="T1444" i="2" a="1"/>
  <c r="T1444" i="2" s="1"/>
  <c r="T1445" i="2" a="1"/>
  <c r="T1445" i="2"/>
  <c r="T1446" i="2" a="1"/>
  <c r="T1446" i="2" s="1"/>
  <c r="T1447" i="2" a="1"/>
  <c r="T1447" i="2"/>
  <c r="T1448" i="2" a="1"/>
  <c r="T1448" i="2" s="1"/>
  <c r="T1449" i="2" a="1"/>
  <c r="T1449" i="2"/>
  <c r="T1450" i="2" a="1"/>
  <c r="T1450" i="2" s="1"/>
  <c r="T1451" i="2" a="1"/>
  <c r="T1451" i="2"/>
  <c r="T1452" i="2" a="1"/>
  <c r="T1452" i="2" s="1"/>
  <c r="T1453" i="2" a="1"/>
  <c r="T1453" i="2"/>
  <c r="T1454" i="2" a="1"/>
  <c r="T1454" i="2" s="1"/>
  <c r="T1455" i="2" a="1"/>
  <c r="T1455" i="2"/>
  <c r="T1456" i="2" a="1"/>
  <c r="T1456" i="2" s="1"/>
  <c r="T1457" i="2" a="1"/>
  <c r="T1457" i="2"/>
  <c r="T1458" i="2" a="1"/>
  <c r="T1458" i="2" s="1"/>
  <c r="T1459" i="2" a="1"/>
  <c r="T1459" i="2"/>
  <c r="T1460" i="2" a="1"/>
  <c r="T1460" i="2" s="1"/>
  <c r="T1461" i="2" a="1"/>
  <c r="T1461" i="2"/>
  <c r="T1462" i="2" a="1"/>
  <c r="T1462" i="2" s="1"/>
  <c r="T1463" i="2" a="1"/>
  <c r="T1463" i="2"/>
  <c r="T1464" i="2" a="1"/>
  <c r="T1464" i="2" s="1"/>
  <c r="T1465" i="2" a="1"/>
  <c r="T1465" i="2"/>
  <c r="T1466" i="2" a="1"/>
  <c r="T1466" i="2" s="1"/>
  <c r="T1467" i="2" a="1"/>
  <c r="T1467" i="2"/>
  <c r="T1468" i="2" a="1"/>
  <c r="T1468" i="2" s="1"/>
  <c r="T1469" i="2" a="1"/>
  <c r="T1469" i="2"/>
  <c r="T1470" i="2" a="1"/>
  <c r="T1470" i="2" s="1"/>
  <c r="T1471" i="2" a="1"/>
  <c r="T1471" i="2"/>
  <c r="R2" i="2" a="1"/>
  <c r="R2" i="2" s="1"/>
  <c r="R3" i="2" a="1"/>
  <c r="R3" i="2"/>
  <c r="R4" i="2" a="1"/>
  <c r="R4" i="2" s="1"/>
  <c r="R5" i="2" a="1"/>
  <c r="R5" i="2" s="1"/>
  <c r="R6" i="2" a="1"/>
  <c r="R6" i="2" s="1"/>
  <c r="R7" i="2" a="1"/>
  <c r="R7" i="2" s="1"/>
  <c r="R8" i="2" a="1"/>
  <c r="R8" i="2" s="1"/>
  <c r="R9" i="2" a="1"/>
  <c r="R9" i="2"/>
  <c r="R10" i="2" a="1"/>
  <c r="R10" i="2" s="1"/>
  <c r="R11" i="2" a="1"/>
  <c r="R11" i="2"/>
  <c r="R12" i="2" a="1"/>
  <c r="R12" i="2" s="1"/>
  <c r="R13" i="2" a="1"/>
  <c r="R13" i="2" s="1"/>
  <c r="R14" i="2" a="1"/>
  <c r="R14" i="2" s="1"/>
  <c r="R15" i="2" a="1"/>
  <c r="R15" i="2" s="1"/>
  <c r="R16" i="2" a="1"/>
  <c r="R16" i="2" s="1"/>
  <c r="R17" i="2" a="1"/>
  <c r="R17" i="2"/>
  <c r="R18" i="2" a="1"/>
  <c r="R18" i="2" s="1"/>
  <c r="R19" i="2" a="1"/>
  <c r="R19" i="2"/>
  <c r="R20" i="2" a="1"/>
  <c r="R20" i="2" s="1"/>
  <c r="R21" i="2" a="1"/>
  <c r="R21" i="2" s="1"/>
  <c r="R22" i="2" a="1"/>
  <c r="R22" i="2" s="1"/>
  <c r="R23" i="2" a="1"/>
  <c r="R23" i="2" s="1"/>
  <c r="R24" i="2" a="1"/>
  <c r="R24" i="2" s="1"/>
  <c r="R25" i="2" a="1"/>
  <c r="R25" i="2"/>
  <c r="R26" i="2" a="1"/>
  <c r="R26" i="2" s="1"/>
  <c r="R27" i="2" a="1"/>
  <c r="R27" i="2"/>
  <c r="R28" i="2" a="1"/>
  <c r="R28" i="2" s="1"/>
  <c r="R29" i="2" a="1"/>
  <c r="R29" i="2"/>
  <c r="R30" i="2" a="1"/>
  <c r="R30" i="2" s="1"/>
  <c r="R31" i="2" a="1"/>
  <c r="R31" i="2" s="1"/>
  <c r="R32" i="2" a="1"/>
  <c r="R32" i="2" s="1"/>
  <c r="R33" i="2" a="1"/>
  <c r="R33" i="2" s="1"/>
  <c r="R34" i="2" a="1"/>
  <c r="R34" i="2" s="1"/>
  <c r="R35" i="2" a="1"/>
  <c r="R35" i="2"/>
  <c r="R36" i="2" a="1"/>
  <c r="R36" i="2" s="1"/>
  <c r="R37" i="2" a="1"/>
  <c r="R37" i="2"/>
  <c r="R38" i="2" a="1"/>
  <c r="R38" i="2" s="1"/>
  <c r="R39" i="2" a="1"/>
  <c r="R39" i="2" s="1"/>
  <c r="R40" i="2" a="1"/>
  <c r="R40" i="2" s="1"/>
  <c r="R41" i="2" a="1"/>
  <c r="R41" i="2"/>
  <c r="R42" i="2" a="1"/>
  <c r="R42" i="2" s="1"/>
  <c r="R43" i="2" a="1"/>
  <c r="R43" i="2"/>
  <c r="R44" i="2" a="1"/>
  <c r="R44" i="2" s="1"/>
  <c r="R45" i="2" a="1"/>
  <c r="R45" i="2"/>
  <c r="R46" i="2" a="1"/>
  <c r="R46" i="2" s="1"/>
  <c r="R47" i="2" a="1"/>
  <c r="R47" i="2" s="1"/>
  <c r="R48" i="2" a="1"/>
  <c r="R48" i="2" s="1"/>
  <c r="R49" i="2" a="1"/>
  <c r="R49" i="2"/>
  <c r="R50" i="2" a="1"/>
  <c r="R50" i="2" s="1"/>
  <c r="R51" i="2" a="1"/>
  <c r="R51" i="2"/>
  <c r="R52" i="2" a="1"/>
  <c r="R52" i="2" s="1"/>
  <c r="R53" i="2" a="1"/>
  <c r="R53" i="2"/>
  <c r="R54" i="2" a="1"/>
  <c r="R54" i="2" s="1"/>
  <c r="R55" i="2" a="1"/>
  <c r="R55" i="2" s="1"/>
  <c r="R56" i="2" a="1"/>
  <c r="R56" i="2" s="1"/>
  <c r="R57" i="2" a="1"/>
  <c r="R57" i="2"/>
  <c r="R58" i="2" a="1"/>
  <c r="R58" i="2" s="1"/>
  <c r="R59" i="2" a="1"/>
  <c r="R59" i="2"/>
  <c r="R60" i="2" a="1"/>
  <c r="R60" i="2" s="1"/>
  <c r="R61" i="2" a="1"/>
  <c r="R61" i="2"/>
  <c r="R62" i="2" a="1"/>
  <c r="R62" i="2" s="1"/>
  <c r="R63" i="2" a="1"/>
  <c r="R63" i="2" s="1"/>
  <c r="R64" i="2" a="1"/>
  <c r="R64" i="2" s="1"/>
  <c r="R65" i="2" a="1"/>
  <c r="R65" i="2" s="1"/>
  <c r="R66" i="2" a="1"/>
  <c r="R66" i="2" s="1"/>
  <c r="R67" i="2" a="1"/>
  <c r="R67" i="2"/>
  <c r="R68" i="2" a="1"/>
  <c r="R68" i="2" s="1"/>
  <c r="R69" i="2" a="1"/>
  <c r="R69" i="2"/>
  <c r="R70" i="2" a="1"/>
  <c r="R70" i="2" s="1"/>
  <c r="R71" i="2" a="1"/>
  <c r="R71" i="2" s="1"/>
  <c r="R72" i="2" a="1"/>
  <c r="R72" i="2" s="1"/>
  <c r="R73" i="2" a="1"/>
  <c r="R73" i="2"/>
  <c r="R74" i="2" a="1"/>
  <c r="R74" i="2" s="1"/>
  <c r="R75" i="2" a="1"/>
  <c r="R75" i="2"/>
  <c r="R76" i="2" a="1"/>
  <c r="R76" i="2" s="1"/>
  <c r="R77" i="2" a="1"/>
  <c r="R77" i="2"/>
  <c r="R78" i="2" a="1"/>
  <c r="R78" i="2" s="1"/>
  <c r="R79" i="2" a="1"/>
  <c r="R79" i="2" s="1"/>
  <c r="R80" i="2" a="1"/>
  <c r="R80" i="2" s="1"/>
  <c r="R81" i="2" a="1"/>
  <c r="R81" i="2"/>
  <c r="R82" i="2" a="1"/>
  <c r="R82" i="2" s="1"/>
  <c r="R83" i="2" a="1"/>
  <c r="R83" i="2"/>
  <c r="R84" i="2" a="1"/>
  <c r="R84" i="2" s="1"/>
  <c r="R85" i="2" a="1"/>
  <c r="R85" i="2"/>
  <c r="R86" i="2" a="1"/>
  <c r="R86" i="2" s="1"/>
  <c r="R87" i="2" a="1"/>
  <c r="R87" i="2" s="1"/>
  <c r="R88" i="2" a="1"/>
  <c r="R88" i="2" s="1"/>
  <c r="R89" i="2" a="1"/>
  <c r="R89" i="2"/>
  <c r="R90" i="2" a="1"/>
  <c r="R90" i="2" s="1"/>
  <c r="R91" i="2" a="1"/>
  <c r="R91" i="2"/>
  <c r="R92" i="2" a="1"/>
  <c r="R92" i="2" s="1"/>
  <c r="R93" i="2" a="1"/>
  <c r="R93" i="2"/>
  <c r="R94" i="2" a="1"/>
  <c r="R94" i="2" s="1"/>
  <c r="R95" i="2" a="1"/>
  <c r="R95" i="2" s="1"/>
  <c r="R96" i="2" a="1"/>
  <c r="R96" i="2" s="1"/>
  <c r="R97" i="2" a="1"/>
  <c r="R97" i="2" s="1"/>
  <c r="R98" i="2" a="1"/>
  <c r="R98" i="2" s="1"/>
  <c r="R99" i="2" a="1"/>
  <c r="R99" i="2"/>
  <c r="R100" i="2" a="1"/>
  <c r="R100" i="2" s="1"/>
  <c r="R101" i="2" a="1"/>
  <c r="R101" i="2"/>
  <c r="R102" i="2" a="1"/>
  <c r="R102" i="2" s="1"/>
  <c r="R103" i="2" a="1"/>
  <c r="R103" i="2" s="1"/>
  <c r="R104" i="2" a="1"/>
  <c r="R104" i="2" s="1"/>
  <c r="R105" i="2" a="1"/>
  <c r="R105" i="2" s="1"/>
  <c r="R106" i="2" a="1"/>
  <c r="R106" i="2" s="1"/>
  <c r="R107" i="2" a="1"/>
  <c r="R107" i="2"/>
  <c r="R108" i="2" a="1"/>
  <c r="R108" i="2" s="1"/>
  <c r="R109" i="2" a="1"/>
  <c r="R109" i="2"/>
  <c r="R110" i="2" a="1"/>
  <c r="R110" i="2" s="1"/>
  <c r="R111" i="2" a="1"/>
  <c r="R111" i="2" s="1"/>
  <c r="R112" i="2" a="1"/>
  <c r="R112" i="2" s="1"/>
  <c r="R113" i="2" a="1"/>
  <c r="R113" i="2"/>
  <c r="R114" i="2" a="1"/>
  <c r="R114" i="2" s="1"/>
  <c r="R115" i="2" a="1"/>
  <c r="R115" i="2"/>
  <c r="R116" i="2" a="1"/>
  <c r="R116" i="2" s="1"/>
  <c r="R117" i="2" a="1"/>
  <c r="R117" i="2"/>
  <c r="R118" i="2" a="1"/>
  <c r="R118" i="2" s="1"/>
  <c r="R119" i="2" a="1"/>
  <c r="R119" i="2" s="1"/>
  <c r="R120" i="2" a="1"/>
  <c r="R120" i="2" s="1"/>
  <c r="R121" i="2" a="1"/>
  <c r="R121" i="2"/>
  <c r="R122" i="2" a="1"/>
  <c r="R122" i="2" s="1"/>
  <c r="R123" i="2" a="1"/>
  <c r="R123" i="2"/>
  <c r="R124" i="2" a="1"/>
  <c r="R124" i="2" s="1"/>
  <c r="R125" i="2" a="1"/>
  <c r="R125" i="2"/>
  <c r="R126" i="2" a="1"/>
  <c r="R126" i="2" s="1"/>
  <c r="R127" i="2" a="1"/>
  <c r="R127" i="2" s="1"/>
  <c r="R128" i="2" a="1"/>
  <c r="R128" i="2" s="1"/>
  <c r="R129" i="2" a="1"/>
  <c r="R129" i="2" s="1"/>
  <c r="R130" i="2" a="1"/>
  <c r="R130" i="2" s="1"/>
  <c r="R131" i="2" a="1"/>
  <c r="R131" i="2"/>
  <c r="R132" i="2" a="1"/>
  <c r="R132" i="2" s="1"/>
  <c r="R133" i="2" a="1"/>
  <c r="R133" i="2"/>
  <c r="R134" i="2" a="1"/>
  <c r="R134" i="2" s="1"/>
  <c r="R135" i="2" a="1"/>
  <c r="R135" i="2" s="1"/>
  <c r="R136" i="2" a="1"/>
  <c r="R136" i="2" s="1"/>
  <c r="R137" i="2" a="1"/>
  <c r="R137" i="2"/>
  <c r="R138" i="2" a="1"/>
  <c r="R138" i="2" s="1"/>
  <c r="R139" i="2" a="1"/>
  <c r="R139" i="2"/>
  <c r="R140" i="2" a="1"/>
  <c r="R140" i="2" s="1"/>
  <c r="R141" i="2" a="1"/>
  <c r="R141" i="2"/>
  <c r="R142" i="2" a="1"/>
  <c r="R142" i="2" s="1"/>
  <c r="R143" i="2" a="1"/>
  <c r="R143" i="2" s="1"/>
  <c r="R144" i="2" a="1"/>
  <c r="R144" i="2" s="1"/>
  <c r="R145" i="2" a="1"/>
  <c r="R145" i="2"/>
  <c r="R146" i="2" a="1"/>
  <c r="R146" i="2" s="1"/>
  <c r="R147" i="2" a="1"/>
  <c r="R147" i="2"/>
  <c r="R148" i="2" a="1"/>
  <c r="R148" i="2" s="1"/>
  <c r="R149" i="2" a="1"/>
  <c r="R149" i="2"/>
  <c r="R150" i="2" a="1"/>
  <c r="R150" i="2" s="1"/>
  <c r="R151" i="2" a="1"/>
  <c r="R151" i="2" s="1"/>
  <c r="R152" i="2" a="1"/>
  <c r="R152" i="2" s="1"/>
  <c r="R153" i="2" a="1"/>
  <c r="R153" i="2"/>
  <c r="R154" i="2" a="1"/>
  <c r="R154" i="2" s="1"/>
  <c r="R155" i="2" a="1"/>
  <c r="R155" i="2"/>
  <c r="R156" i="2" a="1"/>
  <c r="R156" i="2" s="1"/>
  <c r="R157" i="2" a="1"/>
  <c r="R157" i="2"/>
  <c r="R158" i="2" a="1"/>
  <c r="R158" i="2" s="1"/>
  <c r="R159" i="2" a="1"/>
  <c r="R159" i="2" s="1"/>
  <c r="R160" i="2" a="1"/>
  <c r="R160" i="2" s="1"/>
  <c r="R161" i="2" a="1"/>
  <c r="R161" i="2" s="1"/>
  <c r="R162" i="2" a="1"/>
  <c r="R162" i="2" s="1"/>
  <c r="R163" i="2" a="1"/>
  <c r="R163" i="2"/>
  <c r="R164" i="2" a="1"/>
  <c r="R164" i="2" s="1"/>
  <c r="R165" i="2" a="1"/>
  <c r="R165" i="2"/>
  <c r="R166" i="2" a="1"/>
  <c r="R166" i="2" s="1"/>
  <c r="R167" i="2" a="1"/>
  <c r="R167" i="2" s="1"/>
  <c r="R168" i="2" a="1"/>
  <c r="R168" i="2" s="1"/>
  <c r="R169" i="2" a="1"/>
  <c r="R169" i="2"/>
  <c r="R170" i="2" a="1"/>
  <c r="R170" i="2" s="1"/>
  <c r="R171" i="2" a="1"/>
  <c r="R171" i="2"/>
  <c r="R172" i="2" a="1"/>
  <c r="R172" i="2" s="1"/>
  <c r="R173" i="2" a="1"/>
  <c r="R173" i="2"/>
  <c r="R174" i="2" a="1"/>
  <c r="R174" i="2" s="1"/>
  <c r="R175" i="2" a="1"/>
  <c r="R175" i="2" s="1"/>
  <c r="R176" i="2" a="1"/>
  <c r="R176" i="2" s="1"/>
  <c r="R177" i="2" a="1"/>
  <c r="R177" i="2"/>
  <c r="R178" i="2" a="1"/>
  <c r="R178" i="2" s="1"/>
  <c r="R179" i="2" a="1"/>
  <c r="R179" i="2"/>
  <c r="R180" i="2" a="1"/>
  <c r="R180" i="2" s="1"/>
  <c r="R181" i="2" a="1"/>
  <c r="R181" i="2"/>
  <c r="R182" i="2" a="1"/>
  <c r="R182" i="2" s="1"/>
  <c r="R183" i="2" a="1"/>
  <c r="R183" i="2" s="1"/>
  <c r="R184" i="2" a="1"/>
  <c r="R184" i="2" s="1"/>
  <c r="R185" i="2" a="1"/>
  <c r="R185" i="2" s="1"/>
  <c r="R186" i="2" a="1"/>
  <c r="R186" i="2" s="1"/>
  <c r="R187" i="2" a="1"/>
  <c r="R187" i="2"/>
  <c r="R188" i="2" a="1"/>
  <c r="R188" i="2" s="1"/>
  <c r="R189" i="2" a="1"/>
  <c r="R189" i="2"/>
  <c r="R190" i="2" a="1"/>
  <c r="R190" i="2" s="1"/>
  <c r="R191" i="2" a="1"/>
  <c r="R191" i="2" s="1"/>
  <c r="R192" i="2" a="1"/>
  <c r="R192" i="2" s="1"/>
  <c r="R193" i="2" a="1"/>
  <c r="R193" i="2"/>
  <c r="R194" i="2" a="1"/>
  <c r="R194" i="2" s="1"/>
  <c r="R195" i="2" a="1"/>
  <c r="R195" i="2"/>
  <c r="R196" i="2" a="1"/>
  <c r="R196" i="2" s="1"/>
  <c r="R197" i="2" a="1"/>
  <c r="R197" i="2"/>
  <c r="R198" i="2" a="1"/>
  <c r="R198" i="2" s="1"/>
  <c r="R199" i="2" a="1"/>
  <c r="R199" i="2" s="1"/>
  <c r="R200" i="2" a="1"/>
  <c r="R200" i="2" s="1"/>
  <c r="R201" i="2" a="1"/>
  <c r="R201" i="2"/>
  <c r="R202" i="2" a="1"/>
  <c r="R202" i="2" s="1"/>
  <c r="R203" i="2" a="1"/>
  <c r="R203" i="2"/>
  <c r="R204" i="2" a="1"/>
  <c r="R204" i="2" s="1"/>
  <c r="R205" i="2" a="1"/>
  <c r="R205" i="2"/>
  <c r="R206" i="2" a="1"/>
  <c r="R206" i="2" s="1"/>
  <c r="R207" i="2" a="1"/>
  <c r="R207" i="2" s="1"/>
  <c r="R208" i="2" a="1"/>
  <c r="R208" i="2" s="1"/>
  <c r="R209" i="2" a="1"/>
  <c r="R209" i="2"/>
  <c r="R210" i="2" a="1"/>
  <c r="R210" i="2" s="1"/>
  <c r="R211" i="2" a="1"/>
  <c r="R211" i="2"/>
  <c r="R212" i="2" a="1"/>
  <c r="R212" i="2" s="1"/>
  <c r="R213" i="2" a="1"/>
  <c r="R213" i="2"/>
  <c r="R214" i="2" a="1"/>
  <c r="R214" i="2" s="1"/>
  <c r="R215" i="2" a="1"/>
  <c r="R215" i="2" s="1"/>
  <c r="R216" i="2" a="1"/>
  <c r="R216" i="2" s="1"/>
  <c r="R217" i="2" a="1"/>
  <c r="R217" i="2" s="1"/>
  <c r="R218" i="2" a="1"/>
  <c r="R218" i="2" s="1"/>
  <c r="R219" i="2" a="1"/>
  <c r="R219" i="2"/>
  <c r="R220" i="2" a="1"/>
  <c r="R220" i="2" s="1"/>
  <c r="R221" i="2" a="1"/>
  <c r="R221" i="2"/>
  <c r="R222" i="2" a="1"/>
  <c r="R222" i="2" s="1"/>
  <c r="R223" i="2" a="1"/>
  <c r="R223" i="2" s="1"/>
  <c r="R224" i="2" a="1"/>
  <c r="R224" i="2" s="1"/>
  <c r="R225" i="2" a="1"/>
  <c r="R225" i="2" s="1"/>
  <c r="R226" i="2" a="1"/>
  <c r="R226" i="2" s="1"/>
  <c r="R227" i="2" a="1"/>
  <c r="R227" i="2"/>
  <c r="R228" i="2" a="1"/>
  <c r="R228" i="2" s="1"/>
  <c r="R229" i="2" a="1"/>
  <c r="R229" i="2"/>
  <c r="R230" i="2" a="1"/>
  <c r="R230" i="2" s="1"/>
  <c r="R231" i="2" a="1"/>
  <c r="R231" i="2" s="1"/>
  <c r="R232" i="2" a="1"/>
  <c r="R232" i="2" s="1"/>
  <c r="R233" i="2" a="1"/>
  <c r="R233" i="2"/>
  <c r="R234" i="2" a="1"/>
  <c r="R234" i="2" s="1"/>
  <c r="R235" i="2" a="1"/>
  <c r="R235" i="2"/>
  <c r="R236" i="2" a="1"/>
  <c r="R236" i="2" s="1"/>
  <c r="R237" i="2" a="1"/>
  <c r="R237" i="2"/>
  <c r="R238" i="2" a="1"/>
  <c r="R238" i="2" s="1"/>
  <c r="R239" i="2" a="1"/>
  <c r="R239" i="2" s="1"/>
  <c r="R240" i="2" a="1"/>
  <c r="R240" i="2" s="1"/>
  <c r="R241" i="2" a="1"/>
  <c r="R241" i="2"/>
  <c r="R242" i="2" a="1"/>
  <c r="R242" i="2" s="1"/>
  <c r="R243" i="2" a="1"/>
  <c r="R243" i="2"/>
  <c r="R244" i="2" a="1"/>
  <c r="R244" i="2" s="1"/>
  <c r="R245" i="2" a="1"/>
  <c r="R245" i="2"/>
  <c r="R246" i="2" a="1"/>
  <c r="R246" i="2" s="1"/>
  <c r="R247" i="2" a="1"/>
  <c r="R247" i="2" s="1"/>
  <c r="R248" i="2" a="1"/>
  <c r="R248" i="2" s="1"/>
  <c r="R249" i="2" a="1"/>
  <c r="R249" i="2" s="1"/>
  <c r="R250" i="2" a="1"/>
  <c r="R250" i="2" s="1"/>
  <c r="R251" i="2" a="1"/>
  <c r="R251" i="2"/>
  <c r="R252" i="2" a="1"/>
  <c r="R252" i="2" s="1"/>
  <c r="R253" i="2" a="1"/>
  <c r="R253" i="2"/>
  <c r="R254" i="2" a="1"/>
  <c r="R254" i="2" s="1"/>
  <c r="R255" i="2" a="1"/>
  <c r="R255" i="2" s="1"/>
  <c r="R256" i="2" a="1"/>
  <c r="R256" i="2" s="1"/>
  <c r="R257" i="2" a="1"/>
  <c r="R257" i="2"/>
  <c r="R258" i="2" a="1"/>
  <c r="R258" i="2" s="1"/>
  <c r="R259" i="2" a="1"/>
  <c r="R259" i="2"/>
  <c r="R260" i="2" a="1"/>
  <c r="R260" i="2" s="1"/>
  <c r="R261" i="2" a="1"/>
  <c r="R261" i="2"/>
  <c r="R262" i="2" a="1"/>
  <c r="R262" i="2" s="1"/>
  <c r="R263" i="2" a="1"/>
  <c r="R263" i="2" s="1"/>
  <c r="R264" i="2" a="1"/>
  <c r="R264" i="2" s="1"/>
  <c r="R265" i="2" a="1"/>
  <c r="R265" i="2"/>
  <c r="R266" i="2" a="1"/>
  <c r="R266" i="2" s="1"/>
  <c r="R267" i="2" a="1"/>
  <c r="R267" i="2"/>
  <c r="R268" i="2" a="1"/>
  <c r="R268" i="2" s="1"/>
  <c r="R269" i="2" a="1"/>
  <c r="R269" i="2"/>
  <c r="R270" i="2" a="1"/>
  <c r="R270" i="2" s="1"/>
  <c r="R271" i="2" a="1"/>
  <c r="R271" i="2" s="1"/>
  <c r="R272" i="2" a="1"/>
  <c r="R272" i="2" s="1"/>
  <c r="R273" i="2" a="1"/>
  <c r="R273" i="2"/>
  <c r="R274" i="2" a="1"/>
  <c r="R274" i="2" s="1"/>
  <c r="R275" i="2" a="1"/>
  <c r="R275" i="2"/>
  <c r="R276" i="2" a="1"/>
  <c r="R276" i="2" s="1"/>
  <c r="R277" i="2" a="1"/>
  <c r="R277" i="2"/>
  <c r="R278" i="2" a="1"/>
  <c r="R278" i="2" s="1"/>
  <c r="R279" i="2" a="1"/>
  <c r="R279" i="2" s="1"/>
  <c r="R280" i="2" a="1"/>
  <c r="R280" i="2" s="1"/>
  <c r="R281" i="2" a="1"/>
  <c r="R281" i="2" s="1"/>
  <c r="R282" i="2" a="1"/>
  <c r="R282" i="2" s="1"/>
  <c r="R283" i="2" a="1"/>
  <c r="R283" i="2"/>
  <c r="R284" i="2" a="1"/>
  <c r="R284" i="2" s="1"/>
  <c r="R285" i="2" a="1"/>
  <c r="R285" i="2"/>
  <c r="R286" i="2" a="1"/>
  <c r="R286" i="2" s="1"/>
  <c r="R287" i="2" a="1"/>
  <c r="R287" i="2" s="1"/>
  <c r="R288" i="2" a="1"/>
  <c r="R288" i="2" s="1"/>
  <c r="R289" i="2" a="1"/>
  <c r="R289" i="2"/>
  <c r="R290" i="2" a="1"/>
  <c r="R290" i="2" s="1"/>
  <c r="R291" i="2" a="1"/>
  <c r="R291" i="2"/>
  <c r="R292" i="2" a="1"/>
  <c r="R292" i="2" s="1"/>
  <c r="R293" i="2" a="1"/>
  <c r="R293" i="2"/>
  <c r="R294" i="2" a="1"/>
  <c r="R294" i="2" s="1"/>
  <c r="R295" i="2" a="1"/>
  <c r="R295" i="2" s="1"/>
  <c r="R296" i="2" a="1"/>
  <c r="R296" i="2" s="1"/>
  <c r="R297" i="2" a="1"/>
  <c r="R297" i="2"/>
  <c r="R298" i="2" a="1"/>
  <c r="R298" i="2" s="1"/>
  <c r="R299" i="2" a="1"/>
  <c r="R299" i="2"/>
  <c r="R300" i="2" a="1"/>
  <c r="R300" i="2" s="1"/>
  <c r="R301" i="2" a="1"/>
  <c r="R301" i="2" s="1"/>
  <c r="R302" i="2" a="1"/>
  <c r="R302" i="2" s="1"/>
  <c r="R303" i="2" a="1"/>
  <c r="R303" i="2"/>
  <c r="R304" i="2" a="1"/>
  <c r="R304" i="2" s="1"/>
  <c r="R305" i="2" a="1"/>
  <c r="R305" i="2"/>
  <c r="R306" i="2" a="1"/>
  <c r="R306" i="2" s="1"/>
  <c r="R307" i="2" a="1"/>
  <c r="R307" i="2"/>
  <c r="R308" i="2" a="1"/>
  <c r="R308" i="2" s="1"/>
  <c r="R309" i="2" a="1"/>
  <c r="R309" i="2" s="1"/>
  <c r="R310" i="2" a="1"/>
  <c r="R310" i="2" s="1"/>
  <c r="R311" i="2" a="1"/>
  <c r="R311" i="2" s="1"/>
  <c r="R312" i="2" a="1"/>
  <c r="R312" i="2" s="1"/>
  <c r="R313" i="2" a="1"/>
  <c r="R313" i="2"/>
  <c r="R314" i="2" a="1"/>
  <c r="R314" i="2" s="1"/>
  <c r="R315" i="2" a="1"/>
  <c r="R315" i="2"/>
  <c r="R316" i="2" a="1"/>
  <c r="R316" i="2" s="1"/>
  <c r="R317" i="2" a="1"/>
  <c r="R317" i="2" s="1"/>
  <c r="R318" i="2" a="1"/>
  <c r="R318" i="2" s="1"/>
  <c r="R319" i="2" a="1"/>
  <c r="R319" i="2"/>
  <c r="R320" i="2" a="1"/>
  <c r="R320" i="2" s="1"/>
  <c r="R321" i="2" a="1"/>
  <c r="R321" i="2"/>
  <c r="R322" i="2" a="1"/>
  <c r="R322" i="2" s="1"/>
  <c r="R323" i="2" a="1"/>
  <c r="R323" i="2"/>
  <c r="R324" i="2" a="1"/>
  <c r="R324" i="2" s="1"/>
  <c r="R325" i="2" a="1"/>
  <c r="R325" i="2" s="1"/>
  <c r="R326" i="2" a="1"/>
  <c r="R326" i="2" s="1"/>
  <c r="R327" i="2" a="1"/>
  <c r="R327" i="2"/>
  <c r="R328" i="2" a="1"/>
  <c r="R328" i="2" s="1"/>
  <c r="R329" i="2" a="1"/>
  <c r="R329" i="2"/>
  <c r="R330" i="2" a="1"/>
  <c r="R330" i="2" s="1"/>
  <c r="R331" i="2" a="1"/>
  <c r="R331" i="2"/>
  <c r="R332" i="2" a="1"/>
  <c r="R332" i="2" s="1"/>
  <c r="R333" i="2" a="1"/>
  <c r="R333" i="2" s="1"/>
  <c r="R334" i="2" a="1"/>
  <c r="R334" i="2" s="1"/>
  <c r="R335" i="2" a="1"/>
  <c r="R335" i="2" s="1"/>
  <c r="R336" i="2" a="1"/>
  <c r="R336" i="2" s="1"/>
  <c r="R337" i="2" a="1"/>
  <c r="R337" i="2"/>
  <c r="R338" i="2" a="1"/>
  <c r="R338" i="2" s="1"/>
  <c r="R339" i="2" a="1"/>
  <c r="R339" i="2"/>
  <c r="R340" i="2" a="1"/>
  <c r="R340" i="2" s="1"/>
  <c r="R341" i="2" a="1"/>
  <c r="R341" i="2" s="1"/>
  <c r="R342" i="2" a="1"/>
  <c r="R342" i="2" s="1"/>
  <c r="R343" i="2" a="1"/>
  <c r="R343" i="2" s="1"/>
  <c r="R344" i="2" a="1"/>
  <c r="R344" i="2" s="1"/>
  <c r="R345" i="2" a="1"/>
  <c r="R345" i="2"/>
  <c r="R346" i="2" a="1"/>
  <c r="R346" i="2" s="1"/>
  <c r="R347" i="2" a="1"/>
  <c r="R347" i="2"/>
  <c r="R348" i="2" a="1"/>
  <c r="R348" i="2" s="1"/>
  <c r="R349" i="2" a="1"/>
  <c r="R349" i="2" s="1"/>
  <c r="R350" i="2" a="1"/>
  <c r="R350" i="2" s="1"/>
  <c r="R351" i="2" a="1"/>
  <c r="R351" i="2"/>
  <c r="R352" i="2" a="1"/>
  <c r="R352" i="2" s="1"/>
  <c r="R353" i="2" a="1"/>
  <c r="R353" i="2"/>
  <c r="R354" i="2" a="1"/>
  <c r="R354" i="2" s="1"/>
  <c r="R355" i="2" a="1"/>
  <c r="R355" i="2"/>
  <c r="R356" i="2" a="1"/>
  <c r="R356" i="2" s="1"/>
  <c r="R357" i="2" a="1"/>
  <c r="R357" i="2" s="1"/>
  <c r="R358" i="2" a="1"/>
  <c r="R358" i="2" s="1"/>
  <c r="R359" i="2" a="1"/>
  <c r="R359" i="2"/>
  <c r="R360" i="2" a="1"/>
  <c r="R360" i="2" s="1"/>
  <c r="R361" i="2" a="1"/>
  <c r="R361" i="2"/>
  <c r="R362" i="2" a="1"/>
  <c r="R362" i="2" s="1"/>
  <c r="R363" i="2" a="1"/>
  <c r="R363" i="2"/>
  <c r="R364" i="2" a="1"/>
  <c r="R364" i="2" s="1"/>
  <c r="R365" i="2" a="1"/>
  <c r="R365" i="2" s="1"/>
  <c r="R366" i="2" a="1"/>
  <c r="R366" i="2" s="1"/>
  <c r="R367" i="2" a="1"/>
  <c r="R367" i="2" s="1"/>
  <c r="R368" i="2" a="1"/>
  <c r="R368" i="2" s="1"/>
  <c r="R369" i="2" a="1"/>
  <c r="R369" i="2"/>
  <c r="R370" i="2" a="1"/>
  <c r="R370" i="2" s="1"/>
  <c r="R371" i="2" a="1"/>
  <c r="R371" i="2"/>
  <c r="R372" i="2" a="1"/>
  <c r="R372" i="2" s="1"/>
  <c r="R373" i="2" a="1"/>
  <c r="R373" i="2" s="1"/>
  <c r="R374" i="2" a="1"/>
  <c r="R374" i="2" s="1"/>
  <c r="R375" i="2" a="1"/>
  <c r="R375" i="2" s="1"/>
  <c r="R376" i="2" a="1"/>
  <c r="R376" i="2" s="1"/>
  <c r="R377" i="2" a="1"/>
  <c r="R377" i="2"/>
  <c r="R378" i="2" a="1"/>
  <c r="R378" i="2" s="1"/>
  <c r="R379" i="2" a="1"/>
  <c r="R379" i="2"/>
  <c r="R380" i="2" a="1"/>
  <c r="R380" i="2" s="1"/>
  <c r="R381" i="2" a="1"/>
  <c r="R381" i="2" s="1"/>
  <c r="R382" i="2" a="1"/>
  <c r="R382" i="2" s="1"/>
  <c r="R383" i="2" a="1"/>
  <c r="R383" i="2"/>
  <c r="R384" i="2" a="1"/>
  <c r="R384" i="2" s="1"/>
  <c r="R385" i="2" a="1"/>
  <c r="R385" i="2"/>
  <c r="R386" i="2" a="1"/>
  <c r="R386" i="2" s="1"/>
  <c r="R387" i="2" a="1"/>
  <c r="R387" i="2"/>
  <c r="R388" i="2" a="1"/>
  <c r="R388" i="2" s="1"/>
  <c r="R389" i="2" a="1"/>
  <c r="R389" i="2" s="1"/>
  <c r="R390" i="2" a="1"/>
  <c r="R390" i="2" s="1"/>
  <c r="R391" i="2" a="1"/>
  <c r="R391" i="2"/>
  <c r="R392" i="2" a="1"/>
  <c r="R392" i="2" s="1"/>
  <c r="R393" i="2" a="1"/>
  <c r="R393" i="2"/>
  <c r="R394" i="2" a="1"/>
  <c r="R394" i="2" s="1"/>
  <c r="R395" i="2" a="1"/>
  <c r="R395" i="2"/>
  <c r="R396" i="2" a="1"/>
  <c r="R396" i="2" s="1"/>
  <c r="R397" i="2" a="1"/>
  <c r="R397" i="2" s="1"/>
  <c r="R398" i="2" a="1"/>
  <c r="R398" i="2" s="1"/>
  <c r="R399" i="2" a="1"/>
  <c r="R399" i="2" s="1"/>
  <c r="R400" i="2" a="1"/>
  <c r="R400" i="2" s="1"/>
  <c r="R401" i="2" a="1"/>
  <c r="R401" i="2"/>
  <c r="R402" i="2" a="1"/>
  <c r="R402" i="2" s="1"/>
  <c r="R403" i="2" a="1"/>
  <c r="R403" i="2"/>
  <c r="R404" i="2" a="1"/>
  <c r="R404" i="2" s="1"/>
  <c r="R405" i="2" a="1"/>
  <c r="R405" i="2" s="1"/>
  <c r="R406" i="2" a="1"/>
  <c r="R406" i="2" s="1"/>
  <c r="R407" i="2" a="1"/>
  <c r="R407" i="2" s="1"/>
  <c r="R408" i="2" a="1"/>
  <c r="R408" i="2" s="1"/>
  <c r="R409" i="2" a="1"/>
  <c r="R409" i="2"/>
  <c r="R410" i="2" a="1"/>
  <c r="R410" i="2" s="1"/>
  <c r="R411" i="2" a="1"/>
  <c r="R411" i="2"/>
  <c r="R412" i="2" a="1"/>
  <c r="R412" i="2" s="1"/>
  <c r="R413" i="2" a="1"/>
  <c r="R413" i="2" s="1"/>
  <c r="R414" i="2" a="1"/>
  <c r="R414" i="2" s="1"/>
  <c r="R415" i="2" a="1"/>
  <c r="R415" i="2"/>
  <c r="R416" i="2" a="1"/>
  <c r="R416" i="2" s="1"/>
  <c r="R417" i="2" a="1"/>
  <c r="R417" i="2"/>
  <c r="R418" i="2" a="1"/>
  <c r="R418" i="2" s="1"/>
  <c r="R419" i="2" a="1"/>
  <c r="R419" i="2"/>
  <c r="R420" i="2" a="1"/>
  <c r="R420" i="2" s="1"/>
  <c r="R421" i="2" a="1"/>
  <c r="R421" i="2" s="1"/>
  <c r="R422" i="2" a="1"/>
  <c r="R422" i="2" s="1"/>
  <c r="R423" i="2" a="1"/>
  <c r="R423" i="2"/>
  <c r="R424" i="2" a="1"/>
  <c r="R424" i="2" s="1"/>
  <c r="R425" i="2" a="1"/>
  <c r="R425" i="2"/>
  <c r="R426" i="2" a="1"/>
  <c r="R426" i="2" s="1"/>
  <c r="R427" i="2" a="1"/>
  <c r="R427" i="2"/>
  <c r="R428" i="2" a="1"/>
  <c r="R428" i="2" s="1"/>
  <c r="R429" i="2" a="1"/>
  <c r="R429" i="2" s="1"/>
  <c r="R430" i="2" a="1"/>
  <c r="R430" i="2" s="1"/>
  <c r="R431" i="2" a="1"/>
  <c r="R431" i="2" s="1"/>
  <c r="R432" i="2" a="1"/>
  <c r="R432" i="2" s="1"/>
  <c r="R433" i="2" a="1"/>
  <c r="R433" i="2"/>
  <c r="R434" i="2" a="1"/>
  <c r="R434" i="2" s="1"/>
  <c r="R435" i="2" a="1"/>
  <c r="R435" i="2"/>
  <c r="R436" i="2" a="1"/>
  <c r="R436" i="2" s="1"/>
  <c r="R437" i="2" a="1"/>
  <c r="R437" i="2" s="1"/>
  <c r="R438" i="2" a="1"/>
  <c r="R438" i="2" s="1"/>
  <c r="R439" i="2" a="1"/>
  <c r="R439" i="2" s="1"/>
  <c r="R440" i="2" a="1"/>
  <c r="R440" i="2" s="1"/>
  <c r="R441" i="2" a="1"/>
  <c r="R441" i="2"/>
  <c r="R442" i="2" a="1"/>
  <c r="R442" i="2" s="1"/>
  <c r="R443" i="2" a="1"/>
  <c r="R443" i="2"/>
  <c r="R444" i="2" a="1"/>
  <c r="R444" i="2" s="1"/>
  <c r="R445" i="2" a="1"/>
  <c r="R445" i="2" s="1"/>
  <c r="R446" i="2" a="1"/>
  <c r="R446" i="2" s="1"/>
  <c r="R447" i="2" a="1"/>
  <c r="R447" i="2"/>
  <c r="R448" i="2" a="1"/>
  <c r="R448" i="2" s="1"/>
  <c r="R449" i="2" a="1"/>
  <c r="R449" i="2"/>
  <c r="R450" i="2" a="1"/>
  <c r="R450" i="2" s="1"/>
  <c r="R451" i="2" a="1"/>
  <c r="R451" i="2"/>
  <c r="R452" i="2" a="1"/>
  <c r="R452" i="2" s="1"/>
  <c r="R453" i="2" a="1"/>
  <c r="R453" i="2" s="1"/>
  <c r="R454" i="2" a="1"/>
  <c r="R454" i="2" s="1"/>
  <c r="R455" i="2" a="1"/>
  <c r="R455" i="2"/>
  <c r="R456" i="2" a="1"/>
  <c r="R456" i="2" s="1"/>
  <c r="R457" i="2" a="1"/>
  <c r="R457" i="2"/>
  <c r="R458" i="2" a="1"/>
  <c r="R458" i="2" s="1"/>
  <c r="R459" i="2" a="1"/>
  <c r="R459" i="2"/>
  <c r="R460" i="2" a="1"/>
  <c r="R460" i="2" s="1"/>
  <c r="R461" i="2" a="1"/>
  <c r="R461" i="2" s="1"/>
  <c r="R462" i="2" a="1"/>
  <c r="R462" i="2" s="1"/>
  <c r="R463" i="2" a="1"/>
  <c r="R463" i="2" s="1"/>
  <c r="R464" i="2" a="1"/>
  <c r="R464" i="2" s="1"/>
  <c r="R465" i="2" a="1"/>
  <c r="R465" i="2"/>
  <c r="R466" i="2" a="1"/>
  <c r="R466" i="2" s="1"/>
  <c r="R467" i="2" a="1"/>
  <c r="R467" i="2"/>
  <c r="R468" i="2" a="1"/>
  <c r="R468" i="2" s="1"/>
  <c r="R469" i="2" a="1"/>
  <c r="R469" i="2" s="1"/>
  <c r="R470" i="2" a="1"/>
  <c r="R470" i="2" s="1"/>
  <c r="R471" i="2" a="1"/>
  <c r="R471" i="2" s="1"/>
  <c r="R472" i="2" a="1"/>
  <c r="R472" i="2" s="1"/>
  <c r="R473" i="2" a="1"/>
  <c r="R473" i="2"/>
  <c r="R474" i="2" a="1"/>
  <c r="R474" i="2" s="1"/>
  <c r="R475" i="2" a="1"/>
  <c r="R475" i="2"/>
  <c r="R476" i="2" a="1"/>
  <c r="R476" i="2" s="1"/>
  <c r="R477" i="2" a="1"/>
  <c r="R477" i="2" s="1"/>
  <c r="R478" i="2" a="1"/>
  <c r="R478" i="2" s="1"/>
  <c r="R479" i="2" a="1"/>
  <c r="R479" i="2"/>
  <c r="R480" i="2" a="1"/>
  <c r="R480" i="2" s="1"/>
  <c r="R481" i="2" a="1"/>
  <c r="R481" i="2"/>
  <c r="R482" i="2" a="1"/>
  <c r="R482" i="2" s="1"/>
  <c r="R483" i="2" a="1"/>
  <c r="R483" i="2"/>
  <c r="R484" i="2" a="1"/>
  <c r="R484" i="2" s="1"/>
  <c r="R485" i="2" a="1"/>
  <c r="R485" i="2" s="1"/>
  <c r="R486" i="2" a="1"/>
  <c r="R486" i="2" s="1"/>
  <c r="R487" i="2" a="1"/>
  <c r="R487" i="2"/>
  <c r="R488" i="2" a="1"/>
  <c r="R488" i="2" s="1"/>
  <c r="R489" i="2" a="1"/>
  <c r="R489" i="2"/>
  <c r="R490" i="2" a="1"/>
  <c r="R490" i="2" s="1"/>
  <c r="R491" i="2" a="1"/>
  <c r="R491" i="2"/>
  <c r="R492" i="2" a="1"/>
  <c r="R492" i="2" s="1"/>
  <c r="R493" i="2" a="1"/>
  <c r="R493" i="2" s="1"/>
  <c r="R494" i="2" a="1"/>
  <c r="R494" i="2" s="1"/>
  <c r="R495" i="2" a="1"/>
  <c r="R495" i="2" s="1"/>
  <c r="R496" i="2" a="1"/>
  <c r="R496" i="2" s="1"/>
  <c r="R497" i="2" a="1"/>
  <c r="R497" i="2"/>
  <c r="R498" i="2" a="1"/>
  <c r="R498" i="2" s="1"/>
  <c r="R499" i="2" a="1"/>
  <c r="R499" i="2"/>
  <c r="R500" i="2" a="1"/>
  <c r="R500" i="2" s="1"/>
  <c r="R501" i="2" a="1"/>
  <c r="R501" i="2" s="1"/>
  <c r="R502" i="2" a="1"/>
  <c r="R502" i="2" s="1"/>
  <c r="R503" i="2" a="1"/>
  <c r="R503" i="2" s="1"/>
  <c r="R504" i="2" a="1"/>
  <c r="R504" i="2" s="1"/>
  <c r="R505" i="2" a="1"/>
  <c r="R505" i="2"/>
  <c r="R506" i="2" a="1"/>
  <c r="R506" i="2" s="1"/>
  <c r="R507" i="2" a="1"/>
  <c r="R507" i="2"/>
  <c r="R508" i="2" a="1"/>
  <c r="R508" i="2" s="1"/>
  <c r="R509" i="2" a="1"/>
  <c r="R509" i="2" s="1"/>
  <c r="R510" i="2" a="1"/>
  <c r="R510" i="2" s="1"/>
  <c r="R511" i="2" a="1"/>
  <c r="R511" i="2"/>
  <c r="R512" i="2" a="1"/>
  <c r="R512" i="2" s="1"/>
  <c r="R513" i="2" a="1"/>
  <c r="R513" i="2"/>
  <c r="R514" i="2" a="1"/>
  <c r="R514" i="2" s="1"/>
  <c r="R515" i="2" a="1"/>
  <c r="R515" i="2"/>
  <c r="R516" i="2" a="1"/>
  <c r="R516" i="2" s="1"/>
  <c r="R517" i="2" a="1"/>
  <c r="R517" i="2" s="1"/>
  <c r="R518" i="2" a="1"/>
  <c r="R518" i="2" s="1"/>
  <c r="R519" i="2" a="1"/>
  <c r="R519" i="2"/>
  <c r="R520" i="2" a="1"/>
  <c r="R520" i="2" s="1"/>
  <c r="R521" i="2" a="1"/>
  <c r="R521" i="2"/>
  <c r="R522" i="2" a="1"/>
  <c r="R522" i="2" s="1"/>
  <c r="R523" i="2" a="1"/>
  <c r="R523" i="2"/>
  <c r="R524" i="2" a="1"/>
  <c r="R524" i="2" s="1"/>
  <c r="R525" i="2" a="1"/>
  <c r="R525" i="2" s="1"/>
  <c r="R526" i="2" a="1"/>
  <c r="R526" i="2" s="1"/>
  <c r="R527" i="2" a="1"/>
  <c r="R527" i="2" s="1"/>
  <c r="R528" i="2" a="1"/>
  <c r="R528" i="2" s="1"/>
  <c r="R529" i="2" a="1"/>
  <c r="R529" i="2"/>
  <c r="R530" i="2" a="1"/>
  <c r="R530" i="2" s="1"/>
  <c r="R531" i="2" a="1"/>
  <c r="R531" i="2"/>
  <c r="R532" i="2" a="1"/>
  <c r="R532" i="2" s="1"/>
  <c r="R533" i="2" a="1"/>
  <c r="R533" i="2" s="1"/>
  <c r="R534" i="2" a="1"/>
  <c r="R534" i="2" s="1"/>
  <c r="R535" i="2" a="1"/>
  <c r="R535" i="2" s="1"/>
  <c r="R536" i="2" a="1"/>
  <c r="R536" i="2" s="1"/>
  <c r="R537" i="2" a="1"/>
  <c r="R537" i="2"/>
  <c r="R538" i="2" a="1"/>
  <c r="R538" i="2" s="1"/>
  <c r="R539" i="2" a="1"/>
  <c r="R539" i="2"/>
  <c r="R540" i="2" a="1"/>
  <c r="R540" i="2" s="1"/>
  <c r="R541" i="2" a="1"/>
  <c r="R541" i="2" s="1"/>
  <c r="R542" i="2" a="1"/>
  <c r="R542" i="2" s="1"/>
  <c r="R543" i="2" a="1"/>
  <c r="R543" i="2"/>
  <c r="R544" i="2" a="1"/>
  <c r="R544" i="2" s="1"/>
  <c r="R545" i="2" a="1"/>
  <c r="R545" i="2"/>
  <c r="R546" i="2" a="1"/>
  <c r="R546" i="2" s="1"/>
  <c r="R547" i="2" a="1"/>
  <c r="R547" i="2"/>
  <c r="R548" i="2" a="1"/>
  <c r="R548" i="2" s="1"/>
  <c r="R549" i="2" a="1"/>
  <c r="R549" i="2" s="1"/>
  <c r="R550" i="2" a="1"/>
  <c r="R550" i="2" s="1"/>
  <c r="R551" i="2" a="1"/>
  <c r="R551" i="2"/>
  <c r="R552" i="2" a="1"/>
  <c r="R552" i="2" s="1"/>
  <c r="R553" i="2" a="1"/>
  <c r="R553" i="2"/>
  <c r="R554" i="2" a="1"/>
  <c r="R554" i="2" s="1"/>
  <c r="R555" i="2" a="1"/>
  <c r="R555" i="2"/>
  <c r="R556" i="2" a="1"/>
  <c r="R556" i="2" s="1"/>
  <c r="R557" i="2" a="1"/>
  <c r="R557" i="2" s="1"/>
  <c r="R558" i="2" a="1"/>
  <c r="R558" i="2" s="1"/>
  <c r="R559" i="2" a="1"/>
  <c r="R559" i="2" s="1"/>
  <c r="R560" i="2" a="1"/>
  <c r="R560" i="2" s="1"/>
  <c r="R561" i="2" a="1"/>
  <c r="R561" i="2"/>
  <c r="R562" i="2" a="1"/>
  <c r="R562" i="2" s="1"/>
  <c r="R563" i="2" a="1"/>
  <c r="R563" i="2"/>
  <c r="R564" i="2" a="1"/>
  <c r="R564" i="2" s="1"/>
  <c r="R565" i="2" a="1"/>
  <c r="R565" i="2" s="1"/>
  <c r="R566" i="2" a="1"/>
  <c r="R566" i="2" s="1"/>
  <c r="R567" i="2" a="1"/>
  <c r="R567" i="2" s="1"/>
  <c r="R568" i="2" a="1"/>
  <c r="R568" i="2" s="1"/>
  <c r="R569" i="2" a="1"/>
  <c r="R569" i="2"/>
  <c r="R570" i="2" a="1"/>
  <c r="R570" i="2" s="1"/>
  <c r="R571" i="2" a="1"/>
  <c r="R571" i="2"/>
  <c r="R572" i="2" a="1"/>
  <c r="R572" i="2" s="1"/>
  <c r="R573" i="2" a="1"/>
  <c r="R573" i="2" s="1"/>
  <c r="R574" i="2" a="1"/>
  <c r="R574" i="2" s="1"/>
  <c r="R575" i="2" a="1"/>
  <c r="R575" i="2" s="1"/>
  <c r="R576" i="2" a="1"/>
  <c r="R576" i="2" s="1"/>
  <c r="R577" i="2" a="1"/>
  <c r="R577" i="2"/>
  <c r="R578" i="2" a="1"/>
  <c r="R578" i="2" s="1"/>
  <c r="R579" i="2" a="1"/>
  <c r="R579" i="2"/>
  <c r="R580" i="2" a="1"/>
  <c r="R580" i="2" s="1"/>
  <c r="R581" i="2" a="1"/>
  <c r="R581" i="2" s="1"/>
  <c r="R582" i="2" a="1"/>
  <c r="R582" i="2" s="1"/>
  <c r="R583" i="2" a="1"/>
  <c r="R583" i="2"/>
  <c r="R584" i="2" a="1"/>
  <c r="R584" i="2" s="1"/>
  <c r="R585" i="2" a="1"/>
  <c r="R585" i="2"/>
  <c r="R586" i="2" a="1"/>
  <c r="R586" i="2" s="1"/>
  <c r="R587" i="2" a="1"/>
  <c r="R587" i="2"/>
  <c r="R588" i="2" a="1"/>
  <c r="R588" i="2" s="1"/>
  <c r="R589" i="2" a="1"/>
  <c r="R589" i="2" s="1"/>
  <c r="R590" i="2" a="1"/>
  <c r="R590" i="2" s="1"/>
  <c r="R591" i="2" a="1"/>
  <c r="R591" i="2" s="1"/>
  <c r="R592" i="2" a="1"/>
  <c r="R592" i="2" s="1"/>
  <c r="R593" i="2" a="1"/>
  <c r="R593" i="2"/>
  <c r="R594" i="2" a="1"/>
  <c r="R594" i="2" s="1"/>
  <c r="R595" i="2" a="1"/>
  <c r="R595" i="2"/>
  <c r="R596" i="2" a="1"/>
  <c r="R596" i="2" s="1"/>
  <c r="R597" i="2" a="1"/>
  <c r="R597" i="2" s="1"/>
  <c r="R598" i="2" a="1"/>
  <c r="R598" i="2"/>
  <c r="R599" i="2" a="1"/>
  <c r="R599" i="2" s="1"/>
  <c r="R600" i="2" a="1"/>
  <c r="R600" i="2"/>
  <c r="R601" i="2" a="1"/>
  <c r="R601" i="2" s="1"/>
  <c r="R602" i="2" a="1"/>
  <c r="R602" i="2"/>
  <c r="R603" i="2" a="1"/>
  <c r="R603" i="2" s="1"/>
  <c r="R604" i="2" a="1"/>
  <c r="R604" i="2"/>
  <c r="R605" i="2" a="1"/>
  <c r="R605" i="2" s="1"/>
  <c r="R606" i="2" a="1"/>
  <c r="R606" i="2"/>
  <c r="R607" i="2" a="1"/>
  <c r="R607" i="2" s="1"/>
  <c r="R608" i="2" a="1"/>
  <c r="R608" i="2"/>
  <c r="R609" i="2" a="1"/>
  <c r="R609" i="2" s="1"/>
  <c r="R610" i="2" a="1"/>
  <c r="R610" i="2"/>
  <c r="R611" i="2" a="1"/>
  <c r="R611" i="2" s="1"/>
  <c r="R612" i="2" a="1"/>
  <c r="R612" i="2"/>
  <c r="R613" i="2" a="1"/>
  <c r="R613" i="2" s="1"/>
  <c r="R614" i="2" a="1"/>
  <c r="R614" i="2"/>
  <c r="R615" i="2" a="1"/>
  <c r="R615" i="2" s="1"/>
  <c r="R616" i="2" a="1"/>
  <c r="R616" i="2"/>
  <c r="R617" i="2" a="1"/>
  <c r="R617" i="2" s="1"/>
  <c r="R618" i="2" a="1"/>
  <c r="R618" i="2" s="1"/>
  <c r="R619" i="2" a="1"/>
  <c r="R619" i="2" s="1"/>
  <c r="R620" i="2" a="1"/>
  <c r="R620" i="2" s="1"/>
  <c r="R621" i="2" a="1"/>
  <c r="R621" i="2" s="1"/>
  <c r="R622" i="2" a="1"/>
  <c r="R622" i="2"/>
  <c r="R623" i="2" a="1"/>
  <c r="R623" i="2" s="1"/>
  <c r="R624" i="2" a="1"/>
  <c r="R624" i="2"/>
  <c r="R625" i="2" a="1"/>
  <c r="R625" i="2" s="1"/>
  <c r="R626" i="2" a="1"/>
  <c r="R626" i="2" s="1"/>
  <c r="R627" i="2" a="1"/>
  <c r="R627" i="2" s="1"/>
  <c r="R628" i="2" a="1"/>
  <c r="R628" i="2" s="1"/>
  <c r="R629" i="2" a="1"/>
  <c r="R629" i="2" s="1"/>
  <c r="R630" i="2" a="1"/>
  <c r="R630" i="2" s="1"/>
  <c r="R631" i="2" a="1"/>
  <c r="R631" i="2" s="1"/>
  <c r="R632" i="2" a="1"/>
  <c r="R632" i="2"/>
  <c r="R633" i="2" a="1"/>
  <c r="R633" i="2" s="1"/>
  <c r="R634" i="2" a="1"/>
  <c r="R634" i="2" s="1"/>
  <c r="R635" i="2" a="1"/>
  <c r="R635" i="2" s="1"/>
  <c r="R636" i="2" a="1"/>
  <c r="R636" i="2" s="1"/>
  <c r="R637" i="2" a="1"/>
  <c r="R637" i="2" s="1"/>
  <c r="R638" i="2" a="1"/>
  <c r="R638" i="2"/>
  <c r="R639" i="2" a="1"/>
  <c r="R639" i="2" s="1"/>
  <c r="R640" i="2" a="1"/>
  <c r="R640" i="2"/>
  <c r="R641" i="2" a="1"/>
  <c r="R641" i="2" s="1"/>
  <c r="R642" i="2" a="1"/>
  <c r="R642" i="2" s="1"/>
  <c r="R643" i="2" a="1"/>
  <c r="R643" i="2" s="1"/>
  <c r="R644" i="2" a="1"/>
  <c r="R644" i="2" s="1"/>
  <c r="R645" i="2" a="1"/>
  <c r="R645" i="2" s="1"/>
  <c r="R646" i="2" a="1"/>
  <c r="R646" i="2" s="1"/>
  <c r="R647" i="2" a="1"/>
  <c r="R647" i="2" s="1"/>
  <c r="R648" i="2" a="1"/>
  <c r="R648" i="2"/>
  <c r="R649" i="2" a="1"/>
  <c r="R649" i="2" s="1"/>
  <c r="R650" i="2" a="1"/>
  <c r="R650" i="2" s="1"/>
  <c r="R651" i="2" a="1"/>
  <c r="R651" i="2" s="1"/>
  <c r="R652" i="2" a="1"/>
  <c r="R652" i="2" s="1"/>
  <c r="R653" i="2" a="1"/>
  <c r="R653" i="2" s="1"/>
  <c r="R654" i="2" a="1"/>
  <c r="R654" i="2"/>
  <c r="R655" i="2" a="1"/>
  <c r="R655" i="2" s="1"/>
  <c r="R656" i="2" a="1"/>
  <c r="R656" i="2"/>
  <c r="R657" i="2" a="1"/>
  <c r="R657" i="2" s="1"/>
  <c r="R658" i="2" a="1"/>
  <c r="R658" i="2" s="1"/>
  <c r="R659" i="2" a="1"/>
  <c r="R659" i="2" s="1"/>
  <c r="R660" i="2" a="1"/>
  <c r="R660" i="2" s="1"/>
  <c r="R661" i="2" a="1"/>
  <c r="R661" i="2" s="1"/>
  <c r="R662" i="2" a="1"/>
  <c r="R662" i="2" s="1"/>
  <c r="R663" i="2" a="1"/>
  <c r="R663" i="2" s="1"/>
  <c r="R664" i="2" a="1"/>
  <c r="R664" i="2"/>
  <c r="R665" i="2" a="1"/>
  <c r="R665" i="2" s="1"/>
  <c r="R666" i="2" a="1"/>
  <c r="R666" i="2" s="1"/>
  <c r="R667" i="2" a="1"/>
  <c r="R667" i="2" s="1"/>
  <c r="R668" i="2" a="1"/>
  <c r="R668" i="2" s="1"/>
  <c r="R669" i="2" a="1"/>
  <c r="R669" i="2" s="1"/>
  <c r="R670" i="2" a="1"/>
  <c r="R670" i="2"/>
  <c r="R671" i="2" a="1"/>
  <c r="R671" i="2" s="1"/>
  <c r="R672" i="2" a="1"/>
  <c r="R672" i="2"/>
  <c r="R673" i="2" a="1"/>
  <c r="R673" i="2" s="1"/>
  <c r="R674" i="2" a="1"/>
  <c r="R674" i="2" s="1"/>
  <c r="R675" i="2" a="1"/>
  <c r="R675" i="2" s="1"/>
  <c r="R676" i="2" a="1"/>
  <c r="R676" i="2" s="1"/>
  <c r="R677" i="2" a="1"/>
  <c r="R677" i="2" s="1"/>
  <c r="R678" i="2" a="1"/>
  <c r="R678" i="2" s="1"/>
  <c r="R679" i="2" a="1"/>
  <c r="R679" i="2" s="1"/>
  <c r="R680" i="2" a="1"/>
  <c r="R680" i="2"/>
  <c r="R681" i="2" a="1"/>
  <c r="R681" i="2" s="1"/>
  <c r="R682" i="2" a="1"/>
  <c r="R682" i="2" s="1"/>
  <c r="R683" i="2" a="1"/>
  <c r="R683" i="2" s="1"/>
  <c r="R684" i="2" a="1"/>
  <c r="R684" i="2" s="1"/>
  <c r="R685" i="2" a="1"/>
  <c r="R685" i="2" s="1"/>
  <c r="R686" i="2" a="1"/>
  <c r="R686" i="2"/>
  <c r="R687" i="2" a="1"/>
  <c r="R687" i="2" s="1"/>
  <c r="R688" i="2" a="1"/>
  <c r="R688" i="2"/>
  <c r="R689" i="2" a="1"/>
  <c r="R689" i="2" s="1"/>
  <c r="R690" i="2" a="1"/>
  <c r="R690" i="2" s="1"/>
  <c r="R691" i="2" a="1"/>
  <c r="R691" i="2" s="1"/>
  <c r="R692" i="2" a="1"/>
  <c r="R692" i="2" s="1"/>
  <c r="R693" i="2" a="1"/>
  <c r="R693" i="2" s="1"/>
  <c r="R694" i="2" a="1"/>
  <c r="R694" i="2" s="1"/>
  <c r="R695" i="2" a="1"/>
  <c r="R695" i="2" s="1"/>
  <c r="R696" i="2" a="1"/>
  <c r="R696" i="2"/>
  <c r="R697" i="2" a="1"/>
  <c r="R697" i="2" s="1"/>
  <c r="R698" i="2" a="1"/>
  <c r="R698" i="2" s="1"/>
  <c r="R699" i="2" a="1"/>
  <c r="R699" i="2" s="1"/>
  <c r="R700" i="2" a="1"/>
  <c r="R700" i="2" s="1"/>
  <c r="R701" i="2" a="1"/>
  <c r="R701" i="2" s="1"/>
  <c r="R702" i="2" a="1"/>
  <c r="R702" i="2"/>
  <c r="R703" i="2" a="1"/>
  <c r="R703" i="2" s="1"/>
  <c r="R704" i="2" a="1"/>
  <c r="R704" i="2"/>
  <c r="R705" i="2" a="1"/>
  <c r="R705" i="2" s="1"/>
  <c r="R706" i="2" a="1"/>
  <c r="R706" i="2" s="1"/>
  <c r="R707" i="2" a="1"/>
  <c r="R707" i="2" s="1"/>
  <c r="R708" i="2" a="1"/>
  <c r="R708" i="2" s="1"/>
  <c r="R709" i="2" a="1"/>
  <c r="R709" i="2" s="1"/>
  <c r="R710" i="2" a="1"/>
  <c r="R710" i="2" s="1"/>
  <c r="R711" i="2" a="1"/>
  <c r="R711" i="2" s="1"/>
  <c r="R712" i="2" a="1"/>
  <c r="R712" i="2"/>
  <c r="R713" i="2" a="1"/>
  <c r="R713" i="2" s="1"/>
  <c r="R714" i="2" a="1"/>
  <c r="R714" i="2" s="1"/>
  <c r="R715" i="2" a="1"/>
  <c r="R715" i="2" s="1"/>
  <c r="R716" i="2" a="1"/>
  <c r="R716" i="2" s="1"/>
  <c r="R717" i="2" a="1"/>
  <c r="R717" i="2" s="1"/>
  <c r="R718" i="2" a="1"/>
  <c r="R718" i="2"/>
  <c r="R719" i="2" a="1"/>
  <c r="R719" i="2" s="1"/>
  <c r="R720" i="2" a="1"/>
  <c r="R720" i="2"/>
  <c r="R721" i="2" a="1"/>
  <c r="R721" i="2" s="1"/>
  <c r="R722" i="2" a="1"/>
  <c r="R722" i="2" s="1"/>
  <c r="R723" i="2" a="1"/>
  <c r="R723" i="2" s="1"/>
  <c r="R724" i="2" a="1"/>
  <c r="R724" i="2" s="1"/>
  <c r="R725" i="2" a="1"/>
  <c r="R725" i="2" s="1"/>
  <c r="R726" i="2" a="1"/>
  <c r="R726" i="2" s="1"/>
  <c r="R727" i="2" a="1"/>
  <c r="R727" i="2" s="1"/>
  <c r="R728" i="2" a="1"/>
  <c r="R728" i="2"/>
  <c r="R729" i="2" a="1"/>
  <c r="R729" i="2" s="1"/>
  <c r="R730" i="2" a="1"/>
  <c r="R730" i="2" s="1"/>
  <c r="R731" i="2" a="1"/>
  <c r="R731" i="2" s="1"/>
  <c r="R732" i="2" a="1"/>
  <c r="R732" i="2" s="1"/>
  <c r="R733" i="2" a="1"/>
  <c r="R733" i="2" s="1"/>
  <c r="R734" i="2" a="1"/>
  <c r="R734" i="2"/>
  <c r="R735" i="2" a="1"/>
  <c r="R735" i="2" s="1"/>
  <c r="R736" i="2" a="1"/>
  <c r="R736" i="2"/>
  <c r="R737" i="2" a="1"/>
  <c r="R737" i="2" s="1"/>
  <c r="R738" i="2" a="1"/>
  <c r="R738" i="2" s="1"/>
  <c r="R739" i="2" a="1"/>
  <c r="R739" i="2" s="1"/>
  <c r="R740" i="2" a="1"/>
  <c r="R740" i="2" s="1"/>
  <c r="R741" i="2" a="1"/>
  <c r="R741" i="2" s="1"/>
  <c r="R742" i="2" a="1"/>
  <c r="R742" i="2" s="1"/>
  <c r="R743" i="2" a="1"/>
  <c r="R743" i="2" s="1"/>
  <c r="R744" i="2" a="1"/>
  <c r="R744" i="2"/>
  <c r="R745" i="2" a="1"/>
  <c r="R745" i="2" s="1"/>
  <c r="R746" i="2" a="1"/>
  <c r="R746" i="2" s="1"/>
  <c r="R747" i="2" a="1"/>
  <c r="R747" i="2" s="1"/>
  <c r="R748" i="2" a="1"/>
  <c r="R748" i="2" s="1"/>
  <c r="R749" i="2" a="1"/>
  <c r="R749" i="2" s="1"/>
  <c r="R750" i="2" a="1"/>
  <c r="R750" i="2"/>
  <c r="R751" i="2" a="1"/>
  <c r="R751" i="2" s="1"/>
  <c r="R752" i="2" a="1"/>
  <c r="R752" i="2"/>
  <c r="R753" i="2" a="1"/>
  <c r="R753" i="2" s="1"/>
  <c r="R754" i="2" a="1"/>
  <c r="R754" i="2" s="1"/>
  <c r="R755" i="2" a="1"/>
  <c r="R755" i="2" s="1"/>
  <c r="R756" i="2" a="1"/>
  <c r="R756" i="2" s="1"/>
  <c r="R757" i="2" a="1"/>
  <c r="R757" i="2" s="1"/>
  <c r="R758" i="2" a="1"/>
  <c r="R758" i="2" s="1"/>
  <c r="R759" i="2" a="1"/>
  <c r="R759" i="2" s="1"/>
  <c r="R760" i="2" a="1"/>
  <c r="R760" i="2"/>
  <c r="R761" i="2" a="1"/>
  <c r="R761" i="2" s="1"/>
  <c r="R762" i="2" a="1"/>
  <c r="R762" i="2" s="1"/>
  <c r="R763" i="2" a="1"/>
  <c r="R763" i="2" s="1"/>
  <c r="R764" i="2" a="1"/>
  <c r="R764" i="2" s="1"/>
  <c r="R765" i="2" a="1"/>
  <c r="R765" i="2" s="1"/>
  <c r="R766" i="2" a="1"/>
  <c r="R766" i="2"/>
  <c r="R767" i="2" a="1"/>
  <c r="R767" i="2" s="1"/>
  <c r="R768" i="2" a="1"/>
  <c r="R768" i="2"/>
  <c r="R769" i="2" a="1"/>
  <c r="R769" i="2" s="1"/>
  <c r="R770" i="2" a="1"/>
  <c r="R770" i="2" s="1"/>
  <c r="R771" i="2" a="1"/>
  <c r="R771" i="2" s="1"/>
  <c r="R772" i="2" a="1"/>
  <c r="R772" i="2"/>
  <c r="R773" i="2" a="1"/>
  <c r="R773" i="2" s="1"/>
  <c r="R774" i="2" a="1"/>
  <c r="R774" i="2" s="1"/>
  <c r="R775" i="2" a="1"/>
  <c r="R775" i="2" s="1"/>
  <c r="R776" i="2" a="1"/>
  <c r="R776" i="2"/>
  <c r="R777" i="2" a="1"/>
  <c r="R777" i="2" s="1"/>
  <c r="R778" i="2" a="1"/>
  <c r="R778" i="2" s="1"/>
  <c r="R779" i="2" a="1"/>
  <c r="R779" i="2" s="1"/>
  <c r="R780" i="2" a="1"/>
  <c r="R780" i="2" s="1"/>
  <c r="R781" i="2" a="1"/>
  <c r="R781" i="2" s="1"/>
  <c r="R782" i="2" a="1"/>
  <c r="R782" i="2" s="1"/>
  <c r="R783" i="2" a="1"/>
  <c r="R783" i="2" s="1"/>
  <c r="R784" i="2" a="1"/>
  <c r="R784" i="2"/>
  <c r="R785" i="2" a="1"/>
  <c r="R785" i="2" s="1"/>
  <c r="R786" i="2" a="1"/>
  <c r="R786" i="2" s="1"/>
  <c r="R787" i="2" a="1"/>
  <c r="R787" i="2" s="1"/>
  <c r="R788" i="2" a="1"/>
  <c r="R788" i="2" s="1"/>
  <c r="R789" i="2" a="1"/>
  <c r="R789" i="2" s="1"/>
  <c r="R790" i="2" a="1"/>
  <c r="R790" i="2"/>
  <c r="R791" i="2" a="1"/>
  <c r="R791" i="2" s="1"/>
  <c r="R792" i="2" a="1"/>
  <c r="R792" i="2"/>
  <c r="R793" i="2" a="1"/>
  <c r="R793" i="2" s="1"/>
  <c r="R794" i="2" a="1"/>
  <c r="R794" i="2" s="1"/>
  <c r="R795" i="2" a="1"/>
  <c r="R795" i="2" s="1"/>
  <c r="R796" i="2" a="1"/>
  <c r="R796" i="2"/>
  <c r="R797" i="2" a="1"/>
  <c r="R797" i="2" s="1"/>
  <c r="R798" i="2" a="1"/>
  <c r="R798" i="2"/>
  <c r="R799" i="2" a="1"/>
  <c r="R799" i="2" s="1"/>
  <c r="R800" i="2" a="1"/>
  <c r="R800" i="2"/>
  <c r="R801" i="2" a="1"/>
  <c r="R801" i="2" s="1"/>
  <c r="R802" i="2" a="1"/>
  <c r="R802" i="2" s="1"/>
  <c r="R803" i="2" a="1"/>
  <c r="R803" i="2" s="1"/>
  <c r="R804" i="2" a="1"/>
  <c r="R804" i="2"/>
  <c r="R805" i="2" a="1"/>
  <c r="R805" i="2" s="1"/>
  <c r="R806" i="2" a="1"/>
  <c r="R806" i="2" s="1"/>
  <c r="R807" i="2" a="1"/>
  <c r="R807" i="2" s="1"/>
  <c r="R808" i="2" a="1"/>
  <c r="R808" i="2"/>
  <c r="R809" i="2" a="1"/>
  <c r="R809" i="2" s="1"/>
  <c r="R810" i="2" a="1"/>
  <c r="R810" i="2" s="1"/>
  <c r="R811" i="2" a="1"/>
  <c r="R811" i="2" s="1"/>
  <c r="R812" i="2" a="1"/>
  <c r="R812" i="2" s="1"/>
  <c r="R813" i="2" a="1"/>
  <c r="R813" i="2" s="1"/>
  <c r="R814" i="2" a="1"/>
  <c r="R814" i="2" s="1"/>
  <c r="R815" i="2" a="1"/>
  <c r="R815" i="2" s="1"/>
  <c r="R816" i="2" a="1"/>
  <c r="R816" i="2"/>
  <c r="R817" i="2" a="1"/>
  <c r="R817" i="2" s="1"/>
  <c r="R818" i="2" a="1"/>
  <c r="R818" i="2" s="1"/>
  <c r="R819" i="2" a="1"/>
  <c r="R819" i="2" s="1"/>
  <c r="R820" i="2" a="1"/>
  <c r="R820" i="2" s="1"/>
  <c r="R821" i="2" a="1"/>
  <c r="R821" i="2" s="1"/>
  <c r="R822" i="2" a="1"/>
  <c r="R822" i="2"/>
  <c r="R823" i="2" a="1"/>
  <c r="R823" i="2" s="1"/>
  <c r="R824" i="2" a="1"/>
  <c r="R824" i="2"/>
  <c r="R825" i="2" a="1"/>
  <c r="R825" i="2" s="1"/>
  <c r="R826" i="2" a="1"/>
  <c r="R826" i="2" s="1"/>
  <c r="R827" i="2" a="1"/>
  <c r="R827" i="2" s="1"/>
  <c r="R828" i="2" a="1"/>
  <c r="R828" i="2"/>
  <c r="R829" i="2" a="1"/>
  <c r="R829" i="2" s="1"/>
  <c r="R830" i="2" a="1"/>
  <c r="R830" i="2"/>
  <c r="R831" i="2" a="1"/>
  <c r="R831" i="2" s="1"/>
  <c r="R832" i="2" a="1"/>
  <c r="R832" i="2"/>
  <c r="R833" i="2" a="1"/>
  <c r="R833" i="2" s="1"/>
  <c r="R834" i="2" a="1"/>
  <c r="R834" i="2" s="1"/>
  <c r="R835" i="2" a="1"/>
  <c r="R835" i="2" s="1"/>
  <c r="R836" i="2" a="1"/>
  <c r="R836" i="2"/>
  <c r="R837" i="2" a="1"/>
  <c r="R837" i="2" s="1"/>
  <c r="R838" i="2" a="1"/>
  <c r="R838" i="2" s="1"/>
  <c r="R839" i="2" a="1"/>
  <c r="R839" i="2" s="1"/>
  <c r="R840" i="2" a="1"/>
  <c r="R840" i="2"/>
  <c r="R841" i="2" a="1"/>
  <c r="R841" i="2" s="1"/>
  <c r="R842" i="2" a="1"/>
  <c r="R842" i="2" s="1"/>
  <c r="R843" i="2" a="1"/>
  <c r="R843" i="2" s="1"/>
  <c r="R844" i="2" a="1"/>
  <c r="R844" i="2" s="1"/>
  <c r="R845" i="2" a="1"/>
  <c r="R845" i="2" s="1"/>
  <c r="R846" i="2" a="1"/>
  <c r="R846" i="2" s="1"/>
  <c r="R847" i="2" a="1"/>
  <c r="R847" i="2" s="1"/>
  <c r="R848" i="2" a="1"/>
  <c r="R848" i="2"/>
  <c r="R849" i="2" a="1"/>
  <c r="R849" i="2" s="1"/>
  <c r="R850" i="2" a="1"/>
  <c r="R850" i="2" s="1"/>
  <c r="R851" i="2" a="1"/>
  <c r="R851" i="2" s="1"/>
  <c r="R852" i="2" a="1"/>
  <c r="R852" i="2" s="1"/>
  <c r="R853" i="2" a="1"/>
  <c r="R853" i="2" s="1"/>
  <c r="R854" i="2" a="1"/>
  <c r="R854" i="2"/>
  <c r="R855" i="2" a="1"/>
  <c r="R855" i="2" s="1"/>
  <c r="R856" i="2" a="1"/>
  <c r="R856" i="2"/>
  <c r="R857" i="2" a="1"/>
  <c r="R857" i="2" s="1"/>
  <c r="R858" i="2" a="1"/>
  <c r="R858" i="2" s="1"/>
  <c r="R859" i="2" a="1"/>
  <c r="R859" i="2" s="1"/>
  <c r="R860" i="2" a="1"/>
  <c r="R860" i="2"/>
  <c r="R861" i="2" a="1"/>
  <c r="R861" i="2" s="1"/>
  <c r="R862" i="2" a="1"/>
  <c r="R862" i="2"/>
  <c r="R863" i="2" a="1"/>
  <c r="R863" i="2" s="1"/>
  <c r="R864" i="2" a="1"/>
  <c r="R864" i="2"/>
  <c r="R865" i="2" a="1"/>
  <c r="R865" i="2" s="1"/>
  <c r="R866" i="2" a="1"/>
  <c r="R866" i="2" s="1"/>
  <c r="R867" i="2" a="1"/>
  <c r="R867" i="2" s="1"/>
  <c r="R868" i="2" a="1"/>
  <c r="R868" i="2"/>
  <c r="R869" i="2" a="1"/>
  <c r="R869" i="2" s="1"/>
  <c r="R870" i="2" a="1"/>
  <c r="R870" i="2" s="1"/>
  <c r="R871" i="2" a="1"/>
  <c r="R871" i="2" s="1"/>
  <c r="R872" i="2" a="1"/>
  <c r="R872" i="2"/>
  <c r="R873" i="2" a="1"/>
  <c r="R873" i="2" s="1"/>
  <c r="R874" i="2" a="1"/>
  <c r="R874" i="2" s="1"/>
  <c r="R875" i="2" a="1"/>
  <c r="R875" i="2" s="1"/>
  <c r="R876" i="2" a="1"/>
  <c r="R876" i="2" s="1"/>
  <c r="R877" i="2" a="1"/>
  <c r="R877" i="2" s="1"/>
  <c r="R878" i="2" a="1"/>
  <c r="R878" i="2" s="1"/>
  <c r="R879" i="2" a="1"/>
  <c r="R879" i="2" s="1"/>
  <c r="R880" i="2" a="1"/>
  <c r="R880" i="2"/>
  <c r="R881" i="2" a="1"/>
  <c r="R881" i="2" s="1"/>
  <c r="R882" i="2" a="1"/>
  <c r="R882" i="2" s="1"/>
  <c r="R883" i="2" a="1"/>
  <c r="R883" i="2" s="1"/>
  <c r="R884" i="2" a="1"/>
  <c r="R884" i="2" s="1"/>
  <c r="R885" i="2" a="1"/>
  <c r="R885" i="2" s="1"/>
  <c r="R886" i="2" a="1"/>
  <c r="R886" i="2"/>
  <c r="R887" i="2" a="1"/>
  <c r="R887" i="2" s="1"/>
  <c r="R888" i="2" a="1"/>
  <c r="R888" i="2"/>
  <c r="R889" i="2" a="1"/>
  <c r="R889" i="2" s="1"/>
  <c r="R890" i="2" a="1"/>
  <c r="R890" i="2" s="1"/>
  <c r="R891" i="2" a="1"/>
  <c r="R891" i="2" s="1"/>
  <c r="R892" i="2" a="1"/>
  <c r="R892" i="2"/>
  <c r="R893" i="2" a="1"/>
  <c r="R893" i="2" s="1"/>
  <c r="R894" i="2" a="1"/>
  <c r="R894" i="2"/>
  <c r="R895" i="2" a="1"/>
  <c r="R895" i="2" s="1"/>
  <c r="R896" i="2" a="1"/>
  <c r="R896" i="2"/>
  <c r="R897" i="2" a="1"/>
  <c r="R897" i="2" s="1"/>
  <c r="R898" i="2" a="1"/>
  <c r="R898" i="2" s="1"/>
  <c r="R899" i="2" a="1"/>
  <c r="R899" i="2" s="1"/>
  <c r="R900" i="2" a="1"/>
  <c r="R900" i="2"/>
  <c r="R901" i="2" a="1"/>
  <c r="R901" i="2" s="1"/>
  <c r="R902" i="2" a="1"/>
  <c r="R902" i="2" s="1"/>
  <c r="R903" i="2" a="1"/>
  <c r="R903" i="2" s="1"/>
  <c r="R904" i="2" a="1"/>
  <c r="R904" i="2"/>
  <c r="R905" i="2" a="1"/>
  <c r="R905" i="2" s="1"/>
  <c r="R906" i="2" a="1"/>
  <c r="R906" i="2" s="1"/>
  <c r="R907" i="2" a="1"/>
  <c r="R907" i="2" s="1"/>
  <c r="R908" i="2" a="1"/>
  <c r="R908" i="2" s="1"/>
  <c r="R909" i="2" a="1"/>
  <c r="R909" i="2" s="1"/>
  <c r="R910" i="2" a="1"/>
  <c r="R910" i="2" s="1"/>
  <c r="R911" i="2" a="1"/>
  <c r="R911" i="2" s="1"/>
  <c r="R912" i="2" a="1"/>
  <c r="R912" i="2"/>
  <c r="R913" i="2" a="1"/>
  <c r="R913" i="2" s="1"/>
  <c r="R914" i="2" a="1"/>
  <c r="R914" i="2" s="1"/>
  <c r="R915" i="2" a="1"/>
  <c r="R915" i="2" s="1"/>
  <c r="R916" i="2" a="1"/>
  <c r="R916" i="2" s="1"/>
  <c r="R917" i="2" a="1"/>
  <c r="R917" i="2" s="1"/>
  <c r="R918" i="2" a="1"/>
  <c r="R918" i="2"/>
  <c r="R919" i="2" a="1"/>
  <c r="R919" i="2" s="1"/>
  <c r="R920" i="2" a="1"/>
  <c r="R920" i="2"/>
  <c r="R921" i="2" a="1"/>
  <c r="R921" i="2" s="1"/>
  <c r="R922" i="2" a="1"/>
  <c r="R922" i="2" s="1"/>
  <c r="R923" i="2" a="1"/>
  <c r="R923" i="2" s="1"/>
  <c r="R924" i="2" a="1"/>
  <c r="R924" i="2"/>
  <c r="R925" i="2" a="1"/>
  <c r="R925" i="2" s="1"/>
  <c r="R926" i="2" a="1"/>
  <c r="R926" i="2"/>
  <c r="R927" i="2" a="1"/>
  <c r="R927" i="2" s="1"/>
  <c r="R928" i="2" a="1"/>
  <c r="R928" i="2"/>
  <c r="R929" i="2" a="1"/>
  <c r="R929" i="2" s="1"/>
  <c r="R930" i="2" a="1"/>
  <c r="R930" i="2" s="1"/>
  <c r="R931" i="2" a="1"/>
  <c r="R931" i="2" s="1"/>
  <c r="R932" i="2" a="1"/>
  <c r="R932" i="2"/>
  <c r="R933" i="2" a="1"/>
  <c r="R933" i="2" s="1"/>
  <c r="R934" i="2" a="1"/>
  <c r="R934" i="2" s="1"/>
  <c r="R935" i="2" a="1"/>
  <c r="R935" i="2" s="1"/>
  <c r="R936" i="2" a="1"/>
  <c r="R936" i="2"/>
  <c r="R937" i="2" a="1"/>
  <c r="R937" i="2" s="1"/>
  <c r="R938" i="2" a="1"/>
  <c r="R938" i="2" s="1"/>
  <c r="R939" i="2" a="1"/>
  <c r="R939" i="2" s="1"/>
  <c r="R940" i="2" a="1"/>
  <c r="R940" i="2" s="1"/>
  <c r="R941" i="2" a="1"/>
  <c r="R941" i="2" s="1"/>
  <c r="R942" i="2" a="1"/>
  <c r="R942" i="2" s="1"/>
  <c r="R943" i="2" a="1"/>
  <c r="R943" i="2" s="1"/>
  <c r="R944" i="2" a="1"/>
  <c r="R944" i="2"/>
  <c r="R945" i="2" a="1"/>
  <c r="R945" i="2" s="1"/>
  <c r="R946" i="2" a="1"/>
  <c r="R946" i="2" s="1"/>
  <c r="R947" i="2" a="1"/>
  <c r="R947" i="2" s="1"/>
  <c r="R948" i="2" a="1"/>
  <c r="R948" i="2" s="1"/>
  <c r="R949" i="2" a="1"/>
  <c r="R949" i="2" s="1"/>
  <c r="R950" i="2" a="1"/>
  <c r="R950" i="2"/>
  <c r="R951" i="2" a="1"/>
  <c r="R951" i="2" s="1"/>
  <c r="R952" i="2" a="1"/>
  <c r="R952" i="2"/>
  <c r="R953" i="2" a="1"/>
  <c r="R953" i="2" s="1"/>
  <c r="R954" i="2" a="1"/>
  <c r="R954" i="2" s="1"/>
  <c r="R955" i="2" a="1"/>
  <c r="R955" i="2" s="1"/>
  <c r="R956" i="2" a="1"/>
  <c r="R956" i="2"/>
  <c r="R957" i="2" a="1"/>
  <c r="R957" i="2" s="1"/>
  <c r="R958" i="2" a="1"/>
  <c r="R958" i="2"/>
  <c r="R959" i="2" a="1"/>
  <c r="R959" i="2" s="1"/>
  <c r="R960" i="2" a="1"/>
  <c r="R960" i="2"/>
  <c r="R961" i="2" a="1"/>
  <c r="R961" i="2" s="1"/>
  <c r="R962" i="2" a="1"/>
  <c r="R962" i="2" s="1"/>
  <c r="R963" i="2" a="1"/>
  <c r="R963" i="2" s="1"/>
  <c r="R964" i="2" a="1"/>
  <c r="R964" i="2"/>
  <c r="R965" i="2" a="1"/>
  <c r="R965" i="2" s="1"/>
  <c r="R966" i="2" a="1"/>
  <c r="R966" i="2" s="1"/>
  <c r="R967" i="2" a="1"/>
  <c r="R967" i="2" s="1"/>
  <c r="R968" i="2" a="1"/>
  <c r="R968" i="2"/>
  <c r="R969" i="2" a="1"/>
  <c r="R969" i="2" s="1"/>
  <c r="R970" i="2" a="1"/>
  <c r="R970" i="2" s="1"/>
  <c r="R971" i="2" a="1"/>
  <c r="R971" i="2" s="1"/>
  <c r="R972" i="2" a="1"/>
  <c r="R972" i="2" s="1"/>
  <c r="R973" i="2" a="1"/>
  <c r="R973" i="2" s="1"/>
  <c r="R974" i="2" a="1"/>
  <c r="R974" i="2" s="1"/>
  <c r="R975" i="2" a="1"/>
  <c r="R975" i="2" s="1"/>
  <c r="R976" i="2" a="1"/>
  <c r="R976" i="2"/>
  <c r="R977" i="2" a="1"/>
  <c r="R977" i="2" s="1"/>
  <c r="R978" i="2" a="1"/>
  <c r="R978" i="2" s="1"/>
  <c r="R979" i="2" a="1"/>
  <c r="R979" i="2" s="1"/>
  <c r="R980" i="2" a="1"/>
  <c r="R980" i="2" s="1"/>
  <c r="R981" i="2" a="1"/>
  <c r="R981" i="2" s="1"/>
  <c r="R982" i="2" a="1"/>
  <c r="R982" i="2"/>
  <c r="R983" i="2" a="1"/>
  <c r="R983" i="2" s="1"/>
  <c r="R984" i="2" a="1"/>
  <c r="R984" i="2"/>
  <c r="R985" i="2" a="1"/>
  <c r="R985" i="2" s="1"/>
  <c r="R986" i="2" a="1"/>
  <c r="R986" i="2" s="1"/>
  <c r="R987" i="2" a="1"/>
  <c r="R987" i="2" s="1"/>
  <c r="R988" i="2" a="1"/>
  <c r="R988" i="2"/>
  <c r="R989" i="2" a="1"/>
  <c r="R989" i="2" s="1"/>
  <c r="R990" i="2" a="1"/>
  <c r="R990" i="2"/>
  <c r="R991" i="2" a="1"/>
  <c r="R991" i="2" s="1"/>
  <c r="R992" i="2" a="1"/>
  <c r="R992" i="2"/>
  <c r="R993" i="2" a="1"/>
  <c r="R993" i="2" s="1"/>
  <c r="R994" i="2" a="1"/>
  <c r="R994" i="2" s="1"/>
  <c r="R995" i="2" a="1"/>
  <c r="R995" i="2" s="1"/>
  <c r="R996" i="2" a="1"/>
  <c r="R996" i="2"/>
  <c r="R997" i="2" a="1"/>
  <c r="R997" i="2" s="1"/>
  <c r="R998" i="2" a="1"/>
  <c r="R998" i="2" s="1"/>
  <c r="R999" i="2" a="1"/>
  <c r="R999" i="2" s="1"/>
  <c r="R1000" i="2" a="1"/>
  <c r="R1000" i="2"/>
  <c r="R1001" i="2" a="1"/>
  <c r="R1001" i="2" s="1"/>
  <c r="R1002" i="2" a="1"/>
  <c r="R1002" i="2" s="1"/>
  <c r="R1003" i="2" a="1"/>
  <c r="R1003" i="2" s="1"/>
  <c r="R1004" i="2" a="1"/>
  <c r="R1004" i="2" s="1"/>
  <c r="R1005" i="2" a="1"/>
  <c r="R1005" i="2" s="1"/>
  <c r="R1006" i="2" a="1"/>
  <c r="R1006" i="2" s="1"/>
  <c r="R1007" i="2" a="1"/>
  <c r="R1007" i="2" s="1"/>
  <c r="R1008" i="2" a="1"/>
  <c r="R1008" i="2"/>
  <c r="R1009" i="2" a="1"/>
  <c r="R1009" i="2" s="1"/>
  <c r="R1010" i="2" a="1"/>
  <c r="R1010" i="2" s="1"/>
  <c r="R1011" i="2" a="1"/>
  <c r="R1011" i="2" s="1"/>
  <c r="R1012" i="2" a="1"/>
  <c r="R1012" i="2" s="1"/>
  <c r="R1013" i="2" a="1"/>
  <c r="R1013" i="2" s="1"/>
  <c r="R1014" i="2" a="1"/>
  <c r="R1014" i="2"/>
  <c r="R1015" i="2" a="1"/>
  <c r="R1015" i="2" s="1"/>
  <c r="R1016" i="2" a="1"/>
  <c r="R1016" i="2"/>
  <c r="R1017" i="2" a="1"/>
  <c r="R1017" i="2" s="1"/>
  <c r="R1018" i="2" a="1"/>
  <c r="R1018" i="2" s="1"/>
  <c r="R1019" i="2" a="1"/>
  <c r="R1019" i="2" s="1"/>
  <c r="R1020" i="2" a="1"/>
  <c r="R1020" i="2"/>
  <c r="R1021" i="2" a="1"/>
  <c r="R1021" i="2" s="1"/>
  <c r="R1022" i="2" a="1"/>
  <c r="R1022" i="2"/>
  <c r="R1023" i="2" a="1"/>
  <c r="R1023" i="2" s="1"/>
  <c r="R1024" i="2" a="1"/>
  <c r="R1024" i="2"/>
  <c r="R1025" i="2" a="1"/>
  <c r="R1025" i="2" s="1"/>
  <c r="R1026" i="2" a="1"/>
  <c r="R1026" i="2" s="1"/>
  <c r="R1027" i="2" a="1"/>
  <c r="R1027" i="2" s="1"/>
  <c r="R1028" i="2" a="1"/>
  <c r="R1028" i="2"/>
  <c r="R1029" i="2" a="1"/>
  <c r="R1029" i="2" s="1"/>
  <c r="R1030" i="2" a="1"/>
  <c r="R1030" i="2" s="1"/>
  <c r="R1031" i="2" a="1"/>
  <c r="R1031" i="2" s="1"/>
  <c r="R1032" i="2" a="1"/>
  <c r="R1032" i="2"/>
  <c r="R1033" i="2" a="1"/>
  <c r="R1033" i="2" s="1"/>
  <c r="R1034" i="2" a="1"/>
  <c r="R1034" i="2" s="1"/>
  <c r="R1035" i="2" a="1"/>
  <c r="R1035" i="2" s="1"/>
  <c r="R1036" i="2" a="1"/>
  <c r="R1036" i="2" s="1"/>
  <c r="R1037" i="2" a="1"/>
  <c r="R1037" i="2" s="1"/>
  <c r="R1038" i="2" a="1"/>
  <c r="R1038" i="2" s="1"/>
  <c r="R1039" i="2" a="1"/>
  <c r="R1039" i="2" s="1"/>
  <c r="R1040" i="2" a="1"/>
  <c r="R1040" i="2"/>
  <c r="R1041" i="2" a="1"/>
  <c r="R1041" i="2" s="1"/>
  <c r="R1042" i="2" a="1"/>
  <c r="R1042" i="2" s="1"/>
  <c r="R1043" i="2" a="1"/>
  <c r="R1043" i="2" s="1"/>
  <c r="R1044" i="2" a="1"/>
  <c r="R1044" i="2" s="1"/>
  <c r="R1045" i="2" a="1"/>
  <c r="R1045" i="2" s="1"/>
  <c r="R1046" i="2" a="1"/>
  <c r="R1046" i="2"/>
  <c r="R1047" i="2" a="1"/>
  <c r="R1047" i="2" s="1"/>
  <c r="R1048" i="2" a="1"/>
  <c r="R1048" i="2"/>
  <c r="R1049" i="2" a="1"/>
  <c r="R1049" i="2" s="1"/>
  <c r="R1050" i="2" a="1"/>
  <c r="R1050" i="2" s="1"/>
  <c r="R1051" i="2" a="1"/>
  <c r="R1051" i="2" s="1"/>
  <c r="R1052" i="2" a="1"/>
  <c r="R1052" i="2"/>
  <c r="R1053" i="2" a="1"/>
  <c r="R1053" i="2" s="1"/>
  <c r="R1054" i="2" a="1"/>
  <c r="R1054" i="2"/>
  <c r="R1055" i="2" a="1"/>
  <c r="R1055" i="2" s="1"/>
  <c r="R1056" i="2" a="1"/>
  <c r="R1056" i="2"/>
  <c r="R1057" i="2" a="1"/>
  <c r="R1057" i="2" s="1"/>
  <c r="R1058" i="2" a="1"/>
  <c r="R1058" i="2" s="1"/>
  <c r="R1059" i="2" a="1"/>
  <c r="R1059" i="2" s="1"/>
  <c r="R1060" i="2" a="1"/>
  <c r="R1060" i="2"/>
  <c r="R1061" i="2" a="1"/>
  <c r="R1061" i="2" s="1"/>
  <c r="R1062" i="2" a="1"/>
  <c r="R1062" i="2" s="1"/>
  <c r="R1063" i="2" a="1"/>
  <c r="R1063" i="2" s="1"/>
  <c r="R1064" i="2" a="1"/>
  <c r="R1064" i="2"/>
  <c r="R1065" i="2" a="1"/>
  <c r="R1065" i="2" s="1"/>
  <c r="R1066" i="2" a="1"/>
  <c r="R1066" i="2" s="1"/>
  <c r="R1067" i="2" a="1"/>
  <c r="R1067" i="2" s="1"/>
  <c r="R1068" i="2" a="1"/>
  <c r="R1068" i="2" s="1"/>
  <c r="R1069" i="2" a="1"/>
  <c r="R1069" i="2" s="1"/>
  <c r="R1070" i="2" a="1"/>
  <c r="R1070" i="2" s="1"/>
  <c r="R1071" i="2" a="1"/>
  <c r="R1071" i="2" s="1"/>
  <c r="R1072" i="2" a="1"/>
  <c r="R1072" i="2"/>
  <c r="R1073" i="2" a="1"/>
  <c r="R1073" i="2" s="1"/>
  <c r="R1074" i="2" a="1"/>
  <c r="R1074" i="2" s="1"/>
  <c r="R1075" i="2" a="1"/>
  <c r="R1075" i="2" s="1"/>
  <c r="R1076" i="2" a="1"/>
  <c r="R1076" i="2" s="1"/>
  <c r="R1077" i="2" a="1"/>
  <c r="R1077" i="2" s="1"/>
  <c r="R1078" i="2" a="1"/>
  <c r="R1078" i="2"/>
  <c r="R1079" i="2" a="1"/>
  <c r="R1079" i="2" s="1"/>
  <c r="R1080" i="2" a="1"/>
  <c r="R1080" i="2"/>
  <c r="R1081" i="2" a="1"/>
  <c r="R1081" i="2" s="1"/>
  <c r="R1082" i="2" a="1"/>
  <c r="R1082" i="2" s="1"/>
  <c r="R1083" i="2" a="1"/>
  <c r="R1083" i="2" s="1"/>
  <c r="R1084" i="2" a="1"/>
  <c r="R1084" i="2"/>
  <c r="R1085" i="2" a="1"/>
  <c r="R1085" i="2" s="1"/>
  <c r="R1086" i="2" a="1"/>
  <c r="R1086" i="2"/>
  <c r="R1087" i="2" a="1"/>
  <c r="R1087" i="2" s="1"/>
  <c r="R1088" i="2" a="1"/>
  <c r="R1088" i="2"/>
  <c r="R1089" i="2" a="1"/>
  <c r="R1089" i="2" s="1"/>
  <c r="R1090" i="2" a="1"/>
  <c r="R1090" i="2" s="1"/>
  <c r="R1091" i="2" a="1"/>
  <c r="R1091" i="2" s="1"/>
  <c r="R1092" i="2" a="1"/>
  <c r="R1092" i="2"/>
  <c r="R1093" i="2" a="1"/>
  <c r="R1093" i="2" s="1"/>
  <c r="R1094" i="2" a="1"/>
  <c r="R1094" i="2" s="1"/>
  <c r="R1095" i="2" a="1"/>
  <c r="R1095" i="2" s="1"/>
  <c r="R1096" i="2" a="1"/>
  <c r="R1096" i="2"/>
  <c r="R1097" i="2" a="1"/>
  <c r="R1097" i="2" s="1"/>
  <c r="R1098" i="2" a="1"/>
  <c r="R1098" i="2" s="1"/>
  <c r="R1099" i="2" a="1"/>
  <c r="R1099" i="2" s="1"/>
  <c r="R1100" i="2" a="1"/>
  <c r="R1100" i="2" s="1"/>
  <c r="R1101" i="2" a="1"/>
  <c r="R1101" i="2" s="1"/>
  <c r="R1102" i="2" a="1"/>
  <c r="R1102" i="2" s="1"/>
  <c r="R1103" i="2" a="1"/>
  <c r="R1103" i="2" s="1"/>
  <c r="R1104" i="2" a="1"/>
  <c r="R1104" i="2"/>
  <c r="R1105" i="2" a="1"/>
  <c r="R1105" i="2" s="1"/>
  <c r="R1106" i="2" a="1"/>
  <c r="R1106" i="2" s="1"/>
  <c r="R1107" i="2" a="1"/>
  <c r="R1107" i="2" s="1"/>
  <c r="R1108" i="2" a="1"/>
  <c r="R1108" i="2" s="1"/>
  <c r="R1109" i="2" a="1"/>
  <c r="R1109" i="2" s="1"/>
  <c r="R1110" i="2" a="1"/>
  <c r="R1110" i="2"/>
  <c r="R1111" i="2" a="1"/>
  <c r="R1111" i="2" s="1"/>
  <c r="R1112" i="2" a="1"/>
  <c r="R1112" i="2"/>
  <c r="R1113" i="2" a="1"/>
  <c r="R1113" i="2" s="1"/>
  <c r="R1114" i="2" a="1"/>
  <c r="R1114" i="2" s="1"/>
  <c r="R1115" i="2" a="1"/>
  <c r="R1115" i="2" s="1"/>
  <c r="R1116" i="2" a="1"/>
  <c r="R1116" i="2"/>
  <c r="R1117" i="2" a="1"/>
  <c r="R1117" i="2" s="1"/>
  <c r="R1118" i="2" a="1"/>
  <c r="R1118" i="2"/>
  <c r="R1119" i="2" a="1"/>
  <c r="R1119" i="2" s="1"/>
  <c r="R1120" i="2" a="1"/>
  <c r="R1120" i="2"/>
  <c r="R1121" i="2" a="1"/>
  <c r="R1121" i="2" s="1"/>
  <c r="R1122" i="2" a="1"/>
  <c r="R1122" i="2" s="1"/>
  <c r="R1123" i="2" a="1"/>
  <c r="R1123" i="2" s="1"/>
  <c r="R1124" i="2" a="1"/>
  <c r="R1124" i="2"/>
  <c r="R1125" i="2" a="1"/>
  <c r="R1125" i="2" s="1"/>
  <c r="R1126" i="2" a="1"/>
  <c r="R1126" i="2" s="1"/>
  <c r="R1127" i="2" a="1"/>
  <c r="R1127" i="2" s="1"/>
  <c r="R1128" i="2" a="1"/>
  <c r="R1128" i="2"/>
  <c r="R1129" i="2" a="1"/>
  <c r="R1129" i="2" s="1"/>
  <c r="R1130" i="2" a="1"/>
  <c r="R1130" i="2" s="1"/>
  <c r="R1131" i="2" a="1"/>
  <c r="R1131" i="2" s="1"/>
  <c r="R1132" i="2" a="1"/>
  <c r="R1132" i="2" s="1"/>
  <c r="R1133" i="2" a="1"/>
  <c r="R1133" i="2" s="1"/>
  <c r="R1134" i="2" a="1"/>
  <c r="R1134" i="2" s="1"/>
  <c r="R1135" i="2" a="1"/>
  <c r="R1135" i="2" s="1"/>
  <c r="R1136" i="2" a="1"/>
  <c r="R1136" i="2"/>
  <c r="R1137" i="2" a="1"/>
  <c r="R1137" i="2" s="1"/>
  <c r="R1138" i="2" a="1"/>
  <c r="R1138" i="2" s="1"/>
  <c r="R1139" i="2" a="1"/>
  <c r="R1139" i="2" s="1"/>
  <c r="R1140" i="2" a="1"/>
  <c r="R1140" i="2" s="1"/>
  <c r="R1141" i="2" a="1"/>
  <c r="R1141" i="2" s="1"/>
  <c r="R1142" i="2" a="1"/>
  <c r="R1142" i="2"/>
  <c r="R1143" i="2" a="1"/>
  <c r="R1143" i="2" s="1"/>
  <c r="R1144" i="2" a="1"/>
  <c r="R1144" i="2"/>
  <c r="R1145" i="2" a="1"/>
  <c r="R1145" i="2" s="1"/>
  <c r="R1146" i="2" a="1"/>
  <c r="R1146" i="2" s="1"/>
  <c r="R1147" i="2" a="1"/>
  <c r="R1147" i="2" s="1"/>
  <c r="R1148" i="2" a="1"/>
  <c r="R1148" i="2"/>
  <c r="R1149" i="2" a="1"/>
  <c r="R1149" i="2" s="1"/>
  <c r="R1150" i="2" a="1"/>
  <c r="R1150" i="2"/>
  <c r="R1151" i="2" a="1"/>
  <c r="R1151" i="2" s="1"/>
  <c r="R1152" i="2" a="1"/>
  <c r="R1152" i="2"/>
  <c r="R1153" i="2" a="1"/>
  <c r="R1153" i="2" s="1"/>
  <c r="R1154" i="2" a="1"/>
  <c r="R1154" i="2" s="1"/>
  <c r="R1155" i="2" a="1"/>
  <c r="R1155" i="2" s="1"/>
  <c r="R1156" i="2" a="1"/>
  <c r="R1156" i="2"/>
  <c r="R1157" i="2" a="1"/>
  <c r="R1157" i="2" s="1"/>
  <c r="R1158" i="2" a="1"/>
  <c r="R1158" i="2" s="1"/>
  <c r="R1159" i="2" a="1"/>
  <c r="R1159" i="2" s="1"/>
  <c r="R1160" i="2" a="1"/>
  <c r="R1160" i="2"/>
  <c r="R1161" i="2" a="1"/>
  <c r="R1161" i="2" s="1"/>
  <c r="R1162" i="2" a="1"/>
  <c r="R1162" i="2" s="1"/>
  <c r="R1163" i="2" a="1"/>
  <c r="R1163" i="2" s="1"/>
  <c r="R1164" i="2" a="1"/>
  <c r="R1164" i="2" s="1"/>
  <c r="R1165" i="2" a="1"/>
  <c r="R1165" i="2" s="1"/>
  <c r="R1166" i="2" a="1"/>
  <c r="R1166" i="2" s="1"/>
  <c r="R1167" i="2" a="1"/>
  <c r="R1167" i="2" s="1"/>
  <c r="R1168" i="2" a="1"/>
  <c r="R1168" i="2"/>
  <c r="R1169" i="2" a="1"/>
  <c r="R1169" i="2" s="1"/>
  <c r="R1170" i="2" a="1"/>
  <c r="R1170" i="2" s="1"/>
  <c r="R1171" i="2" a="1"/>
  <c r="R1171" i="2" s="1"/>
  <c r="R1172" i="2" a="1"/>
  <c r="R1172" i="2" s="1"/>
  <c r="R1173" i="2" a="1"/>
  <c r="R1173" i="2" s="1"/>
  <c r="R1174" i="2" a="1"/>
  <c r="R1174" i="2"/>
  <c r="R1175" i="2" a="1"/>
  <c r="R1175" i="2" s="1"/>
  <c r="R1176" i="2" a="1"/>
  <c r="R1176" i="2"/>
  <c r="R1177" i="2" a="1"/>
  <c r="R1177" i="2" s="1"/>
  <c r="R1178" i="2" a="1"/>
  <c r="R1178" i="2" s="1"/>
  <c r="R1179" i="2" a="1"/>
  <c r="R1179" i="2" s="1"/>
  <c r="R1180" i="2" a="1"/>
  <c r="R1180" i="2"/>
  <c r="R1181" i="2" a="1"/>
  <c r="R1181" i="2" s="1"/>
  <c r="R1182" i="2" a="1"/>
  <c r="R1182" i="2"/>
  <c r="R1183" i="2" a="1"/>
  <c r="R1183" i="2" s="1"/>
  <c r="R1184" i="2" a="1"/>
  <c r="R1184" i="2"/>
  <c r="R1185" i="2" a="1"/>
  <c r="R1185" i="2" s="1"/>
  <c r="R1186" i="2" a="1"/>
  <c r="R1186" i="2" s="1"/>
  <c r="R1187" i="2" a="1"/>
  <c r="R1187" i="2" s="1"/>
  <c r="R1188" i="2" a="1"/>
  <c r="R1188" i="2"/>
  <c r="R1189" i="2" a="1"/>
  <c r="R1189" i="2" s="1"/>
  <c r="R1190" i="2" a="1"/>
  <c r="R1190" i="2" s="1"/>
  <c r="R1191" i="2" a="1"/>
  <c r="R1191" i="2" s="1"/>
  <c r="R1192" i="2" a="1"/>
  <c r="R1192" i="2"/>
  <c r="R1193" i="2" a="1"/>
  <c r="R1193" i="2" s="1"/>
  <c r="R1194" i="2" a="1"/>
  <c r="R1194" i="2" s="1"/>
  <c r="R1195" i="2" a="1"/>
  <c r="R1195" i="2" s="1"/>
  <c r="R1196" i="2" a="1"/>
  <c r="R1196" i="2" s="1"/>
  <c r="R1197" i="2" a="1"/>
  <c r="R1197" i="2"/>
  <c r="R1198" i="2" a="1"/>
  <c r="R1198" i="2" s="1"/>
  <c r="R1199" i="2" a="1"/>
  <c r="R1199" i="2"/>
  <c r="R1200" i="2" a="1"/>
  <c r="R1200" i="2" s="1"/>
  <c r="R1201" i="2" a="1"/>
  <c r="R1201" i="2" s="1"/>
  <c r="R1202" i="2" a="1"/>
  <c r="R1202" i="2" s="1"/>
  <c r="R1203" i="2" a="1"/>
  <c r="R1203" i="2" s="1"/>
  <c r="R1204" i="2" a="1"/>
  <c r="R1204" i="2" s="1"/>
  <c r="R1205" i="2" a="1"/>
  <c r="R1205" i="2"/>
  <c r="R1206" i="2" a="1"/>
  <c r="R1206" i="2" s="1"/>
  <c r="R1207" i="2" a="1"/>
  <c r="R1207" i="2"/>
  <c r="R1208" i="2" a="1"/>
  <c r="R1208" i="2" s="1"/>
  <c r="R1209" i="2" a="1"/>
  <c r="R1209" i="2" s="1"/>
  <c r="R1210" i="2" a="1"/>
  <c r="R1210" i="2" s="1"/>
  <c r="R1211" i="2" a="1"/>
  <c r="R1211" i="2" s="1"/>
  <c r="R1212" i="2" a="1"/>
  <c r="R1212" i="2" s="1"/>
  <c r="R1213" i="2" a="1"/>
  <c r="R1213" i="2"/>
  <c r="R1214" i="2" a="1"/>
  <c r="R1214" i="2" s="1"/>
  <c r="R1215" i="2" a="1"/>
  <c r="R1215" i="2"/>
  <c r="R1216" i="2" a="1"/>
  <c r="R1216" i="2" s="1"/>
  <c r="R1217" i="2" a="1"/>
  <c r="R1217" i="2" s="1"/>
  <c r="R1218" i="2" a="1"/>
  <c r="R1218" i="2" s="1"/>
  <c r="R1219" i="2" a="1"/>
  <c r="R1219" i="2" s="1"/>
  <c r="R1220" i="2" a="1"/>
  <c r="R1220" i="2" s="1"/>
  <c r="R1221" i="2" a="1"/>
  <c r="R1221" i="2"/>
  <c r="R1222" i="2" a="1"/>
  <c r="R1222" i="2" s="1"/>
  <c r="R1223" i="2" a="1"/>
  <c r="R1223" i="2"/>
  <c r="R1224" i="2" a="1"/>
  <c r="R1224" i="2" s="1"/>
  <c r="R1225" i="2" a="1"/>
  <c r="R1225" i="2" s="1"/>
  <c r="R1226" i="2" a="1"/>
  <c r="R1226" i="2" s="1"/>
  <c r="R1227" i="2" a="1"/>
  <c r="R1227" i="2" s="1"/>
  <c r="R1228" i="2" a="1"/>
  <c r="R1228" i="2" s="1"/>
  <c r="R1229" i="2" a="1"/>
  <c r="R1229" i="2"/>
  <c r="R1230" i="2" a="1"/>
  <c r="R1230" i="2" s="1"/>
  <c r="R1231" i="2" a="1"/>
  <c r="R1231" i="2"/>
  <c r="R1232" i="2" a="1"/>
  <c r="R1232" i="2" s="1"/>
  <c r="R1233" i="2" a="1"/>
  <c r="R1233" i="2" s="1"/>
  <c r="R1234" i="2" a="1"/>
  <c r="R1234" i="2" s="1"/>
  <c r="R1235" i="2" a="1"/>
  <c r="R1235" i="2" s="1"/>
  <c r="R1236" i="2" a="1"/>
  <c r="R1236" i="2" s="1"/>
  <c r="R1237" i="2" a="1"/>
  <c r="R1237" i="2"/>
  <c r="R1238" i="2" a="1"/>
  <c r="R1238" i="2" s="1"/>
  <c r="R1239" i="2" a="1"/>
  <c r="R1239" i="2"/>
  <c r="R1240" i="2" a="1"/>
  <c r="R1240" i="2" s="1"/>
  <c r="R1241" i="2" a="1"/>
  <c r="R1241" i="2" s="1"/>
  <c r="R1242" i="2" a="1"/>
  <c r="R1242" i="2" s="1"/>
  <c r="R1243" i="2" a="1"/>
  <c r="R1243" i="2" s="1"/>
  <c r="R1244" i="2" a="1"/>
  <c r="R1244" i="2" s="1"/>
  <c r="R1245" i="2" a="1"/>
  <c r="R1245" i="2"/>
  <c r="R1246" i="2" a="1"/>
  <c r="R1246" i="2" s="1"/>
  <c r="R1247" i="2" a="1"/>
  <c r="R1247" i="2"/>
  <c r="R1248" i="2" a="1"/>
  <c r="R1248" i="2" s="1"/>
  <c r="R1249" i="2" a="1"/>
  <c r="R1249" i="2" s="1"/>
  <c r="R1250" i="2" a="1"/>
  <c r="R1250" i="2" s="1"/>
  <c r="R1251" i="2" a="1"/>
  <c r="R1251" i="2" s="1"/>
  <c r="R1252" i="2" a="1"/>
  <c r="R1252" i="2" s="1"/>
  <c r="R1253" i="2" a="1"/>
  <c r="R1253" i="2"/>
  <c r="R1254" i="2" a="1"/>
  <c r="R1254" i="2" s="1"/>
  <c r="R1255" i="2" a="1"/>
  <c r="R1255" i="2"/>
  <c r="R1256" i="2" a="1"/>
  <c r="R1256" i="2" s="1"/>
  <c r="R1257" i="2" a="1"/>
  <c r="R1257" i="2" s="1"/>
  <c r="R1258" i="2" a="1"/>
  <c r="R1258" i="2" s="1"/>
  <c r="R1259" i="2" a="1"/>
  <c r="R1259" i="2" s="1"/>
  <c r="R1260" i="2" a="1"/>
  <c r="R1260" i="2" s="1"/>
  <c r="R1261" i="2" a="1"/>
  <c r="R1261" i="2"/>
  <c r="R1262" i="2" a="1"/>
  <c r="R1262" i="2" s="1"/>
  <c r="R1263" i="2" a="1"/>
  <c r="R1263" i="2"/>
  <c r="R1264" i="2" a="1"/>
  <c r="R1264" i="2" s="1"/>
  <c r="R1265" i="2" a="1"/>
  <c r="R1265" i="2" s="1"/>
  <c r="R1266" i="2" a="1"/>
  <c r="R1266" i="2" s="1"/>
  <c r="R1267" i="2" a="1"/>
  <c r="R1267" i="2" s="1"/>
  <c r="R1268" i="2" a="1"/>
  <c r="R1268" i="2" s="1"/>
  <c r="R1269" i="2" a="1"/>
  <c r="R1269" i="2"/>
  <c r="R1270" i="2" a="1"/>
  <c r="R1270" i="2" s="1"/>
  <c r="R1271" i="2" a="1"/>
  <c r="R1271" i="2"/>
  <c r="R1272" i="2" a="1"/>
  <c r="R1272" i="2" s="1"/>
  <c r="R1273" i="2" a="1"/>
  <c r="R1273" i="2" s="1"/>
  <c r="R1274" i="2" a="1"/>
  <c r="R1274" i="2" s="1"/>
  <c r="R1275" i="2" a="1"/>
  <c r="R1275" i="2" s="1"/>
  <c r="R1276" i="2" a="1"/>
  <c r="R1276" i="2" s="1"/>
  <c r="R1277" i="2" a="1"/>
  <c r="R1277" i="2"/>
  <c r="R1278" i="2" a="1"/>
  <c r="R1278" i="2" s="1"/>
  <c r="R1279" i="2" a="1"/>
  <c r="R1279" i="2"/>
  <c r="R1280" i="2" a="1"/>
  <c r="R1280" i="2" s="1"/>
  <c r="R1281" i="2" a="1"/>
  <c r="R1281" i="2" s="1"/>
  <c r="R1282" i="2" a="1"/>
  <c r="R1282" i="2" s="1"/>
  <c r="R1283" i="2" a="1"/>
  <c r="R1283" i="2" s="1"/>
  <c r="R1284" i="2" a="1"/>
  <c r="R1284" i="2" s="1"/>
  <c r="R1285" i="2" a="1"/>
  <c r="R1285" i="2"/>
  <c r="R1286" i="2" a="1"/>
  <c r="R1286" i="2" s="1"/>
  <c r="R1287" i="2" a="1"/>
  <c r="R1287" i="2"/>
  <c r="R1288" i="2" a="1"/>
  <c r="R1288" i="2" s="1"/>
  <c r="R1289" i="2" a="1"/>
  <c r="R1289" i="2" s="1"/>
  <c r="R1290" i="2" a="1"/>
  <c r="R1290" i="2" s="1"/>
  <c r="R1291" i="2" a="1"/>
  <c r="R1291" i="2" s="1"/>
  <c r="R1292" i="2" a="1"/>
  <c r="R1292" i="2" s="1"/>
  <c r="R1293" i="2" a="1"/>
  <c r="R1293" i="2"/>
  <c r="R1294" i="2" a="1"/>
  <c r="R1294" i="2" s="1"/>
  <c r="R1295" i="2" a="1"/>
  <c r="R1295" i="2"/>
  <c r="R1296" i="2" a="1"/>
  <c r="R1296" i="2" s="1"/>
  <c r="R1297" i="2" a="1"/>
  <c r="R1297" i="2" s="1"/>
  <c r="R1298" i="2" a="1"/>
  <c r="R1298" i="2" s="1"/>
  <c r="R1299" i="2" a="1"/>
  <c r="R1299" i="2" s="1"/>
  <c r="R1300" i="2" a="1"/>
  <c r="R1300" i="2" s="1"/>
  <c r="R1301" i="2" a="1"/>
  <c r="R1301" i="2"/>
  <c r="R1302" i="2" a="1"/>
  <c r="R1302" i="2" s="1"/>
  <c r="R1303" i="2" a="1"/>
  <c r="R1303" i="2"/>
  <c r="R1304" i="2" a="1"/>
  <c r="R1304" i="2" s="1"/>
  <c r="R1305" i="2" a="1"/>
  <c r="R1305" i="2" s="1"/>
  <c r="R1306" i="2" a="1"/>
  <c r="R1306" i="2" s="1"/>
  <c r="R1307" i="2" a="1"/>
  <c r="R1307" i="2" s="1"/>
  <c r="R1308" i="2" a="1"/>
  <c r="R1308" i="2" s="1"/>
  <c r="R1309" i="2" a="1"/>
  <c r="R1309" i="2"/>
  <c r="R1310" i="2" a="1"/>
  <c r="R1310" i="2" s="1"/>
  <c r="R1311" i="2" a="1"/>
  <c r="R1311" i="2"/>
  <c r="R1312" i="2" a="1"/>
  <c r="R1312" i="2" s="1"/>
  <c r="R1313" i="2" a="1"/>
  <c r="R1313" i="2" s="1"/>
  <c r="R1314" i="2" a="1"/>
  <c r="R1314" i="2" s="1"/>
  <c r="R1315" i="2" a="1"/>
  <c r="R1315" i="2" s="1"/>
  <c r="R1316" i="2" a="1"/>
  <c r="R1316" i="2" s="1"/>
  <c r="R1317" i="2" a="1"/>
  <c r="R1317" i="2"/>
  <c r="R1318" i="2" a="1"/>
  <c r="R1318" i="2" s="1"/>
  <c r="R1319" i="2" a="1"/>
  <c r="R1319" i="2"/>
  <c r="R1320" i="2" a="1"/>
  <c r="R1320" i="2" s="1"/>
  <c r="R1321" i="2" a="1"/>
  <c r="R1321" i="2" s="1"/>
  <c r="R1322" i="2" a="1"/>
  <c r="R1322" i="2" s="1"/>
  <c r="R1323" i="2" a="1"/>
  <c r="R1323" i="2" s="1"/>
  <c r="R1324" i="2" a="1"/>
  <c r="R1324" i="2" s="1"/>
  <c r="R1325" i="2" a="1"/>
  <c r="R1325" i="2"/>
  <c r="R1326" i="2" a="1"/>
  <c r="R1326" i="2" s="1"/>
  <c r="R1327" i="2" a="1"/>
  <c r="R1327" i="2"/>
  <c r="R1328" i="2" a="1"/>
  <c r="R1328" i="2" s="1"/>
  <c r="R1329" i="2" a="1"/>
  <c r="R1329" i="2" s="1"/>
  <c r="R1330" i="2" a="1"/>
  <c r="R1330" i="2" s="1"/>
  <c r="R1331" i="2" a="1"/>
  <c r="R1331" i="2" s="1"/>
  <c r="R1332" i="2" a="1"/>
  <c r="R1332" i="2" s="1"/>
  <c r="R1333" i="2" a="1"/>
  <c r="R1333" i="2"/>
  <c r="R1334" i="2" a="1"/>
  <c r="R1334" i="2" s="1"/>
  <c r="R1335" i="2" a="1"/>
  <c r="R1335" i="2"/>
  <c r="R1336" i="2" a="1"/>
  <c r="R1336" i="2" s="1"/>
  <c r="R1337" i="2" a="1"/>
  <c r="R1337" i="2" s="1"/>
  <c r="R1338" i="2" a="1"/>
  <c r="R1338" i="2" s="1"/>
  <c r="R1339" i="2" a="1"/>
  <c r="R1339" i="2" s="1"/>
  <c r="R1340" i="2" a="1"/>
  <c r="R1340" i="2" s="1"/>
  <c r="R1341" i="2" a="1"/>
  <c r="R1341" i="2"/>
  <c r="R1342" i="2" a="1"/>
  <c r="R1342" i="2" s="1"/>
  <c r="R1343" i="2" a="1"/>
  <c r="R1343" i="2"/>
  <c r="R1344" i="2" a="1"/>
  <c r="R1344" i="2" s="1"/>
  <c r="R1345" i="2" a="1"/>
  <c r="R1345" i="2" s="1"/>
  <c r="R1346" i="2" a="1"/>
  <c r="R1346" i="2" s="1"/>
  <c r="R1347" i="2" a="1"/>
  <c r="R1347" i="2" s="1"/>
  <c r="R1348" i="2" a="1"/>
  <c r="R1348" i="2" s="1"/>
  <c r="R1349" i="2" a="1"/>
  <c r="R1349" i="2"/>
  <c r="R1350" i="2" a="1"/>
  <c r="R1350" i="2" s="1"/>
  <c r="R1351" i="2" a="1"/>
  <c r="R1351" i="2"/>
  <c r="R1352" i="2" a="1"/>
  <c r="R1352" i="2" s="1"/>
  <c r="R1353" i="2" a="1"/>
  <c r="R1353" i="2" s="1"/>
  <c r="R1354" i="2" a="1"/>
  <c r="R1354" i="2" s="1"/>
  <c r="R1355" i="2" a="1"/>
  <c r="R1355" i="2" s="1"/>
  <c r="R1356" i="2" a="1"/>
  <c r="R1356" i="2" s="1"/>
  <c r="R1357" i="2" a="1"/>
  <c r="R1357" i="2"/>
  <c r="R1358" i="2" a="1"/>
  <c r="R1358" i="2" s="1"/>
  <c r="R1359" i="2" a="1"/>
  <c r="R1359" i="2"/>
  <c r="R1360" i="2" a="1"/>
  <c r="R1360" i="2" s="1"/>
  <c r="R1361" i="2" a="1"/>
  <c r="R1361" i="2" s="1"/>
  <c r="R1362" i="2" a="1"/>
  <c r="R1362" i="2" s="1"/>
  <c r="R1363" i="2" a="1"/>
  <c r="R1363" i="2" s="1"/>
  <c r="R1364" i="2" a="1"/>
  <c r="R1364" i="2" s="1"/>
  <c r="R1365" i="2" a="1"/>
  <c r="R1365" i="2"/>
  <c r="R1366" i="2" a="1"/>
  <c r="R1366" i="2" s="1"/>
  <c r="R1367" i="2" a="1"/>
  <c r="R1367" i="2"/>
  <c r="R1368" i="2" a="1"/>
  <c r="R1368" i="2" s="1"/>
  <c r="R1369" i="2" a="1"/>
  <c r="R1369" i="2" s="1"/>
  <c r="R1370" i="2" a="1"/>
  <c r="R1370" i="2" s="1"/>
  <c r="R1371" i="2" a="1"/>
  <c r="R1371" i="2" s="1"/>
  <c r="R1372" i="2" a="1"/>
  <c r="R1372" i="2"/>
  <c r="R1373" i="2" a="1"/>
  <c r="R1373" i="2" s="1"/>
  <c r="R1374" i="2" a="1"/>
  <c r="R1374" i="2"/>
  <c r="R1375" i="2" a="1"/>
  <c r="R1375" i="2" s="1"/>
  <c r="R1376" i="2" a="1"/>
  <c r="R1376" i="2"/>
  <c r="R1377" i="2" a="1"/>
  <c r="R1377" i="2" s="1"/>
  <c r="R1378" i="2" a="1"/>
  <c r="R1378" i="2"/>
  <c r="R1379" i="2" a="1"/>
  <c r="R1379" i="2" s="1"/>
  <c r="R1380" i="2" a="1"/>
  <c r="R1380" i="2"/>
  <c r="R1381" i="2" a="1"/>
  <c r="R1381" i="2" s="1"/>
  <c r="R1382" i="2" a="1"/>
  <c r="R1382" i="2"/>
  <c r="R1383" i="2" a="1"/>
  <c r="R1383" i="2" s="1"/>
  <c r="R1384" i="2" a="1"/>
  <c r="R1384" i="2"/>
  <c r="R1385" i="2" a="1"/>
  <c r="R1385" i="2" s="1"/>
  <c r="R1386" i="2" a="1"/>
  <c r="R1386" i="2"/>
  <c r="R1387" i="2" a="1"/>
  <c r="R1387" i="2" s="1"/>
  <c r="R1388" i="2" a="1"/>
  <c r="R1388" i="2"/>
  <c r="R1389" i="2" a="1"/>
  <c r="R1389" i="2" s="1"/>
  <c r="R1390" i="2" a="1"/>
  <c r="R1390" i="2"/>
  <c r="R1391" i="2" a="1"/>
  <c r="R1391" i="2" s="1"/>
  <c r="R1392" i="2" a="1"/>
  <c r="R1392" i="2"/>
  <c r="R1393" i="2" a="1"/>
  <c r="R1393" i="2" s="1"/>
  <c r="R1394" i="2" a="1"/>
  <c r="R1394" i="2"/>
  <c r="R1395" i="2" a="1"/>
  <c r="R1395" i="2" s="1"/>
  <c r="R1396" i="2" a="1"/>
  <c r="R1396" i="2"/>
  <c r="R1397" i="2" a="1"/>
  <c r="R1397" i="2" s="1"/>
  <c r="R1398" i="2" a="1"/>
  <c r="R1398" i="2"/>
  <c r="R1399" i="2" a="1"/>
  <c r="R1399" i="2" s="1"/>
  <c r="R1400" i="2" a="1"/>
  <c r="R1400" i="2"/>
  <c r="R1401" i="2" a="1"/>
  <c r="R1401" i="2" s="1"/>
  <c r="R1402" i="2" a="1"/>
  <c r="R1402" i="2"/>
  <c r="R1403" i="2" a="1"/>
  <c r="R1403" i="2" s="1"/>
  <c r="R1404" i="2" a="1"/>
  <c r="R1404" i="2"/>
  <c r="R1405" i="2" a="1"/>
  <c r="R1405" i="2" s="1"/>
  <c r="R1406" i="2" a="1"/>
  <c r="R1406" i="2"/>
  <c r="R1407" i="2" a="1"/>
  <c r="R1407" i="2" s="1"/>
  <c r="R1408" i="2" a="1"/>
  <c r="R1408" i="2"/>
  <c r="R1409" i="2" a="1"/>
  <c r="R1409" i="2" s="1"/>
  <c r="R1410" i="2" a="1"/>
  <c r="R1410" i="2"/>
  <c r="R1411" i="2" a="1"/>
  <c r="R1411" i="2" s="1"/>
  <c r="R1412" i="2" a="1"/>
  <c r="R1412" i="2"/>
  <c r="R1413" i="2" a="1"/>
  <c r="R1413" i="2" s="1"/>
  <c r="R1414" i="2" a="1"/>
  <c r="R1414" i="2"/>
  <c r="R1415" i="2" a="1"/>
  <c r="R1415" i="2" s="1"/>
  <c r="R1416" i="2" a="1"/>
  <c r="R1416" i="2"/>
  <c r="R1417" i="2" a="1"/>
  <c r="R1417" i="2" s="1"/>
  <c r="R1418" i="2" a="1"/>
  <c r="R1418" i="2"/>
  <c r="R1419" i="2" a="1"/>
  <c r="R1419" i="2" s="1"/>
  <c r="R1420" i="2" a="1"/>
  <c r="R1420" i="2"/>
  <c r="R1421" i="2" a="1"/>
  <c r="R1421" i="2" s="1"/>
  <c r="R1422" i="2" a="1"/>
  <c r="R1422" i="2"/>
  <c r="R1423" i="2" a="1"/>
  <c r="R1423" i="2" s="1"/>
  <c r="R1424" i="2" a="1"/>
  <c r="R1424" i="2"/>
  <c r="R1425" i="2" a="1"/>
  <c r="R1425" i="2" s="1"/>
  <c r="R1426" i="2" a="1"/>
  <c r="R1426" i="2"/>
  <c r="R1427" i="2" a="1"/>
  <c r="R1427" i="2" s="1"/>
  <c r="R1428" i="2" a="1"/>
  <c r="R1428" i="2"/>
  <c r="R1429" i="2" a="1"/>
  <c r="R1429" i="2" s="1"/>
  <c r="R1430" i="2" a="1"/>
  <c r="R1430" i="2"/>
  <c r="R1431" i="2" a="1"/>
  <c r="R1431" i="2" s="1"/>
  <c r="R1432" i="2" a="1"/>
  <c r="R1432" i="2"/>
  <c r="R1433" i="2" a="1"/>
  <c r="R1433" i="2" s="1"/>
  <c r="R1434" i="2" a="1"/>
  <c r="R1434" i="2"/>
  <c r="R1435" i="2" a="1"/>
  <c r="R1435" i="2" s="1"/>
  <c r="R1436" i="2" a="1"/>
  <c r="R1436" i="2"/>
  <c r="R1437" i="2" a="1"/>
  <c r="R1437" i="2" s="1"/>
  <c r="R1438" i="2" a="1"/>
  <c r="R1438" i="2"/>
  <c r="R1439" i="2" a="1"/>
  <c r="R1439" i="2" s="1"/>
  <c r="R1440" i="2" a="1"/>
  <c r="R1440" i="2"/>
  <c r="R1441" i="2" a="1"/>
  <c r="R1441" i="2" s="1"/>
  <c r="R1442" i="2" a="1"/>
  <c r="R1442" i="2"/>
  <c r="R1443" i="2" a="1"/>
  <c r="R1443" i="2" s="1"/>
  <c r="R1444" i="2" a="1"/>
  <c r="R1444" i="2"/>
  <c r="R1445" i="2" a="1"/>
  <c r="R1445" i="2" s="1"/>
  <c r="R1446" i="2" a="1"/>
  <c r="R1446" i="2"/>
  <c r="R1447" i="2" a="1"/>
  <c r="R1447" i="2" s="1"/>
  <c r="R1448" i="2" a="1"/>
  <c r="R1448" i="2"/>
  <c r="R1449" i="2" a="1"/>
  <c r="R1449" i="2" s="1"/>
  <c r="R1450" i="2" a="1"/>
  <c r="R1450" i="2"/>
  <c r="R1451" i="2" a="1"/>
  <c r="R1451" i="2" s="1"/>
  <c r="R1452" i="2" a="1"/>
  <c r="R1452" i="2"/>
  <c r="R1453" i="2" a="1"/>
  <c r="R1453" i="2" s="1"/>
  <c r="R1454" i="2" a="1"/>
  <c r="R1454" i="2"/>
  <c r="R1455" i="2" a="1"/>
  <c r="R1455" i="2" s="1"/>
  <c r="R1456" i="2" a="1"/>
  <c r="R1456" i="2"/>
  <c r="R1457" i="2" a="1"/>
  <c r="R1457" i="2" s="1"/>
  <c r="R1458" i="2" a="1"/>
  <c r="R1458" i="2"/>
  <c r="R1459" i="2" a="1"/>
  <c r="R1459" i="2" s="1"/>
  <c r="R1460" i="2" a="1"/>
  <c r="R1460" i="2"/>
  <c r="R1461" i="2" a="1"/>
  <c r="R1461" i="2" s="1"/>
  <c r="R1462" i="2" a="1"/>
  <c r="R1462" i="2"/>
  <c r="R1463" i="2" a="1"/>
  <c r="R1463" i="2" s="1"/>
  <c r="R1464" i="2" a="1"/>
  <c r="R1464" i="2"/>
  <c r="R1465" i="2" a="1"/>
  <c r="R1465" i="2" s="1"/>
  <c r="R1466" i="2" a="1"/>
  <c r="R1466" i="2"/>
  <c r="R1467" i="2" a="1"/>
  <c r="R1467" i="2" s="1"/>
  <c r="R1468" i="2" a="1"/>
  <c r="R1468" i="2"/>
  <c r="R1469" i="2" a="1"/>
  <c r="R1469" i="2" s="1"/>
  <c r="R1470" i="2" a="1"/>
  <c r="R1470" i="2"/>
  <c r="R1471" i="2" a="1"/>
  <c r="R1471" i="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E4" i="3"/>
  <c r="B10" i="3"/>
  <c r="S2" i="2" a="1"/>
  <c r="S2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/>
  <c r="S44" i="2" a="1"/>
  <c r="S44" i="2" s="1"/>
  <c r="S45" i="2" a="1"/>
  <c r="S45" i="2"/>
  <c r="S46" i="2" a="1"/>
  <c r="S46" i="2" s="1"/>
  <c r="S47" i="2" a="1"/>
  <c r="S47" i="2" s="1"/>
  <c r="S48" i="2" a="1"/>
  <c r="S48" i="2" s="1"/>
  <c r="S49" i="2" a="1"/>
  <c r="S49" i="2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 s="1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 s="1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 s="1"/>
  <c r="S177" i="2" a="1"/>
  <c r="S177" i="2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/>
  <c r="S184" i="2" a="1"/>
  <c r="S184" i="2" s="1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S209" i="2" a="1"/>
  <c r="S209" i="2" s="1"/>
  <c r="S210" i="2" a="1"/>
  <c r="S210" i="2" s="1"/>
  <c r="S211" i="2" a="1"/>
  <c r="S211" i="2" s="1"/>
  <c r="S212" i="2" a="1"/>
  <c r="S212" i="2" s="1"/>
  <c r="S213" i="2" a="1"/>
  <c r="S213" i="2" s="1"/>
  <c r="S214" i="2" a="1"/>
  <c r="S214" i="2" s="1"/>
  <c r="S215" i="2" a="1"/>
  <c r="S215" i="2" s="1"/>
  <c r="S216" i="2" a="1"/>
  <c r="S216" i="2" s="1"/>
  <c r="S217" i="2" a="1"/>
  <c r="S217" i="2"/>
  <c r="S218" i="2" a="1"/>
  <c r="S218" i="2" s="1"/>
  <c r="S219" i="2" a="1"/>
  <c r="S219" i="2" s="1"/>
  <c r="S220" i="2" a="1"/>
  <c r="S220" i="2" s="1"/>
  <c r="S221" i="2" a="1"/>
  <c r="S221" i="2" s="1"/>
  <c r="S222" i="2" a="1"/>
  <c r="S222" i="2" s="1"/>
  <c r="S223" i="2" a="1"/>
  <c r="S223" i="2"/>
  <c r="S224" i="2" a="1"/>
  <c r="S224" i="2" s="1"/>
  <c r="S225" i="2" a="1"/>
  <c r="S225" i="2" s="1"/>
  <c r="S226" i="2" a="1"/>
  <c r="S226" i="2" s="1"/>
  <c r="S227" i="2" a="1"/>
  <c r="S227" i="2" s="1"/>
  <c r="S228" i="2" a="1"/>
  <c r="S228" i="2" s="1"/>
  <c r="S229" i="2" a="1"/>
  <c r="S229" i="2" s="1"/>
  <c r="S230" i="2" a="1"/>
  <c r="S230" i="2" s="1"/>
  <c r="S231" i="2" a="1"/>
  <c r="S231" i="2" s="1"/>
  <c r="S232" i="2" a="1"/>
  <c r="S232" i="2" s="1"/>
  <c r="S233" i="2" a="1"/>
  <c r="S233" i="2" s="1"/>
  <c r="S234" i="2" a="1"/>
  <c r="S234" i="2" s="1"/>
  <c r="S235" i="2" a="1"/>
  <c r="S235" i="2"/>
  <c r="S236" i="2" a="1"/>
  <c r="S236" i="2" s="1"/>
  <c r="S237" i="2" a="1"/>
  <c r="S237" i="2" s="1"/>
  <c r="S238" i="2" a="1"/>
  <c r="S238" i="2" s="1"/>
  <c r="S239" i="2" a="1"/>
  <c r="S239" i="2" s="1"/>
  <c r="S240" i="2" a="1"/>
  <c r="S240" i="2" s="1"/>
  <c r="S241" i="2" a="1"/>
  <c r="S241" i="2"/>
  <c r="S242" i="2" a="1"/>
  <c r="S242" i="2" s="1"/>
  <c r="S243" i="2" a="1"/>
  <c r="S243" i="2" s="1"/>
  <c r="S244" i="2" a="1"/>
  <c r="S244" i="2" s="1"/>
  <c r="S245" i="2" a="1"/>
  <c r="S245" i="2" s="1"/>
  <c r="S246" i="2" a="1"/>
  <c r="S246" i="2" s="1"/>
  <c r="S247" i="2" a="1"/>
  <c r="S247" i="2" s="1"/>
  <c r="S248" i="2" a="1"/>
  <c r="S248" i="2" s="1"/>
  <c r="S249" i="2" a="1"/>
  <c r="S249" i="2" s="1"/>
  <c r="S250" i="2" a="1"/>
  <c r="S250" i="2" s="1"/>
  <c r="S251" i="2" a="1"/>
  <c r="S251" i="2" s="1"/>
  <c r="S252" i="2" a="1"/>
  <c r="S252" i="2" s="1"/>
  <c r="S253" i="2" a="1"/>
  <c r="S253" i="2" s="1"/>
  <c r="S254" i="2" a="1"/>
  <c r="S254" i="2" s="1"/>
  <c r="S255" i="2" a="1"/>
  <c r="S255" i="2"/>
  <c r="S256" i="2" a="1"/>
  <c r="S256" i="2" s="1"/>
  <c r="S257" i="2" a="1"/>
  <c r="S257" i="2" s="1"/>
  <c r="S258" i="2" a="1"/>
  <c r="S258" i="2" s="1"/>
  <c r="S259" i="2" a="1"/>
  <c r="S259" i="2" s="1"/>
  <c r="S260" i="2" a="1"/>
  <c r="S260" i="2" s="1"/>
  <c r="S261" i="2" a="1"/>
  <c r="S261" i="2" s="1"/>
  <c r="S262" i="2" a="1"/>
  <c r="S262" i="2" s="1"/>
  <c r="S263" i="2" a="1"/>
  <c r="S263" i="2" s="1"/>
  <c r="S264" i="2" a="1"/>
  <c r="S264" i="2" s="1"/>
  <c r="S265" i="2" a="1"/>
  <c r="S265" i="2" s="1"/>
  <c r="S266" i="2" a="1"/>
  <c r="S266" i="2" s="1"/>
  <c r="S267" i="2" a="1"/>
  <c r="S267" i="2" s="1"/>
  <c r="S268" i="2" a="1"/>
  <c r="S268" i="2" s="1"/>
  <c r="S269" i="2" a="1"/>
  <c r="S269" i="2" s="1"/>
  <c r="S270" i="2" a="1"/>
  <c r="S270" i="2" s="1"/>
  <c r="S271" i="2" a="1"/>
  <c r="S271" i="2" s="1"/>
  <c r="S272" i="2" a="1"/>
  <c r="S272" i="2" s="1"/>
  <c r="S273" i="2" a="1"/>
  <c r="S273" i="2" s="1"/>
  <c r="S274" i="2" a="1"/>
  <c r="S274" i="2" s="1"/>
  <c r="S275" i="2" a="1"/>
  <c r="S275" i="2" s="1"/>
  <c r="S276" i="2" a="1"/>
  <c r="S276" i="2" s="1"/>
  <c r="S277" i="2" a="1"/>
  <c r="S277" i="2" s="1"/>
  <c r="S278" i="2" a="1"/>
  <c r="S278" i="2" s="1"/>
  <c r="S279" i="2" a="1"/>
  <c r="S279" i="2" s="1"/>
  <c r="S280" i="2" a="1"/>
  <c r="S280" i="2" s="1"/>
  <c r="S281" i="2" a="1"/>
  <c r="S281" i="2" s="1"/>
  <c r="S282" i="2" a="1"/>
  <c r="S282" i="2" s="1"/>
  <c r="S283" i="2" a="1"/>
  <c r="S283" i="2" s="1"/>
  <c r="S284" i="2" a="1"/>
  <c r="S284" i="2" s="1"/>
  <c r="S285" i="2" a="1"/>
  <c r="S285" i="2" s="1"/>
  <c r="S286" i="2" a="1"/>
  <c r="S286" i="2" s="1"/>
  <c r="S287" i="2" a="1"/>
  <c r="S287" i="2" s="1"/>
  <c r="S288" i="2" a="1"/>
  <c r="S288" i="2" s="1"/>
  <c r="S289" i="2" a="1"/>
  <c r="S289" i="2" s="1"/>
  <c r="S290" i="2" a="1"/>
  <c r="S290" i="2" s="1"/>
  <c r="S291" i="2" a="1"/>
  <c r="S291" i="2" s="1"/>
  <c r="S292" i="2" a="1"/>
  <c r="S292" i="2" s="1"/>
  <c r="S293" i="2" a="1"/>
  <c r="S293" i="2" s="1"/>
  <c r="S294" i="2" a="1"/>
  <c r="S294" i="2" s="1"/>
  <c r="S295" i="2" a="1"/>
  <c r="S295" i="2" s="1"/>
  <c r="S296" i="2" a="1"/>
  <c r="S296" i="2" s="1"/>
  <c r="S297" i="2" a="1"/>
  <c r="S297" i="2" s="1"/>
  <c r="S298" i="2" a="1"/>
  <c r="S298" i="2" s="1"/>
  <c r="S299" i="2" a="1"/>
  <c r="S299" i="2" s="1"/>
  <c r="S300" i="2" a="1"/>
  <c r="S300" i="2" s="1"/>
  <c r="S301" i="2" a="1"/>
  <c r="S301" i="2" s="1"/>
  <c r="S302" i="2" a="1"/>
  <c r="S302" i="2" s="1"/>
  <c r="S303" i="2" a="1"/>
  <c r="S303" i="2" s="1"/>
  <c r="S304" i="2" a="1"/>
  <c r="S304" i="2" s="1"/>
  <c r="S305" i="2" a="1"/>
  <c r="S305" i="2" s="1"/>
  <c r="S306" i="2" a="1"/>
  <c r="S306" i="2" s="1"/>
  <c r="S307" i="2" a="1"/>
  <c r="S307" i="2"/>
  <c r="S308" i="2" a="1"/>
  <c r="S308" i="2" s="1"/>
  <c r="S309" i="2" a="1"/>
  <c r="S309" i="2" s="1"/>
  <c r="S310" i="2" a="1"/>
  <c r="S310" i="2" s="1"/>
  <c r="S311" i="2" a="1"/>
  <c r="S311" i="2" s="1"/>
  <c r="S312" i="2" a="1"/>
  <c r="S312" i="2" s="1"/>
  <c r="S313" i="2" a="1"/>
  <c r="S313" i="2"/>
  <c r="S314" i="2" a="1"/>
  <c r="S314" i="2" s="1"/>
  <c r="S315" i="2" a="1"/>
  <c r="S315" i="2" s="1"/>
  <c r="S316" i="2" a="1"/>
  <c r="S316" i="2" s="1"/>
  <c r="S317" i="2" a="1"/>
  <c r="S317" i="2"/>
  <c r="S318" i="2" a="1"/>
  <c r="S318" i="2" s="1"/>
  <c r="S319" i="2" a="1"/>
  <c r="S319" i="2" s="1"/>
  <c r="S320" i="2" a="1"/>
  <c r="S320" i="2" s="1"/>
  <c r="S321" i="2" a="1"/>
  <c r="S321" i="2" s="1"/>
  <c r="S322" i="2" a="1"/>
  <c r="S322" i="2" s="1"/>
  <c r="S323" i="2" a="1"/>
  <c r="S323" i="2" s="1"/>
  <c r="S324" i="2" a="1"/>
  <c r="S324" i="2" s="1"/>
  <c r="S325" i="2" a="1"/>
  <c r="S325" i="2" s="1"/>
  <c r="S326" i="2" a="1"/>
  <c r="S326" i="2" s="1"/>
  <c r="S327" i="2" a="1"/>
  <c r="S327" i="2" s="1"/>
  <c r="S328" i="2" a="1"/>
  <c r="S328" i="2" s="1"/>
  <c r="S329" i="2" a="1"/>
  <c r="S329" i="2" s="1"/>
  <c r="S330" i="2" a="1"/>
  <c r="S330" i="2" s="1"/>
  <c r="S331" i="2" a="1"/>
  <c r="S331" i="2"/>
  <c r="S332" i="2" a="1"/>
  <c r="S332" i="2" s="1"/>
  <c r="S333" i="2" a="1"/>
  <c r="S333" i="2" s="1"/>
  <c r="S334" i="2" a="1"/>
  <c r="S334" i="2" s="1"/>
  <c r="S335" i="2" a="1"/>
  <c r="S335" i="2" s="1"/>
  <c r="S336" i="2" a="1"/>
  <c r="S336" i="2" s="1"/>
  <c r="S337" i="2" a="1"/>
  <c r="S337" i="2" s="1"/>
  <c r="S338" i="2" a="1"/>
  <c r="S338" i="2" s="1"/>
  <c r="S339" i="2" a="1"/>
  <c r="S339" i="2" s="1"/>
  <c r="S340" i="2" a="1"/>
  <c r="S340" i="2" s="1"/>
  <c r="S341" i="2" a="1"/>
  <c r="S341" i="2"/>
  <c r="S342" i="2" a="1"/>
  <c r="S342" i="2" s="1"/>
  <c r="S343" i="2" a="1"/>
  <c r="S343" i="2" s="1"/>
  <c r="S344" i="2" a="1"/>
  <c r="S344" i="2" s="1"/>
  <c r="S345" i="2" a="1"/>
  <c r="S345" i="2" s="1"/>
  <c r="S346" i="2" a="1"/>
  <c r="S346" i="2" s="1"/>
  <c r="S347" i="2" a="1"/>
  <c r="S347" i="2" s="1"/>
  <c r="S348" i="2" a="1"/>
  <c r="S348" i="2" s="1"/>
  <c r="S349" i="2" a="1"/>
  <c r="S349" i="2" s="1"/>
  <c r="S350" i="2" a="1"/>
  <c r="S350" i="2" s="1"/>
  <c r="S351" i="2" a="1"/>
  <c r="S351" i="2" s="1"/>
  <c r="S352" i="2" a="1"/>
  <c r="S352" i="2" s="1"/>
  <c r="S353" i="2" a="1"/>
  <c r="S353" i="2" s="1"/>
  <c r="S354" i="2" a="1"/>
  <c r="S354" i="2" s="1"/>
  <c r="S355" i="2" a="1"/>
  <c r="S355" i="2"/>
  <c r="S356" i="2" a="1"/>
  <c r="S356" i="2" s="1"/>
  <c r="S357" i="2" a="1"/>
  <c r="S357" i="2" s="1"/>
  <c r="S358" i="2" a="1"/>
  <c r="S358" i="2" s="1"/>
  <c r="S359" i="2" a="1"/>
  <c r="S359" i="2" s="1"/>
  <c r="S360" i="2" a="1"/>
  <c r="S360" i="2" s="1"/>
  <c r="S361" i="2" a="1"/>
  <c r="S361" i="2" s="1"/>
  <c r="S362" i="2" a="1"/>
  <c r="S362" i="2" s="1"/>
  <c r="S363" i="2" a="1"/>
  <c r="S363" i="2" s="1"/>
  <c r="S364" i="2" a="1"/>
  <c r="S364" i="2" s="1"/>
  <c r="S365" i="2" a="1"/>
  <c r="S365" i="2" s="1"/>
  <c r="S366" i="2" a="1"/>
  <c r="S366" i="2" s="1"/>
  <c r="S367" i="2" a="1"/>
  <c r="S367" i="2" s="1"/>
  <c r="S368" i="2" a="1"/>
  <c r="S368" i="2" s="1"/>
  <c r="S369" i="2" a="1"/>
  <c r="S369" i="2" s="1"/>
  <c r="S370" i="2" a="1"/>
  <c r="S370" i="2" s="1"/>
  <c r="S371" i="2" a="1"/>
  <c r="S371" i="2"/>
  <c r="S372" i="2" a="1"/>
  <c r="S372" i="2" s="1"/>
  <c r="S373" i="2" a="1"/>
  <c r="S373" i="2" s="1"/>
  <c r="S374" i="2" a="1"/>
  <c r="S374" i="2" s="1"/>
  <c r="S375" i="2" a="1"/>
  <c r="S375" i="2" s="1"/>
  <c r="S376" i="2" a="1"/>
  <c r="S376" i="2" s="1"/>
  <c r="S377" i="2" a="1"/>
  <c r="S377" i="2"/>
  <c r="S378" i="2" a="1"/>
  <c r="S378" i="2" s="1"/>
  <c r="S379" i="2" a="1"/>
  <c r="S379" i="2" s="1"/>
  <c r="S380" i="2" a="1"/>
  <c r="S380" i="2" s="1"/>
  <c r="S381" i="2" a="1"/>
  <c r="S381" i="2" s="1"/>
  <c r="S382" i="2" a="1"/>
  <c r="S382" i="2" s="1"/>
  <c r="S383" i="2" a="1"/>
  <c r="S383" i="2" s="1"/>
  <c r="S384" i="2" a="1"/>
  <c r="S384" i="2" s="1"/>
  <c r="S385" i="2" a="1"/>
  <c r="S385" i="2" s="1"/>
  <c r="S386" i="2" a="1"/>
  <c r="S386" i="2" s="1"/>
  <c r="S387" i="2" a="1"/>
  <c r="S387" i="2" s="1"/>
  <c r="S388" i="2" a="1"/>
  <c r="S388" i="2" s="1"/>
  <c r="S389" i="2" a="1"/>
  <c r="S389" i="2" s="1"/>
  <c r="S390" i="2" a="1"/>
  <c r="S390" i="2" s="1"/>
  <c r="S391" i="2" a="1"/>
  <c r="S391" i="2" s="1"/>
  <c r="S392" i="2" a="1"/>
  <c r="S392" i="2" s="1"/>
  <c r="S393" i="2" a="1"/>
  <c r="S393" i="2" s="1"/>
  <c r="S394" i="2" a="1"/>
  <c r="S394" i="2" s="1"/>
  <c r="S395" i="2" a="1"/>
  <c r="S395" i="2" s="1"/>
  <c r="S396" i="2" a="1"/>
  <c r="S396" i="2" s="1"/>
  <c r="S397" i="2" a="1"/>
  <c r="S397" i="2" s="1"/>
  <c r="S398" i="2" a="1"/>
  <c r="S398" i="2" s="1"/>
  <c r="S399" i="2" a="1"/>
  <c r="S399" i="2" s="1"/>
  <c r="S400" i="2" a="1"/>
  <c r="S400" i="2" s="1"/>
  <c r="S401" i="2" a="1"/>
  <c r="S401" i="2" s="1"/>
  <c r="S402" i="2" a="1"/>
  <c r="S402" i="2" s="1"/>
  <c r="S403" i="2" a="1"/>
  <c r="S403" i="2" s="1"/>
  <c r="S404" i="2" a="1"/>
  <c r="S404" i="2" s="1"/>
  <c r="S405" i="2" a="1"/>
  <c r="S405" i="2" s="1"/>
  <c r="S406" i="2" a="1"/>
  <c r="S406" i="2" s="1"/>
  <c r="S407" i="2" a="1"/>
  <c r="S407" i="2" s="1"/>
  <c r="S408" i="2" a="1"/>
  <c r="S408" i="2" s="1"/>
  <c r="S409" i="2" a="1"/>
  <c r="S409" i="2" s="1"/>
  <c r="S410" i="2" a="1"/>
  <c r="S410" i="2" s="1"/>
  <c r="S411" i="2" a="1"/>
  <c r="S411" i="2" s="1"/>
  <c r="S412" i="2" a="1"/>
  <c r="S412" i="2" s="1"/>
  <c r="S413" i="2" a="1"/>
  <c r="S413" i="2" s="1"/>
  <c r="S414" i="2" a="1"/>
  <c r="S414" i="2" s="1"/>
  <c r="S415" i="2" a="1"/>
  <c r="S415" i="2" s="1"/>
  <c r="S416" i="2" a="1"/>
  <c r="S416" i="2" s="1"/>
  <c r="S417" i="2" a="1"/>
  <c r="S417" i="2" s="1"/>
  <c r="S418" i="2" a="1"/>
  <c r="S418" i="2" s="1"/>
  <c r="S419" i="2" a="1"/>
  <c r="S419" i="2" s="1"/>
  <c r="S420" i="2" a="1"/>
  <c r="S420" i="2" s="1"/>
  <c r="S421" i="2" a="1"/>
  <c r="S421" i="2"/>
  <c r="S422" i="2" a="1"/>
  <c r="S422" i="2" s="1"/>
  <c r="S423" i="2" a="1"/>
  <c r="S423" i="2" s="1"/>
  <c r="S424" i="2" a="1"/>
  <c r="S424" i="2" s="1"/>
  <c r="S425" i="2" a="1"/>
  <c r="S425" i="2" s="1"/>
  <c r="S426" i="2" a="1"/>
  <c r="S426" i="2" s="1"/>
  <c r="S427" i="2" a="1"/>
  <c r="S427" i="2" s="1"/>
  <c r="S428" i="2" a="1"/>
  <c r="S428" i="2" s="1"/>
  <c r="S429" i="2" a="1"/>
  <c r="S429" i="2" s="1"/>
  <c r="S430" i="2" a="1"/>
  <c r="S430" i="2" s="1"/>
  <c r="S431" i="2" a="1"/>
  <c r="S431" i="2" s="1"/>
  <c r="S432" i="2" a="1"/>
  <c r="S432" i="2" s="1"/>
  <c r="S433" i="2" a="1"/>
  <c r="S433" i="2" s="1"/>
  <c r="S434" i="2" a="1"/>
  <c r="S434" i="2" s="1"/>
  <c r="S435" i="2" a="1"/>
  <c r="S435" i="2" s="1"/>
  <c r="S436" i="2" a="1"/>
  <c r="S436" i="2" s="1"/>
  <c r="S437" i="2" a="1"/>
  <c r="S437" i="2" s="1"/>
  <c r="S438" i="2" a="1"/>
  <c r="S438" i="2" s="1"/>
  <c r="S439" i="2" a="1"/>
  <c r="S439" i="2"/>
  <c r="S440" i="2" a="1"/>
  <c r="S440" i="2" s="1"/>
  <c r="S441" i="2" a="1"/>
  <c r="S441" i="2" s="1"/>
  <c r="S442" i="2" a="1"/>
  <c r="S442" i="2" s="1"/>
  <c r="S443" i="2" a="1"/>
  <c r="S443" i="2" s="1"/>
  <c r="S444" i="2" a="1"/>
  <c r="S444" i="2" s="1"/>
  <c r="S445" i="2" a="1"/>
  <c r="S445" i="2" s="1"/>
  <c r="S446" i="2" a="1"/>
  <c r="S446" i="2" s="1"/>
  <c r="S447" i="2" a="1"/>
  <c r="S447" i="2" s="1"/>
  <c r="S448" i="2" a="1"/>
  <c r="S448" i="2" s="1"/>
  <c r="S449" i="2" a="1"/>
  <c r="S449" i="2" s="1"/>
  <c r="S450" i="2" a="1"/>
  <c r="S450" i="2" s="1"/>
  <c r="S451" i="2" a="1"/>
  <c r="S451" i="2" s="1"/>
  <c r="S452" i="2" a="1"/>
  <c r="S452" i="2" s="1"/>
  <c r="S453" i="2" a="1"/>
  <c r="S453" i="2" s="1"/>
  <c r="S454" i="2" a="1"/>
  <c r="S454" i="2" s="1"/>
  <c r="S455" i="2" a="1"/>
  <c r="S455" i="2" s="1"/>
  <c r="S456" i="2" a="1"/>
  <c r="S456" i="2" s="1"/>
  <c r="S457" i="2" a="1"/>
  <c r="S457" i="2" s="1"/>
  <c r="S458" i="2" a="1"/>
  <c r="S458" i="2" s="1"/>
  <c r="S459" i="2" a="1"/>
  <c r="S459" i="2" s="1"/>
  <c r="S460" i="2" a="1"/>
  <c r="S460" i="2" s="1"/>
  <c r="S461" i="2" a="1"/>
  <c r="S461" i="2" s="1"/>
  <c r="S462" i="2" a="1"/>
  <c r="S462" i="2" s="1"/>
  <c r="S463" i="2" a="1"/>
  <c r="S463" i="2" s="1"/>
  <c r="S464" i="2" a="1"/>
  <c r="S464" i="2" s="1"/>
  <c r="S465" i="2" a="1"/>
  <c r="S465" i="2"/>
  <c r="S466" i="2" a="1"/>
  <c r="S466" i="2" s="1"/>
  <c r="S467" i="2" a="1"/>
  <c r="S467" i="2" s="1"/>
  <c r="S468" i="2" a="1"/>
  <c r="S468" i="2" s="1"/>
  <c r="S469" i="2" a="1"/>
  <c r="S469" i="2" s="1"/>
  <c r="S470" i="2" a="1"/>
  <c r="S470" i="2" s="1"/>
  <c r="S471" i="2" a="1"/>
  <c r="S471" i="2" s="1"/>
  <c r="S472" i="2" a="1"/>
  <c r="S472" i="2" s="1"/>
  <c r="S473" i="2" a="1"/>
  <c r="S473" i="2" s="1"/>
  <c r="S474" i="2" a="1"/>
  <c r="S474" i="2" s="1"/>
  <c r="S475" i="2" a="1"/>
  <c r="S475" i="2" s="1"/>
  <c r="S476" i="2" a="1"/>
  <c r="S476" i="2" s="1"/>
  <c r="S477" i="2" a="1"/>
  <c r="S477" i="2" s="1"/>
  <c r="S478" i="2" a="1"/>
  <c r="S478" i="2" s="1"/>
  <c r="S479" i="2" a="1"/>
  <c r="S479" i="2" s="1"/>
  <c r="S480" i="2" a="1"/>
  <c r="S480" i="2" s="1"/>
  <c r="S481" i="2" a="1"/>
  <c r="S481" i="2" s="1"/>
  <c r="S482" i="2" a="1"/>
  <c r="S482" i="2" s="1"/>
  <c r="S483" i="2" a="1"/>
  <c r="S483" i="2" s="1"/>
  <c r="S484" i="2" a="1"/>
  <c r="S484" i="2" s="1"/>
  <c r="S485" i="2" a="1"/>
  <c r="S485" i="2" s="1"/>
  <c r="S486" i="2" a="1"/>
  <c r="S486" i="2" s="1"/>
  <c r="S487" i="2" a="1"/>
  <c r="S487" i="2"/>
  <c r="S488" i="2" a="1"/>
  <c r="S488" i="2" s="1"/>
  <c r="S489" i="2" a="1"/>
  <c r="S489" i="2" s="1"/>
  <c r="S490" i="2" a="1"/>
  <c r="S490" i="2" s="1"/>
  <c r="S491" i="2" a="1"/>
  <c r="S491" i="2" s="1"/>
  <c r="S492" i="2" a="1"/>
  <c r="S492" i="2" s="1"/>
  <c r="S493" i="2" a="1"/>
  <c r="S493" i="2" s="1"/>
  <c r="S494" i="2" a="1"/>
  <c r="S494" i="2" s="1"/>
  <c r="S495" i="2" a="1"/>
  <c r="S495" i="2" s="1"/>
  <c r="S496" i="2" a="1"/>
  <c r="S496" i="2" s="1"/>
  <c r="S497" i="2" a="1"/>
  <c r="S497" i="2" s="1"/>
  <c r="S498" i="2" a="1"/>
  <c r="S498" i="2" s="1"/>
  <c r="S499" i="2" a="1"/>
  <c r="S499" i="2" s="1"/>
  <c r="S500" i="2" a="1"/>
  <c r="S500" i="2" s="1"/>
  <c r="S501" i="2" a="1"/>
  <c r="S501" i="2" s="1"/>
  <c r="S502" i="2" a="1"/>
  <c r="S502" i="2" s="1"/>
  <c r="S503" i="2" a="1"/>
  <c r="S503" i="2" s="1"/>
  <c r="S504" i="2" a="1"/>
  <c r="S504" i="2" s="1"/>
  <c r="S505" i="2" a="1"/>
  <c r="S505" i="2"/>
  <c r="S506" i="2" a="1"/>
  <c r="S506" i="2" s="1"/>
  <c r="S507" i="2" a="1"/>
  <c r="S507" i="2" s="1"/>
  <c r="S508" i="2" a="1"/>
  <c r="S508" i="2" s="1"/>
  <c r="S509" i="2" a="1"/>
  <c r="S509" i="2" s="1"/>
  <c r="S510" i="2" a="1"/>
  <c r="S510" i="2" s="1"/>
  <c r="S511" i="2" a="1"/>
  <c r="S511" i="2" s="1"/>
  <c r="S512" i="2" a="1"/>
  <c r="S512" i="2" s="1"/>
  <c r="S513" i="2" a="1"/>
  <c r="S513" i="2" s="1"/>
  <c r="S514" i="2" a="1"/>
  <c r="S514" i="2" s="1"/>
  <c r="S515" i="2" a="1"/>
  <c r="S515" i="2" s="1"/>
  <c r="S516" i="2" a="1"/>
  <c r="S516" i="2" s="1"/>
  <c r="S517" i="2" a="1"/>
  <c r="S517" i="2" s="1"/>
  <c r="S518" i="2" a="1"/>
  <c r="S518" i="2" s="1"/>
  <c r="S519" i="2" a="1"/>
  <c r="S519" i="2" s="1"/>
  <c r="S520" i="2" a="1"/>
  <c r="S520" i="2" s="1"/>
  <c r="S521" i="2" a="1"/>
  <c r="S521" i="2" s="1"/>
  <c r="S522" i="2" a="1"/>
  <c r="S522" i="2" s="1"/>
  <c r="S523" i="2" a="1"/>
  <c r="S523" i="2" s="1"/>
  <c r="S524" i="2" a="1"/>
  <c r="S524" i="2" s="1"/>
  <c r="S525" i="2" a="1"/>
  <c r="S525" i="2" s="1"/>
  <c r="S526" i="2" a="1"/>
  <c r="S526" i="2" s="1"/>
  <c r="S527" i="2" a="1"/>
  <c r="S527" i="2" s="1"/>
  <c r="S528" i="2" a="1"/>
  <c r="S528" i="2" s="1"/>
  <c r="S529" i="2" a="1"/>
  <c r="S529" i="2" s="1"/>
  <c r="S530" i="2" a="1"/>
  <c r="S530" i="2" s="1"/>
  <c r="S531" i="2" a="1"/>
  <c r="S531" i="2" s="1"/>
  <c r="S532" i="2" a="1"/>
  <c r="S532" i="2" s="1"/>
  <c r="S533" i="2" a="1"/>
  <c r="S533" i="2" s="1"/>
  <c r="S534" i="2" a="1"/>
  <c r="S534" i="2" s="1"/>
  <c r="S535" i="2" a="1"/>
  <c r="S535" i="2" s="1"/>
  <c r="S536" i="2" a="1"/>
  <c r="S536" i="2" s="1"/>
  <c r="S537" i="2" a="1"/>
  <c r="S537" i="2" s="1"/>
  <c r="S538" i="2" a="1"/>
  <c r="S538" i="2" s="1"/>
  <c r="S539" i="2" a="1"/>
  <c r="S539" i="2" s="1"/>
  <c r="S540" i="2" a="1"/>
  <c r="S540" i="2" s="1"/>
  <c r="S541" i="2" a="1"/>
  <c r="S541" i="2" s="1"/>
  <c r="S542" i="2" a="1"/>
  <c r="S542" i="2" s="1"/>
  <c r="S543" i="2" a="1"/>
  <c r="S543" i="2" s="1"/>
  <c r="S544" i="2" a="1"/>
  <c r="S544" i="2" s="1"/>
  <c r="S545" i="2" a="1"/>
  <c r="S545" i="2" s="1"/>
  <c r="S546" i="2" a="1"/>
  <c r="S546" i="2" s="1"/>
  <c r="S547" i="2" a="1"/>
  <c r="S547" i="2" s="1"/>
  <c r="S548" i="2" a="1"/>
  <c r="S548" i="2" s="1"/>
  <c r="S549" i="2" a="1"/>
  <c r="S549" i="2" s="1"/>
  <c r="S550" i="2" a="1"/>
  <c r="S550" i="2" s="1"/>
  <c r="S551" i="2" a="1"/>
  <c r="S551" i="2" s="1"/>
  <c r="S552" i="2" a="1"/>
  <c r="S552" i="2" s="1"/>
  <c r="S553" i="2" a="1"/>
  <c r="S553" i="2" s="1"/>
  <c r="S554" i="2" a="1"/>
  <c r="S554" i="2" s="1"/>
  <c r="S555" i="2" a="1"/>
  <c r="S555" i="2" s="1"/>
  <c r="S556" i="2" a="1"/>
  <c r="S556" i="2" s="1"/>
  <c r="S557" i="2" a="1"/>
  <c r="S557" i="2" s="1"/>
  <c r="S558" i="2" a="1"/>
  <c r="S558" i="2" s="1"/>
  <c r="S559" i="2" a="1"/>
  <c r="S559" i="2" s="1"/>
  <c r="S560" i="2" a="1"/>
  <c r="S560" i="2" s="1"/>
  <c r="S561" i="2" a="1"/>
  <c r="S561" i="2" s="1"/>
  <c r="S562" i="2" a="1"/>
  <c r="S562" i="2"/>
  <c r="S563" i="2" a="1"/>
  <c r="S563" i="2" s="1"/>
  <c r="S564" i="2" a="1"/>
  <c r="S564" i="2" s="1"/>
  <c r="S565" i="2" a="1"/>
  <c r="S565" i="2" s="1"/>
  <c r="S566" i="2" a="1"/>
  <c r="S566" i="2" s="1"/>
  <c r="S567" i="2" a="1"/>
  <c r="S567" i="2" s="1"/>
  <c r="S568" i="2" a="1"/>
  <c r="S568" i="2" s="1"/>
  <c r="S569" i="2" a="1"/>
  <c r="S569" i="2" s="1"/>
  <c r="S570" i="2" a="1"/>
  <c r="S570" i="2" s="1"/>
  <c r="S571" i="2" a="1"/>
  <c r="S571" i="2" s="1"/>
  <c r="S572" i="2" a="1"/>
  <c r="S572" i="2" s="1"/>
  <c r="S573" i="2" a="1"/>
  <c r="S573" i="2" s="1"/>
  <c r="S574" i="2" a="1"/>
  <c r="S574" i="2" s="1"/>
  <c r="S575" i="2" a="1"/>
  <c r="S575" i="2" s="1"/>
  <c r="S576" i="2" a="1"/>
  <c r="S576" i="2" s="1"/>
  <c r="S577" i="2" a="1"/>
  <c r="S577" i="2" s="1"/>
  <c r="S578" i="2" a="1"/>
  <c r="S578" i="2" s="1"/>
  <c r="S579" i="2" a="1"/>
  <c r="S579" i="2" s="1"/>
  <c r="S580" i="2" a="1"/>
  <c r="S580" i="2" s="1"/>
  <c r="S581" i="2" a="1"/>
  <c r="S581" i="2" s="1"/>
  <c r="S582" i="2" a="1"/>
  <c r="S582" i="2" s="1"/>
  <c r="S583" i="2" a="1"/>
  <c r="S583" i="2" s="1"/>
  <c r="S584" i="2" a="1"/>
  <c r="S584" i="2" s="1"/>
  <c r="S585" i="2" a="1"/>
  <c r="S585" i="2" s="1"/>
  <c r="S586" i="2" a="1"/>
  <c r="S586" i="2" s="1"/>
  <c r="S587" i="2" a="1"/>
  <c r="S587" i="2" s="1"/>
  <c r="S588" i="2" a="1"/>
  <c r="S588" i="2"/>
  <c r="S589" i="2" a="1"/>
  <c r="S589" i="2" s="1"/>
  <c r="S590" i="2" a="1"/>
  <c r="S590" i="2" s="1"/>
  <c r="S591" i="2" a="1"/>
  <c r="S591" i="2" s="1"/>
  <c r="S592" i="2" a="1"/>
  <c r="S592" i="2" s="1"/>
  <c r="S593" i="2" a="1"/>
  <c r="S593" i="2" s="1"/>
  <c r="S594" i="2" a="1"/>
  <c r="S594" i="2"/>
  <c r="S595" i="2" a="1"/>
  <c r="S595" i="2" s="1"/>
  <c r="S596" i="2" a="1"/>
  <c r="S596" i="2" s="1"/>
  <c r="S597" i="2" a="1"/>
  <c r="S597" i="2" s="1"/>
  <c r="S598" i="2" a="1"/>
  <c r="S598" i="2" s="1"/>
  <c r="S599" i="2" a="1"/>
  <c r="S599" i="2" s="1"/>
  <c r="S600" i="2" a="1"/>
  <c r="S600" i="2" s="1"/>
  <c r="S601" i="2" a="1"/>
  <c r="S601" i="2" s="1"/>
  <c r="S602" i="2" a="1"/>
  <c r="S602" i="2" s="1"/>
  <c r="S603" i="2" a="1"/>
  <c r="S603" i="2" s="1"/>
  <c r="S604" i="2" a="1"/>
  <c r="S604" i="2" s="1"/>
  <c r="S605" i="2" a="1"/>
  <c r="S605" i="2" s="1"/>
  <c r="S606" i="2" a="1"/>
  <c r="S606" i="2" s="1"/>
  <c r="S607" i="2" a="1"/>
  <c r="S607" i="2" s="1"/>
  <c r="S608" i="2" a="1"/>
  <c r="S608" i="2" s="1"/>
  <c r="S609" i="2" a="1"/>
  <c r="S609" i="2" s="1"/>
  <c r="S610" i="2" a="1"/>
  <c r="S610" i="2" s="1"/>
  <c r="S611" i="2" a="1"/>
  <c r="S611" i="2" s="1"/>
  <c r="S612" i="2" a="1"/>
  <c r="S612" i="2" s="1"/>
  <c r="S613" i="2" a="1"/>
  <c r="S613" i="2" s="1"/>
  <c r="S614" i="2" a="1"/>
  <c r="S614" i="2" s="1"/>
  <c r="S615" i="2" a="1"/>
  <c r="S615" i="2" s="1"/>
  <c r="S616" i="2" a="1"/>
  <c r="S616" i="2" s="1"/>
  <c r="S617" i="2" a="1"/>
  <c r="S617" i="2" s="1"/>
  <c r="S618" i="2" a="1"/>
  <c r="S618" i="2" s="1"/>
  <c r="S619" i="2" a="1"/>
  <c r="S619" i="2" s="1"/>
  <c r="S620" i="2" a="1"/>
  <c r="S620" i="2"/>
  <c r="S621" i="2" a="1"/>
  <c r="S621" i="2" s="1"/>
  <c r="S622" i="2" a="1"/>
  <c r="S622" i="2" s="1"/>
  <c r="S623" i="2" a="1"/>
  <c r="S623" i="2" s="1"/>
  <c r="S624" i="2" a="1"/>
  <c r="S624" i="2" s="1"/>
  <c r="S625" i="2" a="1"/>
  <c r="S625" i="2" s="1"/>
  <c r="S626" i="2" a="1"/>
  <c r="S626" i="2"/>
  <c r="S627" i="2" a="1"/>
  <c r="S627" i="2" s="1"/>
  <c r="S628" i="2" a="1"/>
  <c r="S628" i="2" s="1"/>
  <c r="S629" i="2" a="1"/>
  <c r="S629" i="2" s="1"/>
  <c r="S630" i="2" a="1"/>
  <c r="S630" i="2" s="1"/>
  <c r="S631" i="2" a="1"/>
  <c r="S631" i="2" s="1"/>
  <c r="S632" i="2" a="1"/>
  <c r="S632" i="2" s="1"/>
  <c r="S633" i="2" a="1"/>
  <c r="S633" i="2" s="1"/>
  <c r="S634" i="2" a="1"/>
  <c r="S634" i="2" s="1"/>
  <c r="S635" i="2" a="1"/>
  <c r="S635" i="2" s="1"/>
  <c r="S636" i="2" a="1"/>
  <c r="S636" i="2" s="1"/>
  <c r="S637" i="2" a="1"/>
  <c r="S637" i="2" s="1"/>
  <c r="S638" i="2" a="1"/>
  <c r="S638" i="2" s="1"/>
  <c r="S639" i="2" a="1"/>
  <c r="S639" i="2" s="1"/>
  <c r="S640" i="2" a="1"/>
  <c r="S640" i="2" s="1"/>
  <c r="S641" i="2" a="1"/>
  <c r="S641" i="2" s="1"/>
  <c r="S642" i="2" a="1"/>
  <c r="S642" i="2" s="1"/>
  <c r="S643" i="2" a="1"/>
  <c r="S643" i="2" s="1"/>
  <c r="S644" i="2" a="1"/>
  <c r="S644" i="2" s="1"/>
  <c r="S645" i="2" a="1"/>
  <c r="S645" i="2" s="1"/>
  <c r="S646" i="2" a="1"/>
  <c r="S646" i="2" s="1"/>
  <c r="S647" i="2" a="1"/>
  <c r="S647" i="2" s="1"/>
  <c r="S648" i="2" a="1"/>
  <c r="S648" i="2" s="1"/>
  <c r="S649" i="2" a="1"/>
  <c r="S649" i="2" s="1"/>
  <c r="S650" i="2" a="1"/>
  <c r="S650" i="2" s="1"/>
  <c r="S651" i="2" a="1"/>
  <c r="S651" i="2" s="1"/>
  <c r="S652" i="2" a="1"/>
  <c r="S652" i="2"/>
  <c r="S653" i="2" a="1"/>
  <c r="S653" i="2" s="1"/>
  <c r="S654" i="2" a="1"/>
  <c r="S654" i="2" s="1"/>
  <c r="S655" i="2" a="1"/>
  <c r="S655" i="2" s="1"/>
  <c r="S656" i="2" a="1"/>
  <c r="S656" i="2" s="1"/>
  <c r="S657" i="2" a="1"/>
  <c r="S657" i="2" s="1"/>
  <c r="S658" i="2" a="1"/>
  <c r="S658" i="2"/>
  <c r="S659" i="2" a="1"/>
  <c r="S659" i="2" s="1"/>
  <c r="S660" i="2" a="1"/>
  <c r="S660" i="2" s="1"/>
  <c r="S661" i="2" a="1"/>
  <c r="S661" i="2" s="1"/>
  <c r="S662" i="2" a="1"/>
  <c r="S662" i="2" s="1"/>
  <c r="S663" i="2" a="1"/>
  <c r="S663" i="2" s="1"/>
  <c r="S664" i="2" a="1"/>
  <c r="S664" i="2" s="1"/>
  <c r="S665" i="2" a="1"/>
  <c r="S665" i="2" s="1"/>
  <c r="S666" i="2" a="1"/>
  <c r="S666" i="2" s="1"/>
  <c r="S667" i="2" a="1"/>
  <c r="S667" i="2" s="1"/>
  <c r="S668" i="2" a="1"/>
  <c r="S668" i="2" s="1"/>
  <c r="S669" i="2" a="1"/>
  <c r="S669" i="2" s="1"/>
  <c r="S670" i="2" a="1"/>
  <c r="S670" i="2" s="1"/>
  <c r="S671" i="2" a="1"/>
  <c r="S671" i="2" s="1"/>
  <c r="S672" i="2" a="1"/>
  <c r="S672" i="2" s="1"/>
  <c r="S673" i="2" a="1"/>
  <c r="S673" i="2" s="1"/>
  <c r="S674" i="2" a="1"/>
  <c r="S674" i="2" s="1"/>
  <c r="S675" i="2" a="1"/>
  <c r="S675" i="2" s="1"/>
  <c r="S676" i="2" a="1"/>
  <c r="S676" i="2" s="1"/>
  <c r="S677" i="2" a="1"/>
  <c r="S677" i="2" s="1"/>
  <c r="S678" i="2" a="1"/>
  <c r="S678" i="2" s="1"/>
  <c r="S679" i="2" a="1"/>
  <c r="S679" i="2" s="1"/>
  <c r="S680" i="2" a="1"/>
  <c r="S680" i="2" s="1"/>
  <c r="S681" i="2" a="1"/>
  <c r="S681" i="2" s="1"/>
  <c r="S682" i="2" a="1"/>
  <c r="S682" i="2" s="1"/>
  <c r="S683" i="2" a="1"/>
  <c r="S683" i="2" s="1"/>
  <c r="S684" i="2" a="1"/>
  <c r="S684" i="2"/>
  <c r="S685" i="2" a="1"/>
  <c r="S685" i="2" s="1"/>
  <c r="S686" i="2" a="1"/>
  <c r="S686" i="2" s="1"/>
  <c r="S687" i="2" a="1"/>
  <c r="S687" i="2" s="1"/>
  <c r="S688" i="2" a="1"/>
  <c r="S688" i="2" s="1"/>
  <c r="S689" i="2" a="1"/>
  <c r="S689" i="2" s="1"/>
  <c r="S690" i="2" a="1"/>
  <c r="S690" i="2"/>
  <c r="S691" i="2" a="1"/>
  <c r="S691" i="2" s="1"/>
  <c r="S692" i="2" a="1"/>
  <c r="S692" i="2" s="1"/>
  <c r="S693" i="2" a="1"/>
  <c r="S693" i="2" s="1"/>
  <c r="S694" i="2" a="1"/>
  <c r="S694" i="2" s="1"/>
  <c r="S695" i="2" a="1"/>
  <c r="S695" i="2" s="1"/>
  <c r="S696" i="2" a="1"/>
  <c r="S696" i="2" s="1"/>
  <c r="S697" i="2" a="1"/>
  <c r="S697" i="2" s="1"/>
  <c r="S698" i="2" a="1"/>
  <c r="S698" i="2" s="1"/>
  <c r="S699" i="2" a="1"/>
  <c r="S699" i="2" s="1"/>
  <c r="S700" i="2" a="1"/>
  <c r="S700" i="2" s="1"/>
  <c r="S701" i="2" a="1"/>
  <c r="S701" i="2" s="1"/>
  <c r="S702" i="2" a="1"/>
  <c r="S702" i="2" s="1"/>
  <c r="S703" i="2" a="1"/>
  <c r="S703" i="2" s="1"/>
  <c r="S704" i="2" a="1"/>
  <c r="S704" i="2" s="1"/>
  <c r="S705" i="2" a="1"/>
  <c r="S705" i="2" s="1"/>
  <c r="S706" i="2" a="1"/>
  <c r="S706" i="2" s="1"/>
  <c r="S707" i="2" a="1"/>
  <c r="S707" i="2" s="1"/>
  <c r="S708" i="2" a="1"/>
  <c r="S708" i="2" s="1"/>
  <c r="S709" i="2" a="1"/>
  <c r="S709" i="2" s="1"/>
  <c r="S710" i="2" a="1"/>
  <c r="S710" i="2" s="1"/>
  <c r="S711" i="2" a="1"/>
  <c r="S711" i="2" s="1"/>
  <c r="S712" i="2" a="1"/>
  <c r="S712" i="2" s="1"/>
  <c r="S713" i="2" a="1"/>
  <c r="S713" i="2" s="1"/>
  <c r="S714" i="2" a="1"/>
  <c r="S714" i="2" s="1"/>
  <c r="S715" i="2" a="1"/>
  <c r="S715" i="2" s="1"/>
  <c r="S716" i="2" a="1"/>
  <c r="S716" i="2"/>
  <c r="S717" i="2" a="1"/>
  <c r="S717" i="2" s="1"/>
  <c r="S718" i="2" a="1"/>
  <c r="S718" i="2" s="1"/>
  <c r="S719" i="2" a="1"/>
  <c r="S719" i="2" s="1"/>
  <c r="S720" i="2" a="1"/>
  <c r="S720" i="2" s="1"/>
  <c r="S721" i="2" a="1"/>
  <c r="S721" i="2" s="1"/>
  <c r="S722" i="2" a="1"/>
  <c r="S722" i="2"/>
  <c r="S723" i="2" a="1"/>
  <c r="S723" i="2" s="1"/>
  <c r="S724" i="2" a="1"/>
  <c r="S724" i="2" s="1"/>
  <c r="S725" i="2" a="1"/>
  <c r="S725" i="2" s="1"/>
  <c r="S726" i="2" a="1"/>
  <c r="S726" i="2" s="1"/>
  <c r="S727" i="2" a="1"/>
  <c r="S727" i="2" s="1"/>
  <c r="S728" i="2" a="1"/>
  <c r="S728" i="2" s="1"/>
  <c r="S729" i="2" a="1"/>
  <c r="S729" i="2" s="1"/>
  <c r="S730" i="2" a="1"/>
  <c r="S730" i="2" s="1"/>
  <c r="S731" i="2" a="1"/>
  <c r="S731" i="2" s="1"/>
  <c r="S732" i="2" a="1"/>
  <c r="S732" i="2" s="1"/>
  <c r="S733" i="2" a="1"/>
  <c r="S733" i="2" s="1"/>
  <c r="S734" i="2" a="1"/>
  <c r="S734" i="2" s="1"/>
  <c r="S735" i="2" a="1"/>
  <c r="S735" i="2" s="1"/>
  <c r="S736" i="2" a="1"/>
  <c r="S736" i="2" s="1"/>
  <c r="S737" i="2" a="1"/>
  <c r="S737" i="2" s="1"/>
  <c r="S738" i="2" a="1"/>
  <c r="S738" i="2" s="1"/>
  <c r="S739" i="2" a="1"/>
  <c r="S739" i="2" s="1"/>
  <c r="S740" i="2" a="1"/>
  <c r="S740" i="2"/>
  <c r="S741" i="2" a="1"/>
  <c r="S741" i="2" s="1"/>
  <c r="S742" i="2" a="1"/>
  <c r="S742" i="2" s="1"/>
  <c r="S743" i="2" a="1"/>
  <c r="S743" i="2" s="1"/>
  <c r="S744" i="2" a="1"/>
  <c r="S744" i="2" s="1"/>
  <c r="S745" i="2" a="1"/>
  <c r="S745" i="2" s="1"/>
  <c r="S746" i="2" a="1"/>
  <c r="S746" i="2" s="1"/>
  <c r="S747" i="2" a="1"/>
  <c r="S747" i="2" s="1"/>
  <c r="S748" i="2" a="1"/>
  <c r="S748" i="2" s="1"/>
  <c r="S749" i="2" a="1"/>
  <c r="S749" i="2" s="1"/>
  <c r="S750" i="2" a="1"/>
  <c r="S750" i="2" s="1"/>
  <c r="S751" i="2" a="1"/>
  <c r="S751" i="2" s="1"/>
  <c r="S752" i="2" a="1"/>
  <c r="S752" i="2" s="1"/>
  <c r="S753" i="2" a="1"/>
  <c r="S753" i="2" s="1"/>
  <c r="S754" i="2" a="1"/>
  <c r="S754" i="2"/>
  <c r="S755" i="2" a="1"/>
  <c r="S755" i="2" s="1"/>
  <c r="S756" i="2" a="1"/>
  <c r="S756" i="2" s="1"/>
  <c r="S757" i="2" a="1"/>
  <c r="S757" i="2" s="1"/>
  <c r="S758" i="2" a="1"/>
  <c r="S758" i="2" s="1"/>
  <c r="S759" i="2" a="1"/>
  <c r="S759" i="2" s="1"/>
  <c r="S760" i="2" a="1"/>
  <c r="S760" i="2" s="1"/>
  <c r="S761" i="2" a="1"/>
  <c r="S761" i="2" s="1"/>
  <c r="S762" i="2" a="1"/>
  <c r="S762" i="2" s="1"/>
  <c r="S763" i="2" a="1"/>
  <c r="S763" i="2" s="1"/>
  <c r="S764" i="2" a="1"/>
  <c r="S764" i="2" s="1"/>
  <c r="S765" i="2" a="1"/>
  <c r="S765" i="2" s="1"/>
  <c r="S766" i="2" a="1"/>
  <c r="S766" i="2" s="1"/>
  <c r="S767" i="2" a="1"/>
  <c r="S767" i="2" s="1"/>
  <c r="S768" i="2" a="1"/>
  <c r="S768" i="2" s="1"/>
  <c r="S769" i="2" a="1"/>
  <c r="S769" i="2" s="1"/>
  <c r="S770" i="2" a="1"/>
  <c r="S770" i="2"/>
  <c r="S771" i="2" a="1"/>
  <c r="S771" i="2" s="1"/>
  <c r="S772" i="2" a="1"/>
  <c r="S772" i="2" s="1"/>
  <c r="S773" i="2" a="1"/>
  <c r="S773" i="2" s="1"/>
  <c r="S774" i="2" a="1"/>
  <c r="S774" i="2" s="1"/>
  <c r="S775" i="2" a="1"/>
  <c r="S775" i="2" s="1"/>
  <c r="S776" i="2" a="1"/>
  <c r="S776" i="2" s="1"/>
  <c r="S777" i="2" a="1"/>
  <c r="S777" i="2" s="1"/>
  <c r="S778" i="2" a="1"/>
  <c r="S778" i="2" s="1"/>
  <c r="S779" i="2" a="1"/>
  <c r="S779" i="2" s="1"/>
  <c r="S780" i="2" a="1"/>
  <c r="S780" i="2" s="1"/>
  <c r="S781" i="2" a="1"/>
  <c r="S781" i="2" s="1"/>
  <c r="S782" i="2" a="1"/>
  <c r="S782" i="2" s="1"/>
  <c r="S783" i="2" a="1"/>
  <c r="S783" i="2" s="1"/>
  <c r="S784" i="2" a="1"/>
  <c r="S784" i="2" s="1"/>
  <c r="S785" i="2" a="1"/>
  <c r="S785" i="2" s="1"/>
  <c r="S786" i="2" a="1"/>
  <c r="S786" i="2" s="1"/>
  <c r="S787" i="2" a="1"/>
  <c r="S787" i="2" s="1"/>
  <c r="S788" i="2" a="1"/>
  <c r="S788" i="2" s="1"/>
  <c r="S789" i="2" a="1"/>
  <c r="S789" i="2" s="1"/>
  <c r="S790" i="2" a="1"/>
  <c r="S790" i="2" s="1"/>
  <c r="S791" i="2" a="1"/>
  <c r="S791" i="2" s="1"/>
  <c r="S792" i="2" a="1"/>
  <c r="S792" i="2" s="1"/>
  <c r="S793" i="2" a="1"/>
  <c r="S793" i="2" s="1"/>
  <c r="S794" i="2" a="1"/>
  <c r="S794" i="2" s="1"/>
  <c r="S795" i="2" a="1"/>
  <c r="S795" i="2" s="1"/>
  <c r="S796" i="2" a="1"/>
  <c r="S796" i="2" s="1"/>
  <c r="S797" i="2" a="1"/>
  <c r="S797" i="2" s="1"/>
  <c r="S798" i="2" a="1"/>
  <c r="S798" i="2" s="1"/>
  <c r="S799" i="2" a="1"/>
  <c r="S799" i="2" s="1"/>
  <c r="S800" i="2" a="1"/>
  <c r="S800" i="2" s="1"/>
  <c r="S801" i="2" a="1"/>
  <c r="S801" i="2" s="1"/>
  <c r="S802" i="2" a="1"/>
  <c r="S802" i="2" s="1"/>
  <c r="S803" i="2" a="1"/>
  <c r="S803" i="2" s="1"/>
  <c r="S804" i="2" a="1"/>
  <c r="S804" i="2" s="1"/>
  <c r="S805" i="2" a="1"/>
  <c r="S805" i="2" s="1"/>
  <c r="S806" i="2" a="1"/>
  <c r="S806" i="2" s="1"/>
  <c r="S807" i="2" a="1"/>
  <c r="S807" i="2" s="1"/>
  <c r="S808" i="2" a="1"/>
  <c r="S808" i="2" s="1"/>
  <c r="S809" i="2" a="1"/>
  <c r="S809" i="2" s="1"/>
  <c r="S810" i="2" a="1"/>
  <c r="S810" i="2" s="1"/>
  <c r="S811" i="2" a="1"/>
  <c r="S811" i="2" s="1"/>
  <c r="S812" i="2" a="1"/>
  <c r="S812" i="2" s="1"/>
  <c r="S813" i="2" a="1"/>
  <c r="S813" i="2" s="1"/>
  <c r="S814" i="2" a="1"/>
  <c r="S814" i="2" s="1"/>
  <c r="S815" i="2" a="1"/>
  <c r="S815" i="2" s="1"/>
  <c r="S816" i="2" a="1"/>
  <c r="S816" i="2" s="1"/>
  <c r="S817" i="2" a="1"/>
  <c r="S817" i="2" s="1"/>
  <c r="S818" i="2" a="1"/>
  <c r="S818" i="2"/>
  <c r="S819" i="2" a="1"/>
  <c r="S819" i="2" s="1"/>
  <c r="S820" i="2" a="1"/>
  <c r="S820" i="2" s="1"/>
  <c r="S821" i="2" a="1"/>
  <c r="S821" i="2" s="1"/>
  <c r="S822" i="2" a="1"/>
  <c r="S822" i="2" s="1"/>
  <c r="S823" i="2" a="1"/>
  <c r="S823" i="2" s="1"/>
  <c r="S824" i="2" a="1"/>
  <c r="S824" i="2" s="1"/>
  <c r="S825" i="2" a="1"/>
  <c r="S825" i="2" s="1"/>
  <c r="S826" i="2" a="1"/>
  <c r="S826" i="2" s="1"/>
  <c r="S827" i="2" a="1"/>
  <c r="S827" i="2" s="1"/>
  <c r="S828" i="2" a="1"/>
  <c r="S828" i="2"/>
  <c r="S829" i="2" a="1"/>
  <c r="S829" i="2" s="1"/>
  <c r="S830" i="2" a="1"/>
  <c r="S830" i="2" s="1"/>
  <c r="S831" i="2" a="1"/>
  <c r="S831" i="2" s="1"/>
  <c r="S832" i="2" a="1"/>
  <c r="S832" i="2" s="1"/>
  <c r="S833" i="2" a="1"/>
  <c r="S833" i="2" s="1"/>
  <c r="S834" i="2" a="1"/>
  <c r="S834" i="2" s="1"/>
  <c r="S835" i="2" a="1"/>
  <c r="S835" i="2" s="1"/>
  <c r="S836" i="2" a="1"/>
  <c r="S836" i="2" s="1"/>
  <c r="S837" i="2" a="1"/>
  <c r="S837" i="2" s="1"/>
  <c r="S838" i="2" a="1"/>
  <c r="S838" i="2" s="1"/>
  <c r="S839" i="2" a="1"/>
  <c r="S839" i="2" s="1"/>
  <c r="S840" i="2" a="1"/>
  <c r="S840" i="2" s="1"/>
  <c r="S841" i="2" a="1"/>
  <c r="S841" i="2" s="1"/>
  <c r="S842" i="2" a="1"/>
  <c r="S842" i="2" s="1"/>
  <c r="S843" i="2" a="1"/>
  <c r="S843" i="2" s="1"/>
  <c r="S844" i="2" a="1"/>
  <c r="S844" i="2" s="1"/>
  <c r="S845" i="2" a="1"/>
  <c r="S845" i="2" s="1"/>
  <c r="S846" i="2" a="1"/>
  <c r="S846" i="2" s="1"/>
  <c r="S847" i="2" a="1"/>
  <c r="S847" i="2" s="1"/>
  <c r="S848" i="2" a="1"/>
  <c r="S848" i="2" s="1"/>
  <c r="S849" i="2" a="1"/>
  <c r="S849" i="2" s="1"/>
  <c r="S850" i="2" a="1"/>
  <c r="S850" i="2"/>
  <c r="S851" i="2" a="1"/>
  <c r="S851" i="2" s="1"/>
  <c r="S852" i="2" a="1"/>
  <c r="S852" i="2" s="1"/>
  <c r="S853" i="2" a="1"/>
  <c r="S853" i="2" s="1"/>
  <c r="S854" i="2" a="1"/>
  <c r="S854" i="2" s="1"/>
  <c r="S855" i="2" a="1"/>
  <c r="S855" i="2" s="1"/>
  <c r="S856" i="2" a="1"/>
  <c r="S856" i="2" s="1"/>
  <c r="S857" i="2" a="1"/>
  <c r="S857" i="2" s="1"/>
  <c r="S858" i="2" a="1"/>
  <c r="S858" i="2" s="1"/>
  <c r="S859" i="2" a="1"/>
  <c r="S859" i="2" s="1"/>
  <c r="S860" i="2" a="1"/>
  <c r="S860" i="2"/>
  <c r="S861" i="2" a="1"/>
  <c r="S861" i="2" s="1"/>
  <c r="S862" i="2" a="1"/>
  <c r="S862" i="2" s="1"/>
  <c r="S863" i="2" a="1"/>
  <c r="S863" i="2" s="1"/>
  <c r="S864" i="2" a="1"/>
  <c r="S864" i="2" s="1"/>
  <c r="S865" i="2" a="1"/>
  <c r="S865" i="2" s="1"/>
  <c r="S866" i="2" a="1"/>
  <c r="S866" i="2" s="1"/>
  <c r="S867" i="2" a="1"/>
  <c r="S867" i="2" s="1"/>
  <c r="S868" i="2" a="1"/>
  <c r="S868" i="2" s="1"/>
  <c r="S869" i="2" a="1"/>
  <c r="S869" i="2" s="1"/>
  <c r="S870" i="2" a="1"/>
  <c r="S870" i="2" s="1"/>
  <c r="S871" i="2" a="1"/>
  <c r="S871" i="2" s="1"/>
  <c r="S872" i="2" a="1"/>
  <c r="S872" i="2" s="1"/>
  <c r="S873" i="2" a="1"/>
  <c r="S873" i="2" s="1"/>
  <c r="S874" i="2" a="1"/>
  <c r="S874" i="2" s="1"/>
  <c r="S875" i="2" a="1"/>
  <c r="S875" i="2" s="1"/>
  <c r="S876" i="2" a="1"/>
  <c r="S876" i="2" s="1"/>
  <c r="S877" i="2" a="1"/>
  <c r="S877" i="2" s="1"/>
  <c r="S878" i="2" a="1"/>
  <c r="S878" i="2" s="1"/>
  <c r="S879" i="2" a="1"/>
  <c r="S879" i="2" s="1"/>
  <c r="S880" i="2" a="1"/>
  <c r="S880" i="2" s="1"/>
  <c r="S881" i="2" a="1"/>
  <c r="S881" i="2" s="1"/>
  <c r="S882" i="2" a="1"/>
  <c r="S882" i="2"/>
  <c r="S883" i="2" a="1"/>
  <c r="S883" i="2" s="1"/>
  <c r="S884" i="2" a="1"/>
  <c r="S884" i="2" s="1"/>
  <c r="S885" i="2" a="1"/>
  <c r="S885" i="2" s="1"/>
  <c r="S886" i="2" a="1"/>
  <c r="S886" i="2" s="1"/>
  <c r="S887" i="2" a="1"/>
  <c r="S887" i="2" s="1"/>
  <c r="S888" i="2" a="1"/>
  <c r="S888" i="2" s="1"/>
  <c r="S889" i="2" a="1"/>
  <c r="S889" i="2" s="1"/>
  <c r="S890" i="2" a="1"/>
  <c r="S890" i="2" s="1"/>
  <c r="S891" i="2" a="1"/>
  <c r="S891" i="2" s="1"/>
  <c r="S892" i="2" a="1"/>
  <c r="S892" i="2" s="1"/>
  <c r="S893" i="2" a="1"/>
  <c r="S893" i="2" s="1"/>
  <c r="S894" i="2" a="1"/>
  <c r="S894" i="2" s="1"/>
  <c r="S895" i="2" a="1"/>
  <c r="S895" i="2" s="1"/>
  <c r="S896" i="2" a="1"/>
  <c r="S896" i="2" s="1"/>
  <c r="S897" i="2" a="1"/>
  <c r="S897" i="2" s="1"/>
  <c r="S898" i="2" a="1"/>
  <c r="S898" i="2" s="1"/>
  <c r="S899" i="2" a="1"/>
  <c r="S899" i="2"/>
  <c r="S900" i="2" a="1"/>
  <c r="S900" i="2" s="1"/>
  <c r="S901" i="2" a="1"/>
  <c r="S901" i="2" s="1"/>
  <c r="S902" i="2" a="1"/>
  <c r="S902" i="2" s="1"/>
  <c r="S903" i="2" a="1"/>
  <c r="S903" i="2" s="1"/>
  <c r="S904" i="2" a="1"/>
  <c r="S904" i="2" s="1"/>
  <c r="S905" i="2" a="1"/>
  <c r="S905" i="2" s="1"/>
  <c r="S906" i="2" a="1"/>
  <c r="S906" i="2" s="1"/>
  <c r="S907" i="2" a="1"/>
  <c r="S907" i="2"/>
  <c r="S908" i="2" a="1"/>
  <c r="S908" i="2" s="1"/>
  <c r="S909" i="2" a="1"/>
  <c r="S909" i="2" s="1"/>
  <c r="S910" i="2" a="1"/>
  <c r="S910" i="2" s="1"/>
  <c r="S911" i="2" a="1"/>
  <c r="S911" i="2" s="1"/>
  <c r="S912" i="2" a="1"/>
  <c r="S912" i="2" s="1"/>
  <c r="S913" i="2" a="1"/>
  <c r="S913" i="2" s="1"/>
  <c r="S914" i="2" a="1"/>
  <c r="S914" i="2" s="1"/>
  <c r="S915" i="2" a="1"/>
  <c r="S915" i="2" s="1"/>
  <c r="S916" i="2" a="1"/>
  <c r="S916" i="2" s="1"/>
  <c r="S917" i="2" a="1"/>
  <c r="S917" i="2" s="1"/>
  <c r="S918" i="2" a="1"/>
  <c r="S918" i="2" s="1"/>
  <c r="S919" i="2" a="1"/>
  <c r="S919" i="2" s="1"/>
  <c r="S920" i="2" a="1"/>
  <c r="S920" i="2" s="1"/>
  <c r="S921" i="2" a="1"/>
  <c r="S921" i="2" s="1"/>
  <c r="S922" i="2" a="1"/>
  <c r="S922" i="2" s="1"/>
  <c r="S923" i="2" a="1"/>
  <c r="S923" i="2" s="1"/>
  <c r="S924" i="2" a="1"/>
  <c r="S924" i="2" s="1"/>
  <c r="S925" i="2" a="1"/>
  <c r="S925" i="2" s="1"/>
  <c r="S926" i="2" a="1"/>
  <c r="S926" i="2" s="1"/>
  <c r="S927" i="2" a="1"/>
  <c r="S927" i="2" s="1"/>
  <c r="S928" i="2" a="1"/>
  <c r="S928" i="2" s="1"/>
  <c r="S929" i="2" a="1"/>
  <c r="S929" i="2" s="1"/>
  <c r="S930" i="2" a="1"/>
  <c r="S930" i="2" s="1"/>
  <c r="S931" i="2" a="1"/>
  <c r="S931" i="2"/>
  <c r="S932" i="2" a="1"/>
  <c r="S932" i="2" s="1"/>
  <c r="S933" i="2" a="1"/>
  <c r="S933" i="2" s="1"/>
  <c r="S934" i="2" a="1"/>
  <c r="S934" i="2" s="1"/>
  <c r="S935" i="2" a="1"/>
  <c r="S935" i="2" s="1"/>
  <c r="S936" i="2" a="1"/>
  <c r="S936" i="2" s="1"/>
  <c r="S937" i="2" a="1"/>
  <c r="S937" i="2" s="1"/>
  <c r="S938" i="2" a="1"/>
  <c r="S938" i="2" s="1"/>
  <c r="S939" i="2" a="1"/>
  <c r="S939" i="2"/>
  <c r="S940" i="2" a="1"/>
  <c r="S940" i="2" s="1"/>
  <c r="S941" i="2" a="1"/>
  <c r="S941" i="2" s="1"/>
  <c r="S942" i="2" a="1"/>
  <c r="S942" i="2" s="1"/>
  <c r="S943" i="2" a="1"/>
  <c r="S943" i="2" s="1"/>
  <c r="S944" i="2" a="1"/>
  <c r="S944" i="2" s="1"/>
  <c r="S945" i="2" a="1"/>
  <c r="S945" i="2" s="1"/>
  <c r="S946" i="2" a="1"/>
  <c r="S946" i="2" s="1"/>
  <c r="S947" i="2" a="1"/>
  <c r="S947" i="2" s="1"/>
  <c r="S948" i="2" a="1"/>
  <c r="S948" i="2" s="1"/>
  <c r="S949" i="2" a="1"/>
  <c r="S949" i="2" s="1"/>
  <c r="S950" i="2" a="1"/>
  <c r="S950" i="2" s="1"/>
  <c r="S951" i="2" a="1"/>
  <c r="S951" i="2" s="1"/>
  <c r="S952" i="2" a="1"/>
  <c r="S952" i="2" s="1"/>
  <c r="S953" i="2" a="1"/>
  <c r="S953" i="2" s="1"/>
  <c r="S954" i="2" a="1"/>
  <c r="S954" i="2" s="1"/>
  <c r="S955" i="2" a="1"/>
  <c r="S955" i="2" s="1"/>
  <c r="S956" i="2" a="1"/>
  <c r="S956" i="2" s="1"/>
  <c r="S957" i="2" a="1"/>
  <c r="S957" i="2" s="1"/>
  <c r="S958" i="2" a="1"/>
  <c r="S958" i="2" s="1"/>
  <c r="S959" i="2" a="1"/>
  <c r="S959" i="2" s="1"/>
  <c r="S960" i="2" a="1"/>
  <c r="S960" i="2" s="1"/>
  <c r="S961" i="2" a="1"/>
  <c r="S961" i="2" s="1"/>
  <c r="S962" i="2" a="1"/>
  <c r="S962" i="2" s="1"/>
  <c r="S963" i="2" a="1"/>
  <c r="S963" i="2"/>
  <c r="S964" i="2" a="1"/>
  <c r="S964" i="2" s="1"/>
  <c r="S965" i="2" a="1"/>
  <c r="S965" i="2" s="1"/>
  <c r="S966" i="2" a="1"/>
  <c r="S966" i="2" s="1"/>
  <c r="S967" i="2" a="1"/>
  <c r="S967" i="2" s="1"/>
  <c r="S968" i="2" a="1"/>
  <c r="S968" i="2" s="1"/>
  <c r="S969" i="2" a="1"/>
  <c r="S969" i="2" s="1"/>
  <c r="S970" i="2" a="1"/>
  <c r="S970" i="2" s="1"/>
  <c r="S971" i="2" a="1"/>
  <c r="S971" i="2"/>
  <c r="S972" i="2" a="1"/>
  <c r="S972" i="2" s="1"/>
  <c r="S973" i="2" a="1"/>
  <c r="S973" i="2" s="1"/>
  <c r="S974" i="2" a="1"/>
  <c r="S974" i="2" s="1"/>
  <c r="S975" i="2" a="1"/>
  <c r="S975" i="2" s="1"/>
  <c r="S976" i="2" a="1"/>
  <c r="S976" i="2" s="1"/>
  <c r="S977" i="2" a="1"/>
  <c r="S977" i="2" s="1"/>
  <c r="S978" i="2" a="1"/>
  <c r="S978" i="2" s="1"/>
  <c r="S979" i="2" a="1"/>
  <c r="S979" i="2" s="1"/>
  <c r="S980" i="2" a="1"/>
  <c r="S980" i="2" s="1"/>
  <c r="S981" i="2" a="1"/>
  <c r="S981" i="2" s="1"/>
  <c r="S982" i="2" a="1"/>
  <c r="S982" i="2" s="1"/>
  <c r="S983" i="2" a="1"/>
  <c r="S983" i="2" s="1"/>
  <c r="S984" i="2" a="1"/>
  <c r="S984" i="2" s="1"/>
  <c r="S985" i="2" a="1"/>
  <c r="S985" i="2" s="1"/>
  <c r="S986" i="2" a="1"/>
  <c r="S986" i="2" s="1"/>
  <c r="S987" i="2" a="1"/>
  <c r="S987" i="2" s="1"/>
  <c r="S988" i="2" a="1"/>
  <c r="S988" i="2" s="1"/>
  <c r="S989" i="2" a="1"/>
  <c r="S989" i="2" s="1"/>
  <c r="S990" i="2" a="1"/>
  <c r="S990" i="2" s="1"/>
  <c r="S991" i="2" a="1"/>
  <c r="S991" i="2" s="1"/>
  <c r="S992" i="2" a="1"/>
  <c r="S992" i="2" s="1"/>
  <c r="S993" i="2" a="1"/>
  <c r="S993" i="2" s="1"/>
  <c r="S994" i="2" a="1"/>
  <c r="S994" i="2" s="1"/>
  <c r="S995" i="2" a="1"/>
  <c r="S995" i="2"/>
  <c r="S996" i="2" a="1"/>
  <c r="S996" i="2" s="1"/>
  <c r="S997" i="2" a="1"/>
  <c r="S997" i="2" s="1"/>
  <c r="S998" i="2" a="1"/>
  <c r="S998" i="2" s="1"/>
  <c r="S999" i="2" a="1"/>
  <c r="S999" i="2" s="1"/>
  <c r="S1000" i="2" a="1"/>
  <c r="S1000" i="2" s="1"/>
  <c r="S1001" i="2" a="1"/>
  <c r="S1001" i="2" s="1"/>
  <c r="S1002" i="2" a="1"/>
  <c r="S1002" i="2" s="1"/>
  <c r="S1003" i="2" a="1"/>
  <c r="S1003" i="2"/>
  <c r="S1004" i="2" a="1"/>
  <c r="S1004" i="2" s="1"/>
  <c r="S1005" i="2" a="1"/>
  <c r="S1005" i="2" s="1"/>
  <c r="S1006" i="2" a="1"/>
  <c r="S1006" i="2" s="1"/>
  <c r="S1007" i="2" a="1"/>
  <c r="S1007" i="2" s="1"/>
  <c r="S1008" i="2" a="1"/>
  <c r="S1008" i="2" s="1"/>
  <c r="S1009" i="2" a="1"/>
  <c r="S1009" i="2" s="1"/>
  <c r="S1010" i="2" a="1"/>
  <c r="S1010" i="2" s="1"/>
  <c r="S1011" i="2" a="1"/>
  <c r="S1011" i="2" s="1"/>
  <c r="S1012" i="2" a="1"/>
  <c r="S1012" i="2" s="1"/>
  <c r="S1013" i="2" a="1"/>
  <c r="S1013" i="2" s="1"/>
  <c r="S1014" i="2" a="1"/>
  <c r="S1014" i="2" s="1"/>
  <c r="S1015" i="2" a="1"/>
  <c r="S1015" i="2" s="1"/>
  <c r="S1016" i="2" a="1"/>
  <c r="S1016" i="2" s="1"/>
  <c r="S1017" i="2" a="1"/>
  <c r="S1017" i="2" s="1"/>
  <c r="S1018" i="2" a="1"/>
  <c r="S1018" i="2" s="1"/>
  <c r="S1019" i="2" a="1"/>
  <c r="S1019" i="2" s="1"/>
  <c r="S1020" i="2" a="1"/>
  <c r="S1020" i="2" s="1"/>
  <c r="S1021" i="2" a="1"/>
  <c r="S1021" i="2" s="1"/>
  <c r="S1022" i="2" a="1"/>
  <c r="S1022" i="2" s="1"/>
  <c r="S1023" i="2" a="1"/>
  <c r="S1023" i="2" s="1"/>
  <c r="S1024" i="2" a="1"/>
  <c r="S1024" i="2" s="1"/>
  <c r="S1025" i="2" a="1"/>
  <c r="S1025" i="2" s="1"/>
  <c r="S1026" i="2" a="1"/>
  <c r="S1026" i="2" s="1"/>
  <c r="S1027" i="2" a="1"/>
  <c r="S1027" i="2"/>
  <c r="S1028" i="2" a="1"/>
  <c r="S1028" i="2" s="1"/>
  <c r="S1029" i="2" a="1"/>
  <c r="S1029" i="2" s="1"/>
  <c r="S1030" i="2" a="1"/>
  <c r="S1030" i="2" s="1"/>
  <c r="S1031" i="2" a="1"/>
  <c r="S1031" i="2" s="1"/>
  <c r="S1032" i="2" a="1"/>
  <c r="S1032" i="2" s="1"/>
  <c r="S1033" i="2" a="1"/>
  <c r="S1033" i="2" s="1"/>
  <c r="S1034" i="2" a="1"/>
  <c r="S1034" i="2" s="1"/>
  <c r="S1035" i="2" a="1"/>
  <c r="S1035" i="2"/>
  <c r="S1036" i="2" a="1"/>
  <c r="S1036" i="2" s="1"/>
  <c r="S1037" i="2" a="1"/>
  <c r="S1037" i="2" s="1"/>
  <c r="S1038" i="2" a="1"/>
  <c r="S1038" i="2" s="1"/>
  <c r="S1039" i="2" a="1"/>
  <c r="S1039" i="2" s="1"/>
  <c r="S1040" i="2" a="1"/>
  <c r="S1040" i="2" s="1"/>
  <c r="S1041" i="2" a="1"/>
  <c r="S1041" i="2" s="1"/>
  <c r="S1042" i="2" a="1"/>
  <c r="S1042" i="2" s="1"/>
  <c r="S1043" i="2" a="1"/>
  <c r="S1043" i="2" s="1"/>
  <c r="S1044" i="2" a="1"/>
  <c r="S1044" i="2" s="1"/>
  <c r="S1045" i="2" a="1"/>
  <c r="S1045" i="2" s="1"/>
  <c r="S1046" i="2" a="1"/>
  <c r="S1046" i="2" s="1"/>
  <c r="S1047" i="2" a="1"/>
  <c r="S1047" i="2" s="1"/>
  <c r="S1048" i="2" a="1"/>
  <c r="S1048" i="2" s="1"/>
  <c r="S1049" i="2" a="1"/>
  <c r="S1049" i="2" s="1"/>
  <c r="S1050" i="2" a="1"/>
  <c r="S1050" i="2" s="1"/>
  <c r="S1051" i="2" a="1"/>
  <c r="S1051" i="2" s="1"/>
  <c r="S1052" i="2" a="1"/>
  <c r="S1052" i="2" s="1"/>
  <c r="S1053" i="2" a="1"/>
  <c r="S1053" i="2" s="1"/>
  <c r="S1054" i="2" a="1"/>
  <c r="S1054" i="2" s="1"/>
  <c r="S1055" i="2" a="1"/>
  <c r="S1055" i="2" s="1"/>
  <c r="S1056" i="2" a="1"/>
  <c r="S1056" i="2" s="1"/>
  <c r="S1057" i="2" a="1"/>
  <c r="S1057" i="2" s="1"/>
  <c r="S1058" i="2" a="1"/>
  <c r="S1058" i="2" s="1"/>
  <c r="S1059" i="2" a="1"/>
  <c r="S1059" i="2"/>
  <c r="S1060" i="2" a="1"/>
  <c r="S1060" i="2" s="1"/>
  <c r="S1061" i="2" a="1"/>
  <c r="S1061" i="2" s="1"/>
  <c r="S1062" i="2" a="1"/>
  <c r="S1062" i="2" s="1"/>
  <c r="S1063" i="2" a="1"/>
  <c r="S1063" i="2" s="1"/>
  <c r="S1064" i="2" a="1"/>
  <c r="S1064" i="2" s="1"/>
  <c r="S1065" i="2" a="1"/>
  <c r="S1065" i="2" s="1"/>
  <c r="S1066" i="2" a="1"/>
  <c r="S1066" i="2" s="1"/>
  <c r="S1067" i="2" a="1"/>
  <c r="S1067" i="2"/>
  <c r="S1068" i="2" a="1"/>
  <c r="S1068" i="2" s="1"/>
  <c r="S1069" i="2" a="1"/>
  <c r="S1069" i="2" s="1"/>
  <c r="S1070" i="2" a="1"/>
  <c r="S1070" i="2" s="1"/>
  <c r="S1071" i="2" a="1"/>
  <c r="S1071" i="2" s="1"/>
  <c r="S1072" i="2" a="1"/>
  <c r="S1072" i="2" s="1"/>
  <c r="S1073" i="2" a="1"/>
  <c r="S1073" i="2" s="1"/>
  <c r="S1074" i="2" a="1"/>
  <c r="S1074" i="2" s="1"/>
  <c r="S1075" i="2" a="1"/>
  <c r="S1075" i="2" s="1"/>
  <c r="S1076" i="2" a="1"/>
  <c r="S1076" i="2" s="1"/>
  <c r="S1077" i="2" a="1"/>
  <c r="S1077" i="2" s="1"/>
  <c r="S1078" i="2" a="1"/>
  <c r="S1078" i="2" s="1"/>
  <c r="S1079" i="2" a="1"/>
  <c r="S1079" i="2" s="1"/>
  <c r="S1080" i="2" a="1"/>
  <c r="S1080" i="2" s="1"/>
  <c r="S1081" i="2" a="1"/>
  <c r="S1081" i="2" s="1"/>
  <c r="S1082" i="2" a="1"/>
  <c r="S1082" i="2" s="1"/>
  <c r="S1083" i="2" a="1"/>
  <c r="S1083" i="2" s="1"/>
  <c r="S1084" i="2" a="1"/>
  <c r="S1084" i="2" s="1"/>
  <c r="S1085" i="2" a="1"/>
  <c r="S1085" i="2" s="1"/>
  <c r="S1086" i="2" a="1"/>
  <c r="S1086" i="2" s="1"/>
  <c r="S1087" i="2" a="1"/>
  <c r="S1087" i="2" s="1"/>
  <c r="S1088" i="2" a="1"/>
  <c r="S1088" i="2" s="1"/>
  <c r="S1089" i="2" a="1"/>
  <c r="S1089" i="2" s="1"/>
  <c r="S1090" i="2" a="1"/>
  <c r="S1090" i="2" s="1"/>
  <c r="S1091" i="2" a="1"/>
  <c r="S1091" i="2"/>
  <c r="S1092" i="2" a="1"/>
  <c r="S1092" i="2" s="1"/>
  <c r="S1093" i="2" a="1"/>
  <c r="S1093" i="2" s="1"/>
  <c r="S1094" i="2" a="1"/>
  <c r="S1094" i="2" s="1"/>
  <c r="S1095" i="2" a="1"/>
  <c r="S1095" i="2" s="1"/>
  <c r="S1096" i="2" a="1"/>
  <c r="S1096" i="2" s="1"/>
  <c r="S1097" i="2" a="1"/>
  <c r="S1097" i="2" s="1"/>
  <c r="S1098" i="2" a="1"/>
  <c r="S1098" i="2" s="1"/>
  <c r="S1099" i="2" a="1"/>
  <c r="S1099" i="2"/>
  <c r="S1100" i="2" a="1"/>
  <c r="S1100" i="2" s="1"/>
  <c r="S1101" i="2" a="1"/>
  <c r="S1101" i="2" s="1"/>
  <c r="S1102" i="2" a="1"/>
  <c r="S1102" i="2" s="1"/>
  <c r="S1103" i="2" a="1"/>
  <c r="S1103" i="2" s="1"/>
  <c r="S1104" i="2" a="1"/>
  <c r="S1104" i="2" s="1"/>
  <c r="S1105" i="2" a="1"/>
  <c r="S1105" i="2" s="1"/>
  <c r="S1106" i="2" a="1"/>
  <c r="S1106" i="2" s="1"/>
  <c r="S1107" i="2" a="1"/>
  <c r="S1107" i="2" s="1"/>
  <c r="S1108" i="2" a="1"/>
  <c r="S1108" i="2" s="1"/>
  <c r="S1109" i="2" a="1"/>
  <c r="S1109" i="2" s="1"/>
  <c r="S1110" i="2" a="1"/>
  <c r="S1110" i="2" s="1"/>
  <c r="S1111" i="2" a="1"/>
  <c r="S1111" i="2" s="1"/>
  <c r="S1112" i="2" a="1"/>
  <c r="S1112" i="2" s="1"/>
  <c r="S1113" i="2" a="1"/>
  <c r="S1113" i="2" s="1"/>
  <c r="S1114" i="2" a="1"/>
  <c r="S1114" i="2" s="1"/>
  <c r="S1115" i="2" a="1"/>
  <c r="S1115" i="2" s="1"/>
  <c r="S1116" i="2" a="1"/>
  <c r="S1116" i="2" s="1"/>
  <c r="S1117" i="2" a="1"/>
  <c r="S1117" i="2" s="1"/>
  <c r="S1118" i="2" a="1"/>
  <c r="S1118" i="2" s="1"/>
  <c r="S1119" i="2" a="1"/>
  <c r="S1119" i="2" s="1"/>
  <c r="S1120" i="2" a="1"/>
  <c r="S1120" i="2" s="1"/>
  <c r="S1121" i="2" a="1"/>
  <c r="S1121" i="2" s="1"/>
  <c r="S1122" i="2" a="1"/>
  <c r="S1122" i="2" s="1"/>
  <c r="S1123" i="2" a="1"/>
  <c r="S1123" i="2"/>
  <c r="S1124" i="2" a="1"/>
  <c r="S1124" i="2" s="1"/>
  <c r="S1125" i="2" a="1"/>
  <c r="S1125" i="2" s="1"/>
  <c r="S1126" i="2" a="1"/>
  <c r="S1126" i="2" s="1"/>
  <c r="S1127" i="2" a="1"/>
  <c r="S1127" i="2" s="1"/>
  <c r="S1128" i="2" a="1"/>
  <c r="S1128" i="2" s="1"/>
  <c r="S1129" i="2" a="1"/>
  <c r="S1129" i="2"/>
  <c r="S1130" i="2" a="1"/>
  <c r="S1130" i="2" s="1"/>
  <c r="S1131" i="2" a="1"/>
  <c r="S1131" i="2" s="1"/>
  <c r="S1132" i="2" a="1"/>
  <c r="S1132" i="2" s="1"/>
  <c r="S1133" i="2" a="1"/>
  <c r="S1133" i="2" s="1"/>
  <c r="S1134" i="2" a="1"/>
  <c r="S1134" i="2" s="1"/>
  <c r="S1135" i="2" a="1"/>
  <c r="S1135" i="2" s="1"/>
  <c r="S1136" i="2" a="1"/>
  <c r="S1136" i="2" s="1"/>
  <c r="S1137" i="2" a="1"/>
  <c r="S1137" i="2" s="1"/>
  <c r="S1138" i="2" a="1"/>
  <c r="S1138" i="2" s="1"/>
  <c r="S1139" i="2" a="1"/>
  <c r="S1139" i="2"/>
  <c r="S1140" i="2" a="1"/>
  <c r="S1140" i="2" s="1"/>
  <c r="S1141" i="2" a="1"/>
  <c r="S1141" i="2"/>
  <c r="S1142" i="2" a="1"/>
  <c r="S1142" i="2" s="1"/>
  <c r="S1143" i="2" a="1"/>
  <c r="S1143" i="2" s="1"/>
  <c r="S1144" i="2" a="1"/>
  <c r="S1144" i="2" s="1"/>
  <c r="S1145" i="2" a="1"/>
  <c r="S1145" i="2" s="1"/>
  <c r="S1146" i="2" a="1"/>
  <c r="S1146" i="2" s="1"/>
  <c r="S1147" i="2" a="1"/>
  <c r="S1147" i="2" s="1"/>
  <c r="S1148" i="2" a="1"/>
  <c r="S1148" i="2" s="1"/>
  <c r="S1149" i="2" a="1"/>
  <c r="S1149" i="2" s="1"/>
  <c r="S1150" i="2" a="1"/>
  <c r="S1150" i="2" s="1"/>
  <c r="S1151" i="2" a="1"/>
  <c r="S1151" i="2" s="1"/>
  <c r="S1152" i="2" a="1"/>
  <c r="S1152" i="2" s="1"/>
  <c r="S1153" i="2" a="1"/>
  <c r="S1153" i="2" s="1"/>
  <c r="S1154" i="2" a="1"/>
  <c r="S1154" i="2" s="1"/>
  <c r="S1155" i="2" a="1"/>
  <c r="S1155" i="2"/>
  <c r="S1156" i="2" a="1"/>
  <c r="S1156" i="2" s="1"/>
  <c r="S1157" i="2" a="1"/>
  <c r="S1157" i="2" s="1"/>
  <c r="S1158" i="2" a="1"/>
  <c r="S1158" i="2" s="1"/>
  <c r="S1159" i="2" a="1"/>
  <c r="S1159" i="2" s="1"/>
  <c r="S1160" i="2" a="1"/>
  <c r="S1160" i="2" s="1"/>
  <c r="S1161" i="2" a="1"/>
  <c r="S1161" i="2" s="1"/>
  <c r="S1162" i="2" a="1"/>
  <c r="S1162" i="2" s="1"/>
  <c r="S1163" i="2" a="1"/>
  <c r="S1163" i="2"/>
  <c r="S1164" i="2" a="1"/>
  <c r="S1164" i="2" s="1"/>
  <c r="S1165" i="2" a="1"/>
  <c r="S1165" i="2" s="1"/>
  <c r="S1166" i="2" a="1"/>
  <c r="S1166" i="2" s="1"/>
  <c r="S1167" i="2" a="1"/>
  <c r="S1167" i="2" s="1"/>
  <c r="S1168" i="2" a="1"/>
  <c r="S1168" i="2" s="1"/>
  <c r="S1169" i="2" a="1"/>
  <c r="S1169" i="2" s="1"/>
  <c r="S1170" i="2" a="1"/>
  <c r="S1170" i="2" s="1"/>
  <c r="S1171" i="2" a="1"/>
  <c r="S1171" i="2" s="1"/>
  <c r="S1172" i="2" a="1"/>
  <c r="S1172" i="2" s="1"/>
  <c r="S1173" i="2" a="1"/>
  <c r="S1173" i="2" s="1"/>
  <c r="S1174" i="2" a="1"/>
  <c r="S1174" i="2" s="1"/>
  <c r="S1175" i="2" a="1"/>
  <c r="S1175" i="2" s="1"/>
  <c r="S1176" i="2" a="1"/>
  <c r="S1176" i="2" s="1"/>
  <c r="S1177" i="2" a="1"/>
  <c r="S1177" i="2" s="1"/>
  <c r="S1178" i="2" a="1"/>
  <c r="S1178" i="2" s="1"/>
  <c r="S1179" i="2" a="1"/>
  <c r="S1179" i="2" s="1"/>
  <c r="S1180" i="2" a="1"/>
  <c r="S1180" i="2" s="1"/>
  <c r="S1181" i="2" a="1"/>
  <c r="S1181" i="2" s="1"/>
  <c r="S1182" i="2" a="1"/>
  <c r="S1182" i="2" s="1"/>
  <c r="S1183" i="2" a="1"/>
  <c r="S1183" i="2" s="1"/>
  <c r="S1184" i="2" a="1"/>
  <c r="S1184" i="2" s="1"/>
  <c r="S1185" i="2" a="1"/>
  <c r="S1185" i="2" s="1"/>
  <c r="S1186" i="2" a="1"/>
  <c r="S1186" i="2" s="1"/>
  <c r="S1187" i="2" a="1"/>
  <c r="S1187" i="2"/>
  <c r="S1188" i="2" a="1"/>
  <c r="S1188" i="2" s="1"/>
  <c r="S1189" i="2" a="1"/>
  <c r="S1189" i="2" s="1"/>
  <c r="S1190" i="2" a="1"/>
  <c r="S1190" i="2" s="1"/>
  <c r="S1191" i="2" a="1"/>
  <c r="S1191" i="2" s="1"/>
  <c r="S1192" i="2" a="1"/>
  <c r="S1192" i="2" s="1"/>
  <c r="S1193" i="2" a="1"/>
  <c r="S1193" i="2" s="1"/>
  <c r="S1194" i="2" a="1"/>
  <c r="S1194" i="2" s="1"/>
  <c r="S1195" i="2" a="1"/>
  <c r="S1195" i="2"/>
  <c r="S1196" i="2" a="1"/>
  <c r="S1196" i="2" s="1"/>
  <c r="S1197" i="2" a="1"/>
  <c r="S1197" i="2" s="1"/>
  <c r="S1198" i="2" a="1"/>
  <c r="S1198" i="2" s="1"/>
  <c r="S1199" i="2" a="1"/>
  <c r="S1199" i="2" s="1"/>
  <c r="S1200" i="2" a="1"/>
  <c r="S1200" i="2" s="1"/>
  <c r="S1201" i="2" a="1"/>
  <c r="S1201" i="2" s="1"/>
  <c r="S1202" i="2" a="1"/>
  <c r="S1202" i="2" s="1"/>
  <c r="S1203" i="2" a="1"/>
  <c r="S1203" i="2" s="1"/>
  <c r="S1204" i="2" a="1"/>
  <c r="S1204" i="2" s="1"/>
  <c r="S1205" i="2" a="1"/>
  <c r="S1205" i="2"/>
  <c r="S1206" i="2" a="1"/>
  <c r="S1206" i="2" s="1"/>
  <c r="S1207" i="2" a="1"/>
  <c r="S1207" i="2" s="1"/>
  <c r="S1208" i="2" a="1"/>
  <c r="S1208" i="2" s="1"/>
  <c r="S1209" i="2" a="1"/>
  <c r="S1209" i="2" s="1"/>
  <c r="S1210" i="2" a="1"/>
  <c r="S1210" i="2" s="1"/>
  <c r="S1211" i="2" a="1"/>
  <c r="S1211" i="2"/>
  <c r="S1212" i="2" a="1"/>
  <c r="S1212" i="2" s="1"/>
  <c r="S1213" i="2" a="1"/>
  <c r="S1213" i="2" s="1"/>
  <c r="S1214" i="2" a="1"/>
  <c r="S1214" i="2" s="1"/>
  <c r="S1215" i="2" a="1"/>
  <c r="S1215" i="2" s="1"/>
  <c r="S1216" i="2" a="1"/>
  <c r="S1216" i="2" s="1"/>
  <c r="S1217" i="2" a="1"/>
  <c r="S1217" i="2"/>
  <c r="S1218" i="2" a="1"/>
  <c r="S1218" i="2" s="1"/>
  <c r="S1219" i="2" a="1"/>
  <c r="S1219" i="2" s="1"/>
  <c r="S1220" i="2" a="1"/>
  <c r="S1220" i="2" s="1"/>
  <c r="S1221" i="2" a="1"/>
  <c r="S1221" i="2" s="1"/>
  <c r="S1222" i="2" a="1"/>
  <c r="S1222" i="2" s="1"/>
  <c r="S1223" i="2" a="1"/>
  <c r="S1223" i="2" s="1"/>
  <c r="S1224" i="2" a="1"/>
  <c r="S1224" i="2" s="1"/>
  <c r="S1225" i="2" a="1"/>
  <c r="S1225" i="2"/>
  <c r="S1226" i="2" a="1"/>
  <c r="S1226" i="2" s="1"/>
  <c r="S1227" i="2" a="1"/>
  <c r="S1227" i="2"/>
  <c r="S1228" i="2" a="1"/>
  <c r="S1228" i="2" s="1"/>
  <c r="S1229" i="2" a="1"/>
  <c r="S1229" i="2" s="1"/>
  <c r="S1230" i="2" a="1"/>
  <c r="S1230" i="2" s="1"/>
  <c r="S1231" i="2" a="1"/>
  <c r="S1231" i="2" s="1"/>
  <c r="S1232" i="2" a="1"/>
  <c r="S1232" i="2" s="1"/>
  <c r="S1233" i="2" a="1"/>
  <c r="S1233" i="2"/>
  <c r="S1234" i="2" a="1"/>
  <c r="S1234" i="2" s="1"/>
  <c r="S1235" i="2" a="1"/>
  <c r="S1235" i="2" s="1"/>
  <c r="S1236" i="2" a="1"/>
  <c r="S1236" i="2" s="1"/>
  <c r="S1237" i="2" a="1"/>
  <c r="S1237" i="2" s="1"/>
  <c r="S1238" i="2" a="1"/>
  <c r="S1238" i="2" s="1"/>
  <c r="S1239" i="2" a="1"/>
  <c r="S1239" i="2" s="1"/>
  <c r="S1240" i="2" a="1"/>
  <c r="S1240" i="2" s="1"/>
  <c r="S1241" i="2" a="1"/>
  <c r="S1241" i="2"/>
  <c r="S1242" i="2" a="1"/>
  <c r="S1242" i="2" s="1"/>
  <c r="S1243" i="2" a="1"/>
  <c r="S1243" i="2"/>
  <c r="S1244" i="2" a="1"/>
  <c r="S1244" i="2" s="1"/>
  <c r="S1245" i="2" a="1"/>
  <c r="S1245" i="2" s="1"/>
  <c r="S1246" i="2" a="1"/>
  <c r="S1246" i="2" s="1"/>
  <c r="S1247" i="2" a="1"/>
  <c r="S1247" i="2" s="1"/>
  <c r="S1248" i="2" a="1"/>
  <c r="S1248" i="2" s="1"/>
  <c r="S1249" i="2" a="1"/>
  <c r="S1249" i="2"/>
  <c r="S1250" i="2" a="1"/>
  <c r="S1250" i="2" s="1"/>
  <c r="S1251" i="2" a="1"/>
  <c r="S1251" i="2" s="1"/>
  <c r="S1252" i="2" a="1"/>
  <c r="S1252" i="2" s="1"/>
  <c r="S1253" i="2" a="1"/>
  <c r="S1253" i="2" s="1"/>
  <c r="S1254" i="2" a="1"/>
  <c r="S1254" i="2" s="1"/>
  <c r="S1255" i="2" a="1"/>
  <c r="S1255" i="2" s="1"/>
  <c r="S1256" i="2" a="1"/>
  <c r="S1256" i="2" s="1"/>
  <c r="S1257" i="2" a="1"/>
  <c r="S1257" i="2"/>
  <c r="S1258" i="2" a="1"/>
  <c r="S1258" i="2" s="1"/>
  <c r="S1259" i="2" a="1"/>
  <c r="S1259" i="2"/>
  <c r="S1260" i="2" a="1"/>
  <c r="S1260" i="2" s="1"/>
  <c r="S1261" i="2" a="1"/>
  <c r="S1261" i="2" s="1"/>
  <c r="S1262" i="2" a="1"/>
  <c r="S1262" i="2" s="1"/>
  <c r="S1263" i="2" a="1"/>
  <c r="S1263" i="2" s="1"/>
  <c r="S1264" i="2" a="1"/>
  <c r="S1264" i="2" s="1"/>
  <c r="S1265" i="2" a="1"/>
  <c r="S1265" i="2"/>
  <c r="S1266" i="2" a="1"/>
  <c r="S1266" i="2" s="1"/>
  <c r="S1267" i="2" a="1"/>
  <c r="S1267" i="2" s="1"/>
  <c r="S1268" i="2" a="1"/>
  <c r="S1268" i="2" s="1"/>
  <c r="S1269" i="2" a="1"/>
  <c r="S1269" i="2" s="1"/>
  <c r="S1270" i="2" a="1"/>
  <c r="S1270" i="2" s="1"/>
  <c r="S1271" i="2" a="1"/>
  <c r="S1271" i="2" s="1"/>
  <c r="S1272" i="2" a="1"/>
  <c r="S1272" i="2" s="1"/>
  <c r="S1273" i="2" a="1"/>
  <c r="S1273" i="2" s="1"/>
  <c r="S1274" i="2" a="1"/>
  <c r="S1274" i="2" s="1"/>
  <c r="S1275" i="2" a="1"/>
  <c r="S1275" i="2"/>
  <c r="S1276" i="2" a="1"/>
  <c r="S1276" i="2" s="1"/>
  <c r="S1277" i="2" a="1"/>
  <c r="S1277" i="2" s="1"/>
  <c r="S1278" i="2" a="1"/>
  <c r="S1278" i="2" s="1"/>
  <c r="S1279" i="2" a="1"/>
  <c r="S1279" i="2" s="1"/>
  <c r="S1280" i="2" a="1"/>
  <c r="S1280" i="2" s="1"/>
  <c r="S1281" i="2" a="1"/>
  <c r="S1281" i="2"/>
  <c r="S1282" i="2" a="1"/>
  <c r="S1282" i="2" s="1"/>
  <c r="S1283" i="2" a="1"/>
  <c r="S1283" i="2" s="1"/>
  <c r="S1284" i="2" a="1"/>
  <c r="S1284" i="2" s="1"/>
  <c r="S1285" i="2" a="1"/>
  <c r="S1285" i="2" s="1"/>
  <c r="S1286" i="2" a="1"/>
  <c r="S1286" i="2" s="1"/>
  <c r="S1287" i="2" a="1"/>
  <c r="S1287" i="2" s="1"/>
  <c r="S1288" i="2" a="1"/>
  <c r="S1288" i="2" s="1"/>
  <c r="S1289" i="2" a="1"/>
  <c r="S1289" i="2"/>
  <c r="S1290" i="2" a="1"/>
  <c r="S1290" i="2" s="1"/>
  <c r="S1291" i="2" a="1"/>
  <c r="S1291" i="2"/>
  <c r="S1292" i="2" a="1"/>
  <c r="S1292" i="2" s="1"/>
  <c r="S1293" i="2" a="1"/>
  <c r="S1293" i="2" s="1"/>
  <c r="S1294" i="2" a="1"/>
  <c r="S1294" i="2" s="1"/>
  <c r="S1295" i="2" a="1"/>
  <c r="S1295" i="2" s="1"/>
  <c r="S1296" i="2" a="1"/>
  <c r="S1296" i="2" s="1"/>
  <c r="S1297" i="2" a="1"/>
  <c r="S1297" i="2"/>
  <c r="S1298" i="2" a="1"/>
  <c r="S1298" i="2" s="1"/>
  <c r="S1299" i="2" a="1"/>
  <c r="S1299" i="2" s="1"/>
  <c r="S1300" i="2" a="1"/>
  <c r="S1300" i="2" s="1"/>
  <c r="S1301" i="2" a="1"/>
  <c r="S1301" i="2" s="1"/>
  <c r="S1302" i="2" a="1"/>
  <c r="S1302" i="2" s="1"/>
  <c r="S1303" i="2" a="1"/>
  <c r="S1303" i="2" s="1"/>
  <c r="S1304" i="2" a="1"/>
  <c r="S1304" i="2" s="1"/>
  <c r="S1305" i="2" a="1"/>
  <c r="S1305" i="2"/>
  <c r="S1306" i="2" a="1"/>
  <c r="S1306" i="2" s="1"/>
  <c r="S1307" i="2" a="1"/>
  <c r="S1307" i="2"/>
  <c r="S1308" i="2" a="1"/>
  <c r="S1308" i="2" s="1"/>
  <c r="S1309" i="2" a="1"/>
  <c r="S1309" i="2" s="1"/>
  <c r="S1310" i="2" a="1"/>
  <c r="S1310" i="2" s="1"/>
  <c r="S1311" i="2" a="1"/>
  <c r="S1311" i="2" s="1"/>
  <c r="S1312" i="2" a="1"/>
  <c r="S1312" i="2" s="1"/>
  <c r="S1313" i="2" a="1"/>
  <c r="S1313" i="2"/>
  <c r="S1314" i="2" a="1"/>
  <c r="S1314" i="2" s="1"/>
  <c r="S1315" i="2" a="1"/>
  <c r="S1315" i="2" s="1"/>
  <c r="S1316" i="2" a="1"/>
  <c r="S1316" i="2" s="1"/>
  <c r="S1317" i="2" a="1"/>
  <c r="S1317" i="2" s="1"/>
  <c r="S1318" i="2" a="1"/>
  <c r="S1318" i="2" s="1"/>
  <c r="S1319" i="2" a="1"/>
  <c r="S1319" i="2" s="1"/>
  <c r="S1320" i="2" a="1"/>
  <c r="S1320" i="2" s="1"/>
  <c r="S1321" i="2" a="1"/>
  <c r="S1321" i="2"/>
  <c r="S1322" i="2" a="1"/>
  <c r="S1322" i="2" s="1"/>
  <c r="S1323" i="2" a="1"/>
  <c r="S1323" i="2"/>
  <c r="S1324" i="2" a="1"/>
  <c r="S1324" i="2" s="1"/>
  <c r="S1325" i="2" a="1"/>
  <c r="S1325" i="2" s="1"/>
  <c r="S1326" i="2" a="1"/>
  <c r="S1326" i="2" s="1"/>
  <c r="S1327" i="2" a="1"/>
  <c r="S1327" i="2" s="1"/>
  <c r="S1328" i="2" a="1"/>
  <c r="S1328" i="2" s="1"/>
  <c r="S1329" i="2" a="1"/>
  <c r="S1329" i="2"/>
  <c r="S1330" i="2" a="1"/>
  <c r="S1330" i="2" s="1"/>
  <c r="S1331" i="2" a="1"/>
  <c r="S1331" i="2" s="1"/>
  <c r="S1332" i="2" a="1"/>
  <c r="S1332" i="2" s="1"/>
  <c r="S1333" i="2" a="1"/>
  <c r="S1333" i="2" s="1"/>
  <c r="S1334" i="2" a="1"/>
  <c r="S1334" i="2" s="1"/>
  <c r="S1335" i="2" a="1"/>
  <c r="S1335" i="2" s="1"/>
  <c r="S1336" i="2" a="1"/>
  <c r="S1336" i="2" s="1"/>
  <c r="S1337" i="2" a="1"/>
  <c r="S1337" i="2" s="1"/>
  <c r="S1338" i="2" a="1"/>
  <c r="S1338" i="2" s="1"/>
  <c r="S1339" i="2" a="1"/>
  <c r="S1339" i="2"/>
  <c r="S1340" i="2" a="1"/>
  <c r="S1340" i="2" s="1"/>
  <c r="S1341" i="2" a="1"/>
  <c r="S1341" i="2" s="1"/>
  <c r="S1342" i="2" a="1"/>
  <c r="S1342" i="2" s="1"/>
  <c r="S1343" i="2" a="1"/>
  <c r="S1343" i="2" s="1"/>
  <c r="S1344" i="2" a="1"/>
  <c r="S1344" i="2" s="1"/>
  <c r="S1345" i="2" a="1"/>
  <c r="S1345" i="2"/>
  <c r="S1346" i="2" a="1"/>
  <c r="S1346" i="2" s="1"/>
  <c r="S1347" i="2" a="1"/>
  <c r="S1347" i="2" s="1"/>
  <c r="S1348" i="2" a="1"/>
  <c r="S1348" i="2" s="1"/>
  <c r="S1349" i="2" a="1"/>
  <c r="S1349" i="2" s="1"/>
  <c r="S1350" i="2" a="1"/>
  <c r="S1350" i="2" s="1"/>
  <c r="S1351" i="2" a="1"/>
  <c r="S1351" i="2" s="1"/>
  <c r="S1352" i="2" a="1"/>
  <c r="S1352" i="2" s="1"/>
  <c r="S1353" i="2" a="1"/>
  <c r="S1353" i="2"/>
  <c r="S1354" i="2" a="1"/>
  <c r="S1354" i="2" s="1"/>
  <c r="S1355" i="2" a="1"/>
  <c r="S1355" i="2"/>
  <c r="S1356" i="2" a="1"/>
  <c r="S1356" i="2" s="1"/>
  <c r="S1357" i="2" a="1"/>
  <c r="S1357" i="2" s="1"/>
  <c r="S1358" i="2" a="1"/>
  <c r="S1358" i="2" s="1"/>
  <c r="S1359" i="2" a="1"/>
  <c r="S1359" i="2" s="1"/>
  <c r="S1360" i="2" a="1"/>
  <c r="S1360" i="2" s="1"/>
  <c r="S1361" i="2" a="1"/>
  <c r="S1361" i="2"/>
  <c r="S1362" i="2" a="1"/>
  <c r="S1362" i="2" s="1"/>
  <c r="S1363" i="2" a="1"/>
  <c r="S1363" i="2" s="1"/>
  <c r="S1364" i="2" a="1"/>
  <c r="S1364" i="2" s="1"/>
  <c r="S1365" i="2" a="1"/>
  <c r="S1365" i="2" s="1"/>
  <c r="S1366" i="2" a="1"/>
  <c r="S1366" i="2" s="1"/>
  <c r="S1367" i="2" a="1"/>
  <c r="S1367" i="2" s="1"/>
  <c r="S1368" i="2" a="1"/>
  <c r="S1368" i="2" s="1"/>
  <c r="S1369" i="2" a="1"/>
  <c r="S1369" i="2"/>
  <c r="S1370" i="2" a="1"/>
  <c r="S1370" i="2" s="1"/>
  <c r="S1371" i="2" a="1"/>
  <c r="S1371" i="2"/>
  <c r="S1372" i="2" a="1"/>
  <c r="S1372" i="2" s="1"/>
  <c r="S1373" i="2" a="1"/>
  <c r="S1373" i="2" s="1"/>
  <c r="S1374" i="2" a="1"/>
  <c r="S1374" i="2" s="1"/>
  <c r="S1375" i="2" a="1"/>
  <c r="S1375" i="2" s="1"/>
  <c r="S1376" i="2" a="1"/>
  <c r="S1376" i="2" s="1"/>
  <c r="S1377" i="2" a="1"/>
  <c r="S1377" i="2"/>
  <c r="S1378" i="2" a="1"/>
  <c r="S1378" i="2" s="1"/>
  <c r="S1379" i="2" a="1"/>
  <c r="S1379" i="2" s="1"/>
  <c r="S1380" i="2" a="1"/>
  <c r="S1380" i="2" s="1"/>
  <c r="S1381" i="2" a="1"/>
  <c r="S1381" i="2" s="1"/>
  <c r="S1382" i="2" a="1"/>
  <c r="S1382" i="2" s="1"/>
  <c r="S1383" i="2" a="1"/>
  <c r="S1383" i="2" s="1"/>
  <c r="S1384" i="2" a="1"/>
  <c r="S1384" i="2" s="1"/>
  <c r="S1385" i="2" a="1"/>
  <c r="S1385" i="2"/>
  <c r="S1386" i="2" a="1"/>
  <c r="S1386" i="2" s="1"/>
  <c r="S1387" i="2" a="1"/>
  <c r="S1387" i="2"/>
  <c r="S1388" i="2" a="1"/>
  <c r="S1388" i="2" s="1"/>
  <c r="S1389" i="2" a="1"/>
  <c r="S1389" i="2" s="1"/>
  <c r="S1390" i="2" a="1"/>
  <c r="S1390" i="2" s="1"/>
  <c r="S1391" i="2" a="1"/>
  <c r="S1391" i="2" s="1"/>
  <c r="S1392" i="2" a="1"/>
  <c r="S1392" i="2" s="1"/>
  <c r="S1393" i="2" a="1"/>
  <c r="S1393" i="2"/>
  <c r="S1394" i="2" a="1"/>
  <c r="S1394" i="2" s="1"/>
  <c r="S1395" i="2" a="1"/>
  <c r="S1395" i="2" s="1"/>
  <c r="S1396" i="2" a="1"/>
  <c r="S1396" i="2" s="1"/>
  <c r="S1397" i="2" a="1"/>
  <c r="S1397" i="2" s="1"/>
  <c r="S1398" i="2" a="1"/>
  <c r="S1398" i="2" s="1"/>
  <c r="S1399" i="2" a="1"/>
  <c r="S1399" i="2" s="1"/>
  <c r="S1400" i="2" a="1"/>
  <c r="S1400" i="2" s="1"/>
  <c r="S1401" i="2" a="1"/>
  <c r="S1401" i="2" s="1"/>
  <c r="S1402" i="2" a="1"/>
  <c r="S1402" i="2" s="1"/>
  <c r="S1403" i="2" a="1"/>
  <c r="S1403" i="2"/>
  <c r="S1404" i="2" a="1"/>
  <c r="S1404" i="2" s="1"/>
  <c r="S1405" i="2" a="1"/>
  <c r="S1405" i="2" s="1"/>
  <c r="S1406" i="2" a="1"/>
  <c r="S1406" i="2" s="1"/>
  <c r="S1407" i="2" a="1"/>
  <c r="S1407" i="2" s="1"/>
  <c r="S1408" i="2" a="1"/>
  <c r="S1408" i="2" s="1"/>
  <c r="S1409" i="2" a="1"/>
  <c r="S1409" i="2"/>
  <c r="S1410" i="2" a="1"/>
  <c r="S1410" i="2" s="1"/>
  <c r="S1411" i="2" a="1"/>
  <c r="S1411" i="2" s="1"/>
  <c r="S1412" i="2" a="1"/>
  <c r="S1412" i="2" s="1"/>
  <c r="S1413" i="2" a="1"/>
  <c r="S1413" i="2" s="1"/>
  <c r="S1414" i="2" a="1"/>
  <c r="S1414" i="2" s="1"/>
  <c r="S1415" i="2" a="1"/>
  <c r="S1415" i="2" s="1"/>
  <c r="S1416" i="2" a="1"/>
  <c r="S1416" i="2" s="1"/>
  <c r="S1417" i="2" a="1"/>
  <c r="S1417" i="2"/>
  <c r="S1418" i="2" a="1"/>
  <c r="S1418" i="2" s="1"/>
  <c r="S1419" i="2" a="1"/>
  <c r="S1419" i="2"/>
  <c r="S1420" i="2" a="1"/>
  <c r="S1420" i="2" s="1"/>
  <c r="S1421" i="2" a="1"/>
  <c r="S1421" i="2" s="1"/>
  <c r="S1422" i="2" a="1"/>
  <c r="S1422" i="2" s="1"/>
  <c r="S1423" i="2" a="1"/>
  <c r="S1423" i="2" s="1"/>
  <c r="S1424" i="2" a="1"/>
  <c r="S1424" i="2" s="1"/>
  <c r="S1425" i="2" a="1"/>
  <c r="S1425" i="2"/>
  <c r="S1426" i="2" a="1"/>
  <c r="S1426" i="2" s="1"/>
  <c r="S1427" i="2" a="1"/>
  <c r="S1427" i="2" s="1"/>
  <c r="S1428" i="2" a="1"/>
  <c r="S1428" i="2" s="1"/>
  <c r="S1429" i="2" a="1"/>
  <c r="S1429" i="2" s="1"/>
  <c r="S1430" i="2" a="1"/>
  <c r="S1430" i="2" s="1"/>
  <c r="S1431" i="2" a="1"/>
  <c r="S1431" i="2" s="1"/>
  <c r="S1432" i="2" a="1"/>
  <c r="S1432" i="2" s="1"/>
  <c r="S1433" i="2" a="1"/>
  <c r="S1433" i="2"/>
  <c r="S1434" i="2" a="1"/>
  <c r="S1434" i="2" s="1"/>
  <c r="S1435" i="2" a="1"/>
  <c r="S1435" i="2"/>
  <c r="S1436" i="2" a="1"/>
  <c r="S1436" i="2" s="1"/>
  <c r="S1437" i="2" a="1"/>
  <c r="S1437" i="2" s="1"/>
  <c r="S1438" i="2" a="1"/>
  <c r="S1438" i="2" s="1"/>
  <c r="S1439" i="2" a="1"/>
  <c r="S1439" i="2" s="1"/>
  <c r="S1440" i="2" a="1"/>
  <c r="S1440" i="2" s="1"/>
  <c r="S1441" i="2" a="1"/>
  <c r="S1441" i="2"/>
  <c r="S1442" i="2" a="1"/>
  <c r="S1442" i="2" s="1"/>
  <c r="S1443" i="2" a="1"/>
  <c r="S1443" i="2" s="1"/>
  <c r="S1444" i="2" a="1"/>
  <c r="S1444" i="2" s="1"/>
  <c r="S1445" i="2" a="1"/>
  <c r="S1445" i="2" s="1"/>
  <c r="S1446" i="2" a="1"/>
  <c r="S1446" i="2" s="1"/>
  <c r="S1447" i="2" a="1"/>
  <c r="S1447" i="2" s="1"/>
  <c r="S1448" i="2" a="1"/>
  <c r="S1448" i="2" s="1"/>
  <c r="S1449" i="2" a="1"/>
  <c r="S1449" i="2" s="1"/>
  <c r="S1450" i="2" a="1"/>
  <c r="S1450" i="2" s="1"/>
  <c r="S1451" i="2" a="1"/>
  <c r="S1451" i="2"/>
  <c r="S1452" i="2" a="1"/>
  <c r="S1452" i="2" s="1"/>
  <c r="S1453" i="2" a="1"/>
  <c r="S1453" i="2" s="1"/>
  <c r="S1454" i="2" a="1"/>
  <c r="S1454" i="2" s="1"/>
  <c r="S1455" i="2" a="1"/>
  <c r="S1455" i="2" s="1"/>
  <c r="S1456" i="2" a="1"/>
  <c r="S1456" i="2" s="1"/>
  <c r="S1457" i="2" a="1"/>
  <c r="S1457" i="2"/>
  <c r="S1458" i="2" a="1"/>
  <c r="S1458" i="2" s="1"/>
  <c r="S1459" i="2" a="1"/>
  <c r="S1459" i="2" s="1"/>
  <c r="S1460" i="2" a="1"/>
  <c r="S1460" i="2" s="1"/>
  <c r="S1461" i="2" a="1"/>
  <c r="S1461" i="2" s="1"/>
  <c r="S1462" i="2" a="1"/>
  <c r="S1462" i="2" s="1"/>
  <c r="S1463" i="2" a="1"/>
  <c r="S1463" i="2" s="1"/>
  <c r="S1464" i="2" a="1"/>
  <c r="S1464" i="2" s="1"/>
  <c r="S1465" i="2" a="1"/>
  <c r="S1465" i="2" s="1"/>
  <c r="S1466" i="2" a="1"/>
  <c r="S1466" i="2" s="1"/>
  <c r="S1467" i="2" a="1"/>
  <c r="S1467" i="2"/>
  <c r="S1468" i="2" a="1"/>
  <c r="S1468" i="2" s="1"/>
  <c r="S1469" i="2" a="1"/>
  <c r="S1469" i="2" s="1"/>
  <c r="S1470" i="2" a="1"/>
  <c r="S1470" i="2" s="1"/>
  <c r="S1471" i="2" a="1"/>
  <c r="S1471" i="2" s="1"/>
  <c r="B12" i="3"/>
  <c r="B11" i="3"/>
  <c r="B9" i="3"/>
  <c r="B4" i="3"/>
  <c r="B3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" i="3"/>
  <c r="P4" i="2"/>
  <c r="P2" i="2"/>
  <c r="P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B13" i="3" l="1"/>
  <c r="B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7F3AE-1F0E-4CD7-BC00-5F2EAB0A27F0}" keepAlive="1" name="Query - IBM-HR-Analyst-employee-Attrition" description="Connection to the 'IBM-HR-Analyst-employee-Attrition' query in the workbook." type="5" refreshedVersion="8" background="1" saveData="1">
    <dbPr connection="Provider=Microsoft.Mashup.OleDb.1;Data Source=$Workbook$;Location=IBM-HR-Analyst-employee-Attrition;Extended Properties=&quot;&quot;" command="SELECT * FROM [IBM-HR-Analyst-employee-Attrition]"/>
  </connection>
  <connection id="2" xr16:uid="{4E0CC20E-884E-4BC0-A0D5-FDB8C20CE2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B595D5D-6C42-44C2-8072-F9EA8E9808BC}" name="WorksheetConnection_HR Attrition project.xlsx!HR_Data" type="102" refreshedVersion="8" minRefreshableVersion="5">
    <extLst>
      <ext xmlns:x15="http://schemas.microsoft.com/office/spreadsheetml/2010/11/main" uri="{DE250136-89BD-433C-8126-D09CA5730AF9}">
        <x15:connection id="HR_Data">
          <x15:rangePr sourceName="_xlcn.WorksheetConnection_HRAttritionproject.xlsxHR_Data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<sst xmlns="http://schemas.openxmlformats.org/spreadsheetml/2006/main" count="8919" uniqueCount="73">
  <si>
    <t>Age</t>
  </si>
  <si>
    <t>Attrition</t>
  </si>
  <si>
    <t>Department</t>
  </si>
  <si>
    <t>Gender</t>
  </si>
  <si>
    <t>Yes</t>
  </si>
  <si>
    <t>Sales</t>
  </si>
  <si>
    <t>Life Sciences</t>
  </si>
  <si>
    <t>Female</t>
  </si>
  <si>
    <t>Sales Executive</t>
  </si>
  <si>
    <t>No</t>
  </si>
  <si>
    <t>Research &amp; Development</t>
  </si>
  <si>
    <t>Male</t>
  </si>
  <si>
    <t>Research Scientist</t>
  </si>
  <si>
    <t>Other</t>
  </si>
  <si>
    <t>Laboratory Technician</t>
  </si>
  <si>
    <t>Medical</t>
  </si>
  <si>
    <t>Manufacturing Director</t>
  </si>
  <si>
    <t>Healthcare Representative</t>
  </si>
  <si>
    <t>Manager</t>
  </si>
  <si>
    <t>Sales Representative</t>
  </si>
  <si>
    <t>Research Director</t>
  </si>
  <si>
    <t>Marketing</t>
  </si>
  <si>
    <t>Technical Degree</t>
  </si>
  <si>
    <t>Human Resources</t>
  </si>
  <si>
    <t>Total Records</t>
  </si>
  <si>
    <t>Total Columns</t>
  </si>
  <si>
    <t>Row Labels</t>
  </si>
  <si>
    <t>Grand Total</t>
  </si>
  <si>
    <t>Dataset Summary</t>
  </si>
  <si>
    <t>Missing Value Audit</t>
  </si>
  <si>
    <t>Data Validation</t>
  </si>
  <si>
    <t>Min Age</t>
  </si>
  <si>
    <t>Min Monthly Income</t>
  </si>
  <si>
    <t>Max Monthly Income</t>
  </si>
  <si>
    <t>Total employees</t>
  </si>
  <si>
    <t>Active Employees</t>
  </si>
  <si>
    <t>Attrition Rate %</t>
  </si>
  <si>
    <t>Column Labels</t>
  </si>
  <si>
    <t>Attrition by Department</t>
  </si>
  <si>
    <t>Attrition by Overtime</t>
  </si>
  <si>
    <t>Attrition by Age Group</t>
  </si>
  <si>
    <t>Senior</t>
  </si>
  <si>
    <t>Young</t>
  </si>
  <si>
    <t>Attrition by Income Band</t>
  </si>
  <si>
    <t>High</t>
  </si>
  <si>
    <t>Low</t>
  </si>
  <si>
    <t>Medium</t>
  </si>
  <si>
    <t>Attrition by Job Satisfaction</t>
  </si>
  <si>
    <t>Employee Number</t>
  </si>
  <si>
    <t>Education Field</t>
  </si>
  <si>
    <t>Job Role</t>
  </si>
  <si>
    <t>Job Satisfaction</t>
  </si>
  <si>
    <t>Monthly Income</t>
  </si>
  <si>
    <t>Over Time</t>
  </si>
  <si>
    <t>Percent Salary Hike</t>
  </si>
  <si>
    <t>Performance Rating</t>
  </si>
  <si>
    <t>Total Working Years</t>
  </si>
  <si>
    <t>Years At Company</t>
  </si>
  <si>
    <t>Validation Flag</t>
  </si>
  <si>
    <t>Age Group</t>
  </si>
  <si>
    <t>Income Band</t>
  </si>
  <si>
    <t>Experience Group</t>
  </si>
  <si>
    <t>Work-Life Balance</t>
  </si>
  <si>
    <t xml:space="preserve"> Duplicate Check</t>
  </si>
  <si>
    <t>Validation Errors Found</t>
  </si>
  <si>
    <t>Max Age</t>
  </si>
  <si>
    <t>Employees Left</t>
  </si>
  <si>
    <t>Count of Employee Number</t>
  </si>
  <si>
    <t>Mid-Age</t>
  </si>
  <si>
    <t>Avg Monthly Income</t>
  </si>
  <si>
    <t>Avg Job Satisfaction</t>
  </si>
  <si>
    <t>Duplicate Employee IDs</t>
  </si>
  <si>
    <t>HR Attrition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</si>
</sst>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FE7"/>
        <bgColor indexed="64"/>
      </patternFill>
    </fill>
    <fill>
      <patternFill patternType="solid">
        <fgColor rgb="FFEEFF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horizontal="right"/>
    </xf>
    <xf numFmtId="10" fontId="0" fillId="0" borderId="0" xfId="1" applyNumberFormat="1" applyFont="1"/>
    <xf numFmtId="3" fontId="0" fillId="0" borderId="0" xfId="0" applyNumberFormat="1"/>
    <xf numFmtId="4" fontId="0" fillId="0" borderId="0" xfId="0" applyNumberFormat="1"/>
    <xf numFmtId="0" fontId="1" fillId="5" borderId="0" xfId="0" applyFont="1" applyFill="1"/>
    <xf numFmtId="0" fontId="3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EEFFD9"/>
      <color rgb="FFFEFFE7"/>
      <color rgb="FFF3FEEC"/>
      <color rgb="FFFFFEDE"/>
      <color rgb="FFFFF3D1"/>
      <color rgb="FFFFE69F"/>
      <color rgb="FFFFF0C5"/>
      <color rgb="FFF5FCDC"/>
      <color rgb="FFF6FFE7"/>
      <color rgb="FFF4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[HR Attrition Analytics Project.xlsx]Pivot_Table!PivotTable5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Pivot_Table!$F$3:$F$4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Pivot_Table!$E$5:$E$7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Pivot_Table!$F$5:$F$7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9-441D-BBC6-AAFC65B15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83073872"/>
        <c:axId val="1047987616"/>
      </c:barChart>
      <c:catAx>
        <c:axId val="98307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87616"/>
        <c:crosses val="autoZero"/>
        <c:auto val="1"/>
        <c:lblAlgn val="ctr"/>
        <c:lblOffset val="100"/>
        <c:noMultiLvlLbl val="0"/>
      </c:catAx>
      <c:valAx>
        <c:axId val="104798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FE7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[HR Attrition Analytics Project.xlsx]Pivot_Table!PivotTable4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Pivot_Table!$B$5:$B$8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A-4F80-A1A2-59F209A0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9549264"/>
        <c:axId val="1049549744"/>
      </c:barChart>
      <c:catAx>
        <c:axId val="10495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49744"/>
        <c:crosses val="autoZero"/>
        <c:auto val="1"/>
        <c:lblAlgn val="ctr"/>
        <c:lblOffset val="100"/>
        <c:noMultiLvlLbl val="0"/>
      </c:catAx>
      <c:valAx>
        <c:axId val="10495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4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FE7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[HR Attrition Analytics Project.xlsx]Pivot_Table!PivotTable6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Attrition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Pivot_Table!$J$3:$J$4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Pivot_Table!$I$5:$I$8</c:f>
              <c:strCache>
                <c:ptCount val="3"/>
                <c:pt idx="0">
                  <c:v>Mid-Age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Pivot_Table!$J$5:$J$8</c:f>
              <c:numCache>
                <c:formatCode>General</c:formatCode>
                <c:ptCount val="3"/>
                <c:pt idx="0">
                  <c:v>103</c:v>
                </c:pt>
                <c:pt idx="1">
                  <c:v>34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C-4B3D-BB7F-E67827A47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3070240"/>
        <c:axId val="1053067840"/>
      </c:barChart>
      <c:catAx>
        <c:axId val="105307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67840"/>
        <c:crosses val="autoZero"/>
        <c:auto val="1"/>
        <c:lblAlgn val="ctr"/>
        <c:lblOffset val="100"/>
        <c:noMultiLvlLbl val="0"/>
      </c:catAx>
      <c:valAx>
        <c:axId val="10530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0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FE7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[HR Attrition Analytics Project.xlsx]Pivot_Table!PivotTable7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Attrition by Income Band</a:t>
            </a:r>
          </a:p>
        </c:rich>
      </c:tx>
      <c:layout>
        <c:manualLayout>
          <c:xMode val="edge"/>
          <c:yMode val="edge"/>
          <c:x val="0.24042173560421731"/>
          <c:y val="0.14477649289971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Pivot_Table!$B$12:$B$13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Pivot_Table!$A$14:$A$17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Pivot_Table!$B$14:$B$17</c:f>
              <c:numCache>
                <c:formatCode>General</c:formatCode>
                <c:ptCount val="3"/>
                <c:pt idx="0">
                  <c:v>25</c:v>
                </c:pt>
                <c:pt idx="1">
                  <c:v>163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E-4C38-ACBE-158DF2E7B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549744"/>
        <c:axId val="1049550224"/>
      </c:barChart>
      <c:catAx>
        <c:axId val="10495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50224"/>
        <c:crosses val="autoZero"/>
        <c:auto val="1"/>
        <c:lblAlgn val="ctr"/>
        <c:lblOffset val="100"/>
        <c:noMultiLvlLbl val="0"/>
      </c:catAx>
      <c:valAx>
        <c:axId val="10495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[HR Attrition Analytics Project.xlsx]Pivot_Table!PivotTable8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Attrition by Job Satisfaction</a:t>
            </a: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Pivot_Table!$F$12:$F$13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Pivot_Table!$E$14:$E$18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Pivot_Table!$F$14:$F$18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5-4DAA-ADAC-C03862652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56394304"/>
        <c:axId val="856392384"/>
      </c:barChart>
      <c:catAx>
        <c:axId val="8563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92384"/>
        <c:crosses val="autoZero"/>
        <c:auto val="1"/>
        <c:lblAlgn val="ctr"/>
        <c:lblOffset val="100"/>
        <c:noMultiLvlLbl val="0"/>
      </c:catAx>
      <c:valAx>
        <c:axId val="8563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9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FE7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1571624</xdr:colOff>
      <xdr:row>10</xdr:row>
      <xdr:rowOff>114300</xdr:rowOff>
    </xdr:from>
    <xdr:to>
      <xdr:col>10</xdr:col>
      <xdr:colOff>581024</xdr:colOff>
      <xdr:row>21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622B4-9B9A-4DD7-8945-5A8308F84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114300</xdr:rowOff>
    </xdr:from>
    <xdr:to>
      <xdr:col>3</xdr:col>
      <xdr:colOff>9525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486ABE-003B-423D-8930-67EAC7745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590549</xdr:colOff>
      <xdr:row>10</xdr:row>
      <xdr:rowOff>114300</xdr:rowOff>
    </xdr:from>
    <xdr:to>
      <xdr:col>18</xdr:col>
      <xdr:colOff>114300</xdr:colOff>
      <xdr:row>21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EE7C65-FB6E-4D79-BA61-905D1280A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1</xdr:row>
      <xdr:rowOff>9525</xdr:rowOff>
    </xdr:from>
    <xdr:to>
      <xdr:col>10</xdr:col>
      <xdr:colOff>581025</xdr:colOff>
      <xdr:row>10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2BCA08-AD51-4091-8A71-0352B2115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571500</xdr:colOff>
      <xdr:row>1</xdr:row>
      <xdr:rowOff>9525</xdr:rowOff>
    </xdr:from>
    <xdr:to>
      <xdr:col>18</xdr:col>
      <xdr:colOff>114300</xdr:colOff>
      <xdr:row>10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49D328-A19C-453A-AB58-291A46A8C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" refreshedDate="46204.010095717589" backgroundQuery="1" createdVersion="8" refreshedVersion="8" minRefreshableVersion="3" recordCount="0" supportSubquery="1" supportAdvancedDrill="1" xr:uid="{A7087D37-798D-4A79-BF50-903CAF46EC3A}">
  <cacheSource type="external" connectionId="2"/>
  <cacheFields count="3">
    <cacheField name="[HR_Data].[Department].[Department]" caption="Department" numFmtId="0" hierarchy="3" level="1">
      <sharedItems count="3">
        <s v="Human Resources"/>
        <s v="Research &amp; Development"/>
        <s v="Sales"/>
      </sharedItems>
    </cacheField>
    <cacheField name="[HR_Data].[Attrition].[Attrition]" caption="Attrition" numFmtId="0" hierarchy="2" level="1">
      <sharedItems count="1">
        <s v="Yes"/>
      </sharedItems>
    </cacheField>
    <cacheField name="[Measures].[Count of Employee Number]" caption="Count of Employee Number" numFmtId="0" hierarchy="23" level="32767"/>
  </cacheFields>
  <cacheHierarchies count="24">
    <cacheHierarchy uniqueName="[HR_Data].[Employee Number]" caption="Employee Number" attribute="1" defaultMemberUniqueName="[HR_Data].[Employee Number].[All]" allUniqueName="[HR_Data].[Employee Number].[All]" dimensionUniqueName="[HR_Data]" displayFolder="" count="0" memberValueDatatype="2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1"/>
      </fieldsUsage>
    </cacheHierarchy>
    <cacheHierarchy uniqueName="[HR_Data].[Department]" caption="Department" attribute="1" defaultMemberUniqueName="[HR_Data].[Department].[All]" allUniqueName="[HR_Data].[Department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Education Field]" caption="Education Field" attribute="1" defaultMemberUniqueName="[HR_Data].[Education Field].[All]" allUniqueName="[HR_Data].[Education Field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Job Role]" caption="Job Role" attribute="1" defaultMemberUniqueName="[HR_Data].[Job Role].[All]" allUniqueName="[HR_Data].[Job Role].[All]" dimensionUniqueName="[HR_Data]" displayFolder="" count="0" memberValueDatatype="130" unbalanced="0"/>
    <cacheHierarchy uniqueName="[HR_Data].[Job Satisfaction]" caption="Job Satisfaction" attribute="1" defaultMemberUniqueName="[HR_Data].[Job Satisfaction].[All]" allUniqueName="[HR_Data].[Job Satisfaction].[All]" dimensionUniqueName="[HR_Data]" displayFolder="" count="0" memberValueDatatype="20" unbalanced="0"/>
    <cacheHierarchy uniqueName="[HR_Data].[Monthly Income]" caption="Monthly Income" attribute="1" defaultMemberUniqueName="[HR_Data].[Monthly Income].[All]" allUniqueName="[HR_Data].[Monthly Income].[All]" dimensionUniqueName="[HR_Data]" displayFolder="" count="0" memberValueDatatype="20" unbalanced="0"/>
    <cacheHierarchy uniqueName="[HR_Data].[Over Time]" caption="Over Time" attribute="1" defaultMemberUniqueName="[HR_Data].[Over Time].[All]" allUniqueName="[HR_Data].[Over Time].[All]" dimensionUniqueName="[HR_Data]" displayFolder="" count="0" memberValueDatatype="130" unbalanced="0"/>
    <cacheHierarchy uniqueName="[HR_Data].[Percent Salary Hike]" caption="Percent Salary Hike" attribute="1" defaultMemberUniqueName="[HR_Data].[Percent Salary Hike].[All]" allUniqueName="[HR_Data].[Percent Salary Hike].[All]" dimensionUniqueName="[HR_Data]" displayFolder="" count="0" memberValueDatatype="20" unbalanced="0"/>
    <cacheHierarchy uniqueName="[HR_Data].[Performance Rating]" caption="Performance Rating" attribute="1" defaultMemberUniqueName="[HR_Data].[Performance Rating].[All]" allUniqueName="[HR_Data].[Performance Rating].[All]" dimensionUniqueName="[HR_Data]" displayFolder="" count="0" memberValueDatatype="20" unbalanced="0"/>
    <cacheHierarchy uniqueName="[HR_Data].[Total Working Years]" caption="Total Working Years" attribute="1" defaultMemberUniqueName="[HR_Data].[Total Working Years].[All]" allUniqueName="[HR_Data].[Total Working Years].[All]" dimensionUniqueName="[HR_Data]" displayFolder="" count="0" memberValueDatatype="20" unbalanced="0"/>
    <cacheHierarchy uniqueName="[HR_Data].[Work-Life Balance]" caption="Work-Life Balance" attribute="1" defaultMemberUniqueName="[HR_Data].[Work-Life Balance].[All]" allUniqueName="[HR_Data].[Work-Life Balance].[All]" dimensionUniqueName="[HR_Data]" displayFolder="" count="0" memberValueDatatype="20" unbalanced="0"/>
    <cacheHierarchy uniqueName="[HR_Data].[Years At Company]" caption="Years At Company" attribute="1" defaultMemberUniqueName="[HR_Data].[Years At Company].[All]" allUniqueName="[HR_Data].[Years At Company].[All]" dimensionUniqueName="[HR_Data]" displayFolder="" count="0" memberValueDatatype="20" unbalanced="0"/>
    <cacheHierarchy uniqueName="[HR_Data].[Duplicate Check]" caption="Duplicate Check" attribute="1" defaultMemberUniqueName="[HR_Data].[Duplicate Check].[All]" allUniqueName="[HR_Data].[Duplicate Check].[All]" dimensionUniqueName="[HR_Data]" displayFolder="" count="0" memberValueDatatype="20" unbalanced="0"/>
    <cacheHierarchy uniqueName="[HR_Data].[Validation Flag]" caption="Validation Flag" attribute="1" defaultMemberUniqueName="[HR_Data].[Validation Flag].[All]" allUniqueName="[HR_Data].[Validation Flag].[All]" dimensionUniqueName="[HR_Data]" displayFolder="" count="0" memberValueDatatype="130" unbalanced="0"/>
    <cacheHierarchy uniqueName="[HR_Data].[Age Group]" caption="Age Group" attribute="1" defaultMemberUniqueName="[HR_Data].[Age Group].[All]" allUniqueName="[HR_Data].[Age Group].[All]" dimensionUniqueName="[HR_Data]" displayFolder="" count="0" memberValueDatatype="130" unbalanced="0"/>
    <cacheHierarchy uniqueName="[HR_Data].[Income Band]" caption="Income Band" attribute="1" defaultMemberUniqueName="[HR_Data].[Income Band].[All]" allUniqueName="[HR_Data].[Income Band].[All]" dimensionUniqueName="[HR_Data]" displayFolder="" count="0" memberValueDatatype="130" unbalanced="0"/>
    <cacheHierarchy uniqueName="[HR_Data].[Experience Group]" caption="Experience Group" attribute="1" defaultMemberUniqueName="[HR_Data].[Experience Group].[All]" allUniqueName="[HR_Data].[Experience 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 Number]" caption="Sum of Employee Number" measure="1" displayFolder="" measureGroup="HR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Number]" caption="Count of Employee 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" refreshedDate="46204.010767708336" backgroundQuery="1" createdVersion="8" refreshedVersion="8" minRefreshableVersion="3" recordCount="0" supportSubquery="1" supportAdvancedDrill="1" xr:uid="{F80F5007-3C84-41E2-961A-33CD71DAD6E1}">
  <cacheSource type="external" connectionId="2"/>
  <cacheFields count="3">
    <cacheField name="[HR_Data].[Attrition].[Attrition]" caption="Attrition" numFmtId="0" hierarchy="2" level="1">
      <sharedItems count="1">
        <s v="Yes"/>
      </sharedItems>
    </cacheField>
    <cacheField name="[HR_Data].[Over Time].[Over Time]" caption="Over Time" numFmtId="0" hierarchy="9" level="1">
      <sharedItems count="2">
        <s v="No"/>
        <s v="Yes"/>
      </sharedItems>
    </cacheField>
    <cacheField name="[Measures].[Count of Employee Number]" caption="Count of Employee Number" numFmtId="0" hierarchy="23" level="32767"/>
  </cacheFields>
  <cacheHierarchies count="24">
    <cacheHierarchy uniqueName="[HR_Data].[Employee Number]" caption="Employee Number" attribute="1" defaultMemberUniqueName="[HR_Data].[Employee Number].[All]" allUniqueName="[HR_Data].[Employee Number].[All]" dimensionUniqueName="[HR_Data]" displayFolder="" count="0" memberValueDatatype="2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Education Field]" caption="Education Field" attribute="1" defaultMemberUniqueName="[HR_Data].[Education Field].[All]" allUniqueName="[HR_Data].[Education Field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Job Role]" caption="Job Role" attribute="1" defaultMemberUniqueName="[HR_Data].[Job Role].[All]" allUniqueName="[HR_Data].[Job Role].[All]" dimensionUniqueName="[HR_Data]" displayFolder="" count="0" memberValueDatatype="130" unbalanced="0"/>
    <cacheHierarchy uniqueName="[HR_Data].[Job Satisfaction]" caption="Job Satisfaction" attribute="1" defaultMemberUniqueName="[HR_Data].[Job Satisfaction].[All]" allUniqueName="[HR_Data].[Job Satisfaction].[All]" dimensionUniqueName="[HR_Data]" displayFolder="" count="0" memberValueDatatype="20" unbalanced="0"/>
    <cacheHierarchy uniqueName="[HR_Data].[Monthly Income]" caption="Monthly Income" attribute="1" defaultMemberUniqueName="[HR_Data].[Monthly Income].[All]" allUniqueName="[HR_Data].[Monthly Income].[All]" dimensionUniqueName="[HR_Data]" displayFolder="" count="0" memberValueDatatype="20" unbalanced="0"/>
    <cacheHierarchy uniqueName="[HR_Data].[Over Time]" caption="Over Time" attribute="1" defaultMemberUniqueName="[HR_Data].[Over Time].[All]" allUniqueName="[HR_Data].[Over Time].[All]" dimensionUniqueName="[HR_Data]" displayFolder="" count="2" memberValueDatatype="130" unbalanced="0">
      <fieldsUsage count="2">
        <fieldUsage x="-1"/>
        <fieldUsage x="1"/>
      </fieldsUsage>
    </cacheHierarchy>
    <cacheHierarchy uniqueName="[HR_Data].[Percent Salary Hike]" caption="Percent Salary Hike" attribute="1" defaultMemberUniqueName="[HR_Data].[Percent Salary Hike].[All]" allUniqueName="[HR_Data].[Percent Salary Hike].[All]" dimensionUniqueName="[HR_Data]" displayFolder="" count="0" memberValueDatatype="20" unbalanced="0"/>
    <cacheHierarchy uniqueName="[HR_Data].[Performance Rating]" caption="Performance Rating" attribute="1" defaultMemberUniqueName="[HR_Data].[Performance Rating].[All]" allUniqueName="[HR_Data].[Performance Rating].[All]" dimensionUniqueName="[HR_Data]" displayFolder="" count="0" memberValueDatatype="20" unbalanced="0"/>
    <cacheHierarchy uniqueName="[HR_Data].[Total Working Years]" caption="Total Working Years" attribute="1" defaultMemberUniqueName="[HR_Data].[Total Working Years].[All]" allUniqueName="[HR_Data].[Total Working Years].[All]" dimensionUniqueName="[HR_Data]" displayFolder="" count="0" memberValueDatatype="20" unbalanced="0"/>
    <cacheHierarchy uniqueName="[HR_Data].[Work-Life Balance]" caption="Work-Life Balance" attribute="1" defaultMemberUniqueName="[HR_Data].[Work-Life Balance].[All]" allUniqueName="[HR_Data].[Work-Life Balance].[All]" dimensionUniqueName="[HR_Data]" displayFolder="" count="0" memberValueDatatype="20" unbalanced="0"/>
    <cacheHierarchy uniqueName="[HR_Data].[Years At Company]" caption="Years At Company" attribute="1" defaultMemberUniqueName="[HR_Data].[Years At Company].[All]" allUniqueName="[HR_Data].[Years At Company].[All]" dimensionUniqueName="[HR_Data]" displayFolder="" count="0" memberValueDatatype="20" unbalanced="0"/>
    <cacheHierarchy uniqueName="[HR_Data].[Duplicate Check]" caption="Duplicate Check" attribute="1" defaultMemberUniqueName="[HR_Data].[Duplicate Check].[All]" allUniqueName="[HR_Data].[Duplicate Check].[All]" dimensionUniqueName="[HR_Data]" displayFolder="" count="0" memberValueDatatype="20" unbalanced="0"/>
    <cacheHierarchy uniqueName="[HR_Data].[Validation Flag]" caption="Validation Flag" attribute="1" defaultMemberUniqueName="[HR_Data].[Validation Flag].[All]" allUniqueName="[HR_Data].[Validation Flag].[All]" dimensionUniqueName="[HR_Data]" displayFolder="" count="0" memberValueDatatype="130" unbalanced="0"/>
    <cacheHierarchy uniqueName="[HR_Data].[Age Group]" caption="Age Group" attribute="1" defaultMemberUniqueName="[HR_Data].[Age Group].[All]" allUniqueName="[HR_Data].[Age Group].[All]" dimensionUniqueName="[HR_Data]" displayFolder="" count="0" memberValueDatatype="130" unbalanced="0"/>
    <cacheHierarchy uniqueName="[HR_Data].[Income Band]" caption="Income Band" attribute="1" defaultMemberUniqueName="[HR_Data].[Income Band].[All]" allUniqueName="[HR_Data].[Income Band].[All]" dimensionUniqueName="[HR_Data]" displayFolder="" count="0" memberValueDatatype="130" unbalanced="0"/>
    <cacheHierarchy uniqueName="[HR_Data].[Experience Group]" caption="Experience Group" attribute="1" defaultMemberUniqueName="[HR_Data].[Experience Group].[All]" allUniqueName="[HR_Data].[Experience 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 Number]" caption="Sum of Employee Number" measure="1" displayFolder="" measureGroup="HR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Number]" caption="Count of Employee 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" refreshedDate="46204.011136342589" backgroundQuery="1" createdVersion="8" refreshedVersion="8" minRefreshableVersion="3" recordCount="0" supportSubquery="1" supportAdvancedDrill="1" xr:uid="{5A6CE7BC-1BB6-4CFA-93BD-E7EFB6C43460}">
  <cacheSource type="external" connectionId="2"/>
  <cacheFields count="3">
    <cacheField name="[HR_Data].[Attrition].[Attrition]" caption="Attrition" numFmtId="0" hierarchy="2" level="1">
      <sharedItems count="1">
        <s v="Yes"/>
      </sharedItems>
    </cacheField>
    <cacheField name="[Measures].[Count of Employee Number]" caption="Count of Employee Number" numFmtId="0" hierarchy="23" level="32767"/>
    <cacheField name="[HR_Data].[Age Group].[Age Group]" caption="Age Group" numFmtId="0" hierarchy="17" level="1">
      <sharedItems count="3">
        <s v="Mid-Age"/>
        <s v="Senior"/>
        <s v="Young"/>
      </sharedItems>
    </cacheField>
  </cacheFields>
  <cacheHierarchies count="24">
    <cacheHierarchy uniqueName="[HR_Data].[Employee Number]" caption="Employee Number" attribute="1" defaultMemberUniqueName="[HR_Data].[Employee Number].[All]" allUniqueName="[HR_Data].[Employee Number].[All]" dimensionUniqueName="[HR_Data]" displayFolder="" count="0" memberValueDatatype="2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Education Field]" caption="Education Field" attribute="1" defaultMemberUniqueName="[HR_Data].[Education Field].[All]" allUniqueName="[HR_Data].[Education Field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Job Role]" caption="Job Role" attribute="1" defaultMemberUniqueName="[HR_Data].[Job Role].[All]" allUniqueName="[HR_Data].[Job Role].[All]" dimensionUniqueName="[HR_Data]" displayFolder="" count="0" memberValueDatatype="130" unbalanced="0"/>
    <cacheHierarchy uniqueName="[HR_Data].[Job Satisfaction]" caption="Job Satisfaction" attribute="1" defaultMemberUniqueName="[HR_Data].[Job Satisfaction].[All]" allUniqueName="[HR_Data].[Job Satisfaction].[All]" dimensionUniqueName="[HR_Data]" displayFolder="" count="0" memberValueDatatype="20" unbalanced="0"/>
    <cacheHierarchy uniqueName="[HR_Data].[Monthly Income]" caption="Monthly Income" attribute="1" defaultMemberUniqueName="[HR_Data].[Monthly Income].[All]" allUniqueName="[HR_Data].[Monthly Income].[All]" dimensionUniqueName="[HR_Data]" displayFolder="" count="0" memberValueDatatype="20" unbalanced="0"/>
    <cacheHierarchy uniqueName="[HR_Data].[Over Time]" caption="Over Time" attribute="1" defaultMemberUniqueName="[HR_Data].[Over Time].[All]" allUniqueName="[HR_Data].[Over Time].[All]" dimensionUniqueName="[HR_Data]" displayFolder="" count="0" memberValueDatatype="130" unbalanced="0"/>
    <cacheHierarchy uniqueName="[HR_Data].[Percent Salary Hike]" caption="Percent Salary Hike" attribute="1" defaultMemberUniqueName="[HR_Data].[Percent Salary Hike].[All]" allUniqueName="[HR_Data].[Percent Salary Hike].[All]" dimensionUniqueName="[HR_Data]" displayFolder="" count="0" memberValueDatatype="20" unbalanced="0"/>
    <cacheHierarchy uniqueName="[HR_Data].[Performance Rating]" caption="Performance Rating" attribute="1" defaultMemberUniqueName="[HR_Data].[Performance Rating].[All]" allUniqueName="[HR_Data].[Performance Rating].[All]" dimensionUniqueName="[HR_Data]" displayFolder="" count="0" memberValueDatatype="20" unbalanced="0"/>
    <cacheHierarchy uniqueName="[HR_Data].[Total Working Years]" caption="Total Working Years" attribute="1" defaultMemberUniqueName="[HR_Data].[Total Working Years].[All]" allUniqueName="[HR_Data].[Total Working Years].[All]" dimensionUniqueName="[HR_Data]" displayFolder="" count="0" memberValueDatatype="20" unbalanced="0"/>
    <cacheHierarchy uniqueName="[HR_Data].[Work-Life Balance]" caption="Work-Life Balance" attribute="1" defaultMemberUniqueName="[HR_Data].[Work-Life Balance].[All]" allUniqueName="[HR_Data].[Work-Life Balance].[All]" dimensionUniqueName="[HR_Data]" displayFolder="" count="0" memberValueDatatype="20" unbalanced="0"/>
    <cacheHierarchy uniqueName="[HR_Data].[Years At Company]" caption="Years At Company" attribute="1" defaultMemberUniqueName="[HR_Data].[Years At Company].[All]" allUniqueName="[HR_Data].[Years At Company].[All]" dimensionUniqueName="[HR_Data]" displayFolder="" count="0" memberValueDatatype="20" unbalanced="0"/>
    <cacheHierarchy uniqueName="[HR_Data].[Duplicate Check]" caption="Duplicate Check" attribute="1" defaultMemberUniqueName="[HR_Data].[Duplicate Check].[All]" allUniqueName="[HR_Data].[Duplicate Check].[All]" dimensionUniqueName="[HR_Data]" displayFolder="" count="0" memberValueDatatype="20" unbalanced="0"/>
    <cacheHierarchy uniqueName="[HR_Data].[Validation Flag]" caption="Validation Flag" attribute="1" defaultMemberUniqueName="[HR_Data].[Validation Flag].[All]" allUniqueName="[HR_Data].[Validation Flag].[All]" dimensionUniqueName="[HR_Data]" displayFolder="" count="0" memberValueDatatype="130" unbalanced="0"/>
    <cacheHierarchy uniqueName="[HR_Data].[Age Group]" caption="Age Group" attribute="1" defaultMemberUniqueName="[HR_Data].[Age Group].[All]" allUniqueName="[HR_Data].[Age Group].[All]" dimensionUniqueName="[HR_Data]" displayFolder="" count="2" memberValueDatatype="130" unbalanced="0">
      <fieldsUsage count="2">
        <fieldUsage x="-1"/>
        <fieldUsage x="2"/>
      </fieldsUsage>
    </cacheHierarchy>
    <cacheHierarchy uniqueName="[HR_Data].[Income Band]" caption="Income Band" attribute="1" defaultMemberUniqueName="[HR_Data].[Income Band].[All]" allUniqueName="[HR_Data].[Income Band].[All]" dimensionUniqueName="[HR_Data]" displayFolder="" count="0" memberValueDatatype="130" unbalanced="0"/>
    <cacheHierarchy uniqueName="[HR_Data].[Experience Group]" caption="Experience Group" attribute="1" defaultMemberUniqueName="[HR_Data].[Experience Group].[All]" allUniqueName="[HR_Data].[Experience 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 Number]" caption="Sum of Employee Number" measure="1" displayFolder="" measureGroup="HR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Number]" caption="Count of Employee Number" measure="1" displayFolder="" measureGroup="H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" refreshedDate="46204.011710416664" backgroundQuery="1" createdVersion="8" refreshedVersion="8" minRefreshableVersion="3" recordCount="0" supportSubquery="1" supportAdvancedDrill="1" xr:uid="{6A7AA213-395C-41EB-98C1-92D062E77DDF}">
  <cacheSource type="external" connectionId="2"/>
  <cacheFields count="3">
    <cacheField name="[HR_Data].[Attrition].[Attrition]" caption="Attrition" numFmtId="0" hierarchy="2" level="1">
      <sharedItems count="1">
        <s v="Yes"/>
      </sharedItems>
    </cacheField>
    <cacheField name="[HR_Data].[Income Band].[Income Band]" caption="Income Band" numFmtId="0" hierarchy="18" level="1">
      <sharedItems count="3">
        <s v="High"/>
        <s v="Low"/>
        <s v="Medium"/>
      </sharedItems>
    </cacheField>
    <cacheField name="[Measures].[Count of Employee Number]" caption="Count of Employee Number" numFmtId="0" hierarchy="23" level="32767"/>
  </cacheFields>
  <cacheHierarchies count="24">
    <cacheHierarchy uniqueName="[HR_Data].[Employee Number]" caption="Employee Number" attribute="1" defaultMemberUniqueName="[HR_Data].[Employee Number].[All]" allUniqueName="[HR_Data].[Employee Number].[All]" dimensionUniqueName="[HR_Data]" displayFolder="" count="0" memberValueDatatype="2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Education Field]" caption="Education Field" attribute="1" defaultMemberUniqueName="[HR_Data].[Education Field].[All]" allUniqueName="[HR_Data].[Education Field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Job Role]" caption="Job Role" attribute="1" defaultMemberUniqueName="[HR_Data].[Job Role].[All]" allUniqueName="[HR_Data].[Job Role].[All]" dimensionUniqueName="[HR_Data]" displayFolder="" count="0" memberValueDatatype="130" unbalanced="0"/>
    <cacheHierarchy uniqueName="[HR_Data].[Job Satisfaction]" caption="Job Satisfaction" attribute="1" defaultMemberUniqueName="[HR_Data].[Job Satisfaction].[All]" allUniqueName="[HR_Data].[Job Satisfaction].[All]" dimensionUniqueName="[HR_Data]" displayFolder="" count="0" memberValueDatatype="20" unbalanced="0"/>
    <cacheHierarchy uniqueName="[HR_Data].[Monthly Income]" caption="Monthly Income" attribute="1" defaultMemberUniqueName="[HR_Data].[Monthly Income].[All]" allUniqueName="[HR_Data].[Monthly Income].[All]" dimensionUniqueName="[HR_Data]" displayFolder="" count="0" memberValueDatatype="20" unbalanced="0"/>
    <cacheHierarchy uniqueName="[HR_Data].[Over Time]" caption="Over Time" attribute="1" defaultMemberUniqueName="[HR_Data].[Over Time].[All]" allUniqueName="[HR_Data].[Over Time].[All]" dimensionUniqueName="[HR_Data]" displayFolder="" count="0" memberValueDatatype="130" unbalanced="0"/>
    <cacheHierarchy uniqueName="[HR_Data].[Percent Salary Hike]" caption="Percent Salary Hike" attribute="1" defaultMemberUniqueName="[HR_Data].[Percent Salary Hike].[All]" allUniqueName="[HR_Data].[Percent Salary Hike].[All]" dimensionUniqueName="[HR_Data]" displayFolder="" count="0" memberValueDatatype="20" unbalanced="0"/>
    <cacheHierarchy uniqueName="[HR_Data].[Performance Rating]" caption="Performance Rating" attribute="1" defaultMemberUniqueName="[HR_Data].[Performance Rating].[All]" allUniqueName="[HR_Data].[Performance Rating].[All]" dimensionUniqueName="[HR_Data]" displayFolder="" count="0" memberValueDatatype="20" unbalanced="0"/>
    <cacheHierarchy uniqueName="[HR_Data].[Total Working Years]" caption="Total Working Years" attribute="1" defaultMemberUniqueName="[HR_Data].[Total Working Years].[All]" allUniqueName="[HR_Data].[Total Working Years].[All]" dimensionUniqueName="[HR_Data]" displayFolder="" count="0" memberValueDatatype="20" unbalanced="0"/>
    <cacheHierarchy uniqueName="[HR_Data].[Work-Life Balance]" caption="Work-Life Balance" attribute="1" defaultMemberUniqueName="[HR_Data].[Work-Life Balance].[All]" allUniqueName="[HR_Data].[Work-Life Balance].[All]" dimensionUniqueName="[HR_Data]" displayFolder="" count="0" memberValueDatatype="20" unbalanced="0"/>
    <cacheHierarchy uniqueName="[HR_Data].[Years At Company]" caption="Years At Company" attribute="1" defaultMemberUniqueName="[HR_Data].[Years At Company].[All]" allUniqueName="[HR_Data].[Years At Company].[All]" dimensionUniqueName="[HR_Data]" displayFolder="" count="0" memberValueDatatype="20" unbalanced="0"/>
    <cacheHierarchy uniqueName="[HR_Data].[Duplicate Check]" caption="Duplicate Check" attribute="1" defaultMemberUniqueName="[HR_Data].[Duplicate Check].[All]" allUniqueName="[HR_Data].[Duplicate Check].[All]" dimensionUniqueName="[HR_Data]" displayFolder="" count="0" memberValueDatatype="20" unbalanced="0"/>
    <cacheHierarchy uniqueName="[HR_Data].[Validation Flag]" caption="Validation Flag" attribute="1" defaultMemberUniqueName="[HR_Data].[Validation Flag].[All]" allUniqueName="[HR_Data].[Validation Flag].[All]" dimensionUniqueName="[HR_Data]" displayFolder="" count="0" memberValueDatatype="130" unbalanced="0"/>
    <cacheHierarchy uniqueName="[HR_Data].[Age Group]" caption="Age Group" attribute="1" defaultMemberUniqueName="[HR_Data].[Age Group].[All]" allUniqueName="[HR_Data].[Age Group].[All]" dimensionUniqueName="[HR_Data]" displayFolder="" count="0" memberValueDatatype="130" unbalanced="0"/>
    <cacheHierarchy uniqueName="[HR_Data].[Income Band]" caption="Income Band" attribute="1" defaultMemberUniqueName="[HR_Data].[Income Band].[All]" allUniqueName="[HR_Data].[Income Band].[All]" dimensionUniqueName="[HR_Data]" displayFolder="" count="2" memberValueDatatype="130" unbalanced="0">
      <fieldsUsage count="2">
        <fieldUsage x="-1"/>
        <fieldUsage x="1"/>
      </fieldsUsage>
    </cacheHierarchy>
    <cacheHierarchy uniqueName="[HR_Data].[Experience Group]" caption="Experience Group" attribute="1" defaultMemberUniqueName="[HR_Data].[Experience Group].[All]" allUniqueName="[HR_Data].[Experience 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 Number]" caption="Sum of Employee Number" measure="1" displayFolder="" measureGroup="HR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Number]" caption="Count of Employee Number" measure="1" displayFolder="" measureGroup="HR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weta" refreshedDate="46204.012276157409" backgroundQuery="1" createdVersion="8" refreshedVersion="8" minRefreshableVersion="3" recordCount="0" supportSubquery="1" supportAdvancedDrill="1" xr:uid="{BEE60FA9-24B0-4DF5-A208-4B3C163F2A71}">
  <cacheSource type="external" connectionId="2"/>
  <cacheFields count="3">
    <cacheField name="[HR_Data].[Attrition].[Attrition]" caption="Attrition" numFmtId="0" hierarchy="2" level="1">
      <sharedItems count="1">
        <s v="Yes"/>
      </sharedItems>
    </cacheField>
    <cacheField name="[Measures].[Count of Employee Number]" caption="Count of Employee Number" numFmtId="0" hierarchy="23" level="32767"/>
    <cacheField name="[HR_Data].[Job Satisfaction].[Job Satisfaction]" caption="Job Satisfaction" numFmtId="0" hierarchy="7" level="1">
      <sharedItems containsSemiMixedTypes="0" containsString="0" containsNumber="1" containsInteger="1" minValue="1" maxValue="4" count="4"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HR_Data].[Job Satisfaction].&amp;[1]"/>
            <x15:cachedUniqueName index="1" name="[HR_Data].[Job Satisfaction].&amp;[2]"/>
            <x15:cachedUniqueName index="2" name="[HR_Data].[Job Satisfaction].&amp;[3]"/>
            <x15:cachedUniqueName index="3" name="[HR_Data].[Job Satisfaction].&amp;[4]"/>
          </x15:cachedUniqueNames>
        </ext>
      </extLst>
    </cacheField>
  </cacheFields>
  <cacheHierarchies count="24">
    <cacheHierarchy uniqueName="[HR_Data].[Employee Number]" caption="Employee Number" attribute="1" defaultMemberUniqueName="[HR_Data].[Employee Number].[All]" allUniqueName="[HR_Data].[Employee Number].[All]" dimensionUniqueName="[HR_Data]" displayFolder="" count="0" memberValueDatatype="2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Attrition]" caption="Attrition" attribute="1" defaultMemberUniqueName="[HR_Data].[Attrition].[All]" allUniqueName="[HR_Data].[Attrition].[All]" dimensionUniqueName="[HR_Data]" displayFolder="" count="2" memberValueDatatype="130" unbalanced="0">
      <fieldsUsage count="2">
        <fieldUsage x="-1"/>
        <fieldUsage x="0"/>
      </fieldsUsage>
    </cacheHierarchy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Education Field]" caption="Education Field" attribute="1" defaultMemberUniqueName="[HR_Data].[Education Field].[All]" allUniqueName="[HR_Data].[Education Field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Job Role]" caption="Job Role" attribute="1" defaultMemberUniqueName="[HR_Data].[Job Role].[All]" allUniqueName="[HR_Data].[Job Role].[All]" dimensionUniqueName="[HR_Data]" displayFolder="" count="0" memberValueDatatype="130" unbalanced="0"/>
    <cacheHierarchy uniqueName="[HR_Data].[Job Satisfaction]" caption="Job Satisfaction" attribute="1" defaultMemberUniqueName="[HR_Data].[Job Satisfaction].[All]" allUniqueName="[HR_Data].[Job Satisfaction].[All]" dimensionUniqueName="[HR_Data]" displayFolder="" count="2" memberValueDatatype="20" unbalanced="0">
      <fieldsUsage count="2">
        <fieldUsage x="-1"/>
        <fieldUsage x="2"/>
      </fieldsUsage>
    </cacheHierarchy>
    <cacheHierarchy uniqueName="[HR_Data].[Monthly Income]" caption="Monthly Income" attribute="1" defaultMemberUniqueName="[HR_Data].[Monthly Income].[All]" allUniqueName="[HR_Data].[Monthly Income].[All]" dimensionUniqueName="[HR_Data]" displayFolder="" count="0" memberValueDatatype="20" unbalanced="0"/>
    <cacheHierarchy uniqueName="[HR_Data].[Over Time]" caption="Over Time" attribute="1" defaultMemberUniqueName="[HR_Data].[Over Time].[All]" allUniqueName="[HR_Data].[Over Time].[All]" dimensionUniqueName="[HR_Data]" displayFolder="" count="0" memberValueDatatype="130" unbalanced="0"/>
    <cacheHierarchy uniqueName="[HR_Data].[Percent Salary Hike]" caption="Percent Salary Hike" attribute="1" defaultMemberUniqueName="[HR_Data].[Percent Salary Hike].[All]" allUniqueName="[HR_Data].[Percent Salary Hike].[All]" dimensionUniqueName="[HR_Data]" displayFolder="" count="0" memberValueDatatype="20" unbalanced="0"/>
    <cacheHierarchy uniqueName="[HR_Data].[Performance Rating]" caption="Performance Rating" attribute="1" defaultMemberUniqueName="[HR_Data].[Performance Rating].[All]" allUniqueName="[HR_Data].[Performance Rating].[All]" dimensionUniqueName="[HR_Data]" displayFolder="" count="0" memberValueDatatype="20" unbalanced="0"/>
    <cacheHierarchy uniqueName="[HR_Data].[Total Working Years]" caption="Total Working Years" attribute="1" defaultMemberUniqueName="[HR_Data].[Total Working Years].[All]" allUniqueName="[HR_Data].[Total Working Years].[All]" dimensionUniqueName="[HR_Data]" displayFolder="" count="0" memberValueDatatype="20" unbalanced="0"/>
    <cacheHierarchy uniqueName="[HR_Data].[Work-Life Balance]" caption="Work-Life Balance" attribute="1" defaultMemberUniqueName="[HR_Data].[Work-Life Balance].[All]" allUniqueName="[HR_Data].[Work-Life Balance].[All]" dimensionUniqueName="[HR_Data]" displayFolder="" count="0" memberValueDatatype="20" unbalanced="0"/>
    <cacheHierarchy uniqueName="[HR_Data].[Years At Company]" caption="Years At Company" attribute="1" defaultMemberUniqueName="[HR_Data].[Years At Company].[All]" allUniqueName="[HR_Data].[Years At Company].[All]" dimensionUniqueName="[HR_Data]" displayFolder="" count="0" memberValueDatatype="20" unbalanced="0"/>
    <cacheHierarchy uniqueName="[HR_Data].[Duplicate Check]" caption="Duplicate Check" attribute="1" defaultMemberUniqueName="[HR_Data].[Duplicate Check].[All]" allUniqueName="[HR_Data].[Duplicate Check].[All]" dimensionUniqueName="[HR_Data]" displayFolder="" count="0" memberValueDatatype="20" unbalanced="0"/>
    <cacheHierarchy uniqueName="[HR_Data].[Validation Flag]" caption="Validation Flag" attribute="1" defaultMemberUniqueName="[HR_Data].[Validation Flag].[All]" allUniqueName="[HR_Data].[Validation Flag].[All]" dimensionUniqueName="[HR_Data]" displayFolder="" count="0" memberValueDatatype="130" unbalanced="0"/>
    <cacheHierarchy uniqueName="[HR_Data].[Age Group]" caption="Age Group" attribute="1" defaultMemberUniqueName="[HR_Data].[Age Group].[All]" allUniqueName="[HR_Data].[Age Group].[All]" dimensionUniqueName="[HR_Data]" displayFolder="" count="0" memberValueDatatype="130" unbalanced="0"/>
    <cacheHierarchy uniqueName="[HR_Data].[Income Band]" caption="Income Band" attribute="1" defaultMemberUniqueName="[HR_Data].[Income Band].[All]" allUniqueName="[HR_Data].[Income Band].[All]" dimensionUniqueName="[HR_Data]" displayFolder="" count="0" memberValueDatatype="130" unbalanced="0"/>
    <cacheHierarchy uniqueName="[HR_Data].[Experience Group]" caption="Experience Group" attribute="1" defaultMemberUniqueName="[HR_Data].[Experience Group].[All]" allUniqueName="[HR_Data].[Experience Group].[All]" dimensionUniqueName="[HR_Data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No measures defined]" caption="__No measures defined" measure="1" displayFolder="" count="0" hidden="1"/>
    <cacheHierarchy uniqueName="[Measures].[Sum of Employee Number]" caption="Sum of Employee Number" measure="1" displayFolder="" measureGroup="HR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Employee Number]" caption="Count of Employee Number" measure="1" displayFolder="" measureGroup="HR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HR_Data" uniqueName="[HR_Data]" caption="HR_Data"/>
    <dimension measure="1" name="Measures" uniqueName="[Measures]" caption="Measures"/>
  </dimensions>
  <measureGroups count="1">
    <measureGroup name="HR_Data" caption="HR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2B6CB-EDDB-4793-94AF-AE2A5843F8E1}" name="PivotTable4" cacheId="0" applyNumberFormats="0" applyBorderFormats="0" applyFontFormats="0" applyPatternFormats="0" applyAlignmentFormats="0" applyWidthHeightFormats="1" dataCaption="Values" tag="3629a487-2b3e-4eb1-b2bf-f49a6d655f98" updatedVersion="8" minRefreshableVersion="3" useAutoFormatting="1" subtotalHiddenItems="1" itemPrintTitles="1" createdVersion="8" indent="0" outline="1" outlineData="1" multipleFieldFilters="0" chartFormat="8">
  <location ref="A3:C8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Count of Employee Number" fld="2" subtotal="count" baseField="0" baseItem="1"/>
  </dataFields>
  <chartFormats count="1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 Number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E7DA0-00B9-4976-9E17-AD7495E063CB}" name="PivotTable8" cacheId="4" applyNumberFormats="0" applyBorderFormats="0" applyFontFormats="0" applyPatternFormats="0" applyAlignmentFormats="0" applyWidthHeightFormats="1" dataCaption="Values" tag="ff28e2f7-b67c-4d74-882a-8a05d10e43a8" updatedVersion="8" minRefreshableVersion="3" useAutoFormatting="1" itemPrintTitles="1" createdVersion="8" indent="0" outline="1" outlineData="1" multipleFieldFilters="0" chartFormat="8">
  <location ref="E12:G18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Employee Number" fld="1" subtotal="count" baseField="0" baseItem="0"/>
  </dataFields>
  <chartFormats count="1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 Number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DEAF5-1ABC-4402-A6E8-DDB7AE6C5749}" name="PivotTable7" cacheId="3" applyNumberFormats="0" applyBorderFormats="0" applyFontFormats="0" applyPatternFormats="0" applyAlignmentFormats="0" applyWidthHeightFormats="1" dataCaption="Values" tag="3861b394-49b0-4c03-ab47-69a008b301b2" updatedVersion="8" minRefreshableVersion="3" useAutoFormatting="1" subtotalHiddenItems="1" itemPrintTitles="1" createdVersion="8" indent="0" outline="1" outlineData="1" multipleFieldFilters="0" chartFormat="9">
  <location ref="A12:C17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Employee Number" fld="2" subtotal="count" baseField="1" baseItem="0"/>
  </dataFields>
  <chartFormats count="2">
    <chartFormat chart="3" format="3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 Number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E1A7E-3E14-48BE-8ACD-71D9F830AA4E}" name="PivotTable6" cacheId="2" applyNumberFormats="0" applyBorderFormats="0" applyFontFormats="0" applyPatternFormats="0" applyAlignmentFormats="0" applyWidthHeightFormats="1" dataCaption="Values" tag="cfd22e1a-1940-41ca-aad2-27a0e22d231a" updatedVersion="8" minRefreshableVersion="3" useAutoFormatting="1" itemPrintTitles="1" createdVersion="8" indent="0" outline="1" outlineData="1" multipleFieldFilters="0" chartFormat="7">
  <location ref="I3:K8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Employee Number" fld="1" subtotal="count" baseField="0" baseItem="0"/>
  </dataFields>
  <chartFormats count="1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 Number"/>
  </pivotHierarchies>
  <pivotTableStyleInfo name="PivotStyleLight16" showRowHeaders="1" showColHeaders="1" showRowStripes="0" showColStripes="0" showLastColumn="1"/>
  <rowHierarchiesUsage count="1">
    <rowHierarchyUsage hierarchyUsage="1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6C97A-7E96-4636-8DA7-AD193C943A97}" name="PivotTable5" cacheId="1" applyNumberFormats="0" applyBorderFormats="0" applyFontFormats="0" applyPatternFormats="0" applyAlignmentFormats="0" applyWidthHeightFormats="1" dataCaption="Values" tag="e89f11e9-0e5d-422b-8059-25485dd63b93" updatedVersion="8" minRefreshableVersion="3" useAutoFormatting="1" itemPrintTitles="1" createdVersion="8" indent="0" outline="1" outlineData="1" multipleFieldFilters="0" chartFormat="11">
  <location ref="E3:G7" firstHeaderRow="1" firstDataRow="2" firstDataCol="1"/>
  <pivotFields count="3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2">
    <i>
      <x/>
    </i>
    <i t="grand">
      <x/>
    </i>
  </colItems>
  <dataFields count="1">
    <dataField name="Count of Employee Number" fld="2" subtotal="count" baseField="1" baseItem="0"/>
  </dataFields>
  <chartFormats count="2">
    <chartFormat chart="7" format="3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Employee Number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R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17303B-C011-43E3-801B-2E4754CCF7BE}" autoFormatId="16" applyNumberFormats="0" applyBorderFormats="0" applyFontFormats="0" applyPatternFormats="0" applyAlignmentFormats="0" applyWidthHeightFormats="0">
  <queryTableRefresh nextId="25" unboundColumnsRight="5">
    <queryTableFields count="20">
      <queryTableField id="5" name="EmployeeNumber" tableColumnId="5"/>
      <queryTableField id="1" name="Age" tableColumnId="1"/>
      <queryTableField id="2" name="Attrition" tableColumnId="2"/>
      <queryTableField id="3" name="Department" tableColumnId="3"/>
      <queryTableField id="4" name="EducationField" tableColumnId="4"/>
      <queryTableField id="6" name="Gender" tableColumnId="6"/>
      <queryTableField id="7" name="JobRole" tableColumnId="7"/>
      <queryTableField id="8" name="JobSatisfaction" tableColumnId="8"/>
      <queryTableField id="9" name="MonthlyIncome" tableColumnId="9"/>
      <queryTableField id="10" name="OverTime" tableColumnId="10"/>
      <queryTableField id="11" name="PercentSalaryHike" tableColumnId="11"/>
      <queryTableField id="12" name="PerformanceRating" tableColumnId="12"/>
      <queryTableField id="13" name="TotalWorkingYears" tableColumnId="13"/>
      <queryTableField id="14" name="WorkLifeBalance" tableColumnId="14"/>
      <queryTableField id="15" name="YearsAtCompany" tableColumnId="15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A340C-5265-4703-AAB5-657F8E6FEE5B}" name="HR_Data" displayName="HR_Data" ref="A1:T1471" tableType="queryTable" totalsRowShown="0">
  <autoFilter ref="A1:T1471" xr:uid="{C34A340C-5265-4703-AAB5-657F8E6FEE5B}"/>
  <tableColumns count="20">
    <tableColumn id="5" xr3:uid="{27CD74ED-EC94-4D11-928F-0CC1D65F5D6D}" uniqueName="5" name="Employee Number" queryTableFieldId="5" dataDxfId="20"/>
    <tableColumn id="1" xr3:uid="{0E94326D-E03A-4A3D-8AF7-83175E63B1E3}" uniqueName="1" name="Age" queryTableFieldId="1" dataDxfId="19"/>
    <tableColumn id="2" xr3:uid="{963F53BA-84FE-40A3-85F4-D8B8B6272F26}" uniqueName="2" name="Attrition" queryTableFieldId="2" dataDxfId="18"/>
    <tableColumn id="3" xr3:uid="{0CA0104D-F5F5-4A10-AE6B-E1D7798730BC}" uniqueName="3" name="Department" queryTableFieldId="3" dataDxfId="17"/>
    <tableColumn id="4" xr3:uid="{8759A6E6-5B61-48CA-81B1-6FC7CB5612B3}" uniqueName="4" name="Education Field" queryTableFieldId="4" dataDxfId="16"/>
    <tableColumn id="6" xr3:uid="{3602A492-371C-430C-814B-3E9A9DE94825}" uniqueName="6" name="Gender" queryTableFieldId="6" dataDxfId="15"/>
    <tableColumn id="7" xr3:uid="{6C8E4240-5076-41DC-BA50-722D7009F953}" uniqueName="7" name="Job Role" queryTableFieldId="7" dataDxfId="14"/>
    <tableColumn id="8" xr3:uid="{8482B280-8710-443D-AAE9-06614E84A393}" uniqueName="8" name="Job Satisfaction" queryTableFieldId="8" dataDxfId="13"/>
    <tableColumn id="9" xr3:uid="{FBD628AA-E139-4371-9202-2CFD52455AB7}" uniqueName="9" name="Monthly Income" queryTableFieldId="9" dataDxfId="12"/>
    <tableColumn id="10" xr3:uid="{611E4725-A843-4BD4-88A2-0994AF2C5EA8}" uniqueName="10" name="Over Time" queryTableFieldId="10" dataDxfId="11"/>
    <tableColumn id="11" xr3:uid="{365082D9-1244-4CE9-87CD-A9E0A34F324A}" uniqueName="11" name="Percent Salary Hike" queryTableFieldId="11" dataDxfId="10"/>
    <tableColumn id="12" xr3:uid="{9C47B211-782F-48E2-9B1E-F7A9603EB57A}" uniqueName="12" name="Performance Rating" queryTableFieldId="12" dataDxfId="9"/>
    <tableColumn id="13" xr3:uid="{9F69ABF5-14EF-4FCE-B912-AFBA29642E29}" uniqueName="13" name="Total Working Years" queryTableFieldId="13" dataDxfId="8"/>
    <tableColumn id="14" xr3:uid="{EFBB1585-0847-45EE-A266-4108B85FFABD}" uniqueName="14" name="Work-Life Balance" queryTableFieldId="14" dataDxfId="7"/>
    <tableColumn id="15" xr3:uid="{53C651D0-A3D4-4FCC-A084-5360D254445B}" uniqueName="15" name="Years At Company" queryTableFieldId="15" dataDxfId="6"/>
    <tableColumn id="18" xr3:uid="{5B09CA0B-9B0D-4C96-A184-E128B3F1FC57}" uniqueName="18" name=" Duplicate Check" queryTableFieldId="19" dataDxfId="5">
      <calculatedColumnFormula>COUNTIF(HR_Data[Employee Number],HR_Data[[#This Row],[Employee Number]])</calculatedColumnFormula>
    </tableColumn>
    <tableColumn id="19" xr3:uid="{9C208216-304C-4F8B-87D0-6C0EC4BB7E71}" uniqueName="19" name="Validation Flag" queryTableFieldId="20" dataDxfId="4">
      <calculatedColumnFormula>IF(HR_Data[[#This Row],[Years At Company]]&lt;=HR_Data[[#This Row],[Total Working Years]],"Valid","error")</calculatedColumnFormula>
    </tableColumn>
    <tableColumn id="20" xr3:uid="{8B0B2DB4-28EF-4463-9476-913B2894E363}" uniqueName="20" name="Age Group" queryTableFieldId="21" dataDxfId="3">
      <calculatedColumnFormula array="1">_xlfn.IFS(HR_Data[[#This Row],[Age]]&lt;=30,"Young", HR_Data[[#This Row],[Age]]&lt;=45,"Mid-Age",HR_Data[[#This Row],[Age]]&gt;45,"Senior")</calculatedColumnFormula>
    </tableColumn>
    <tableColumn id="21" xr3:uid="{137A450A-6934-4007-9359-90E7BDF472BF}" uniqueName="21" name="Income Band" queryTableFieldId="22" dataDxfId="2">
      <calculatedColumnFormula array="1">_xlfn.IFS(HR_Data[[#This Row],[Monthly Income]]&lt;5000,"Low", HR_Data[[#This Row],[Monthly Income]]&lt;10000,"Medium",TRUE,"High")</calculatedColumnFormula>
    </tableColumn>
    <tableColumn id="22" xr3:uid="{007EBC3A-5B0A-4622-9C85-10B0845F0BF4}" uniqueName="22" name="Experience Group" queryTableFieldId="23" dataDxfId="1">
      <calculatedColumnFormula array="1">_xlfn.IFS(HR_Data[[#This Row],[Total Working Years]]&lt;=5,"Junior", HR_Data[[#This Row],[Total Working Years]]&lt;=15,"Mid-Level", TRUE, "Senior")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0B12-E2C5-422A-8678-0361AE6892F1}">
  <dimension ref="A1:S9"/>
  <sheetViews>
    <sheetView showGridLines="0" tabSelected="1" workbookViewId="0">
      <selection activeCell="C10" sqref="C10"/>
    </sheetView>
  </sheetViews>
  <sheetFormatPr defaultRowHeight="15" x14ac:dyDescent="0.25"/>
  <cols>
    <col min="1" max="1" width="26.7109375" customWidth="1"/>
    <col min="2" max="2" width="0.28515625" hidden="1" customWidth="1"/>
    <col min="3" max="3" width="23.5703125" bestFit="1" customWidth="1"/>
  </cols>
  <sheetData>
    <row r="1" spans="1:19" ht="18.75" x14ac:dyDescent="0.3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x14ac:dyDescent="0.25">
      <c r="A2" s="11" t="s">
        <v>34</v>
      </c>
      <c r="C2" s="11" t="s">
        <v>69</v>
      </c>
    </row>
    <row r="3" spans="1:19" x14ac:dyDescent="0.25">
      <c r="A3" s="9">
        <f>ROWS(HR_Data[Employee Number])</f>
        <v>1470</v>
      </c>
      <c r="C3" s="10">
        <f>AVERAGE(HR_Data[Monthly Income])</f>
        <v>6502.931292517007</v>
      </c>
    </row>
    <row r="4" spans="1:19" x14ac:dyDescent="0.25">
      <c r="A4" s="11" t="s">
        <v>66</v>
      </c>
      <c r="C4" s="11" t="s">
        <v>70</v>
      </c>
    </row>
    <row r="5" spans="1:19" x14ac:dyDescent="0.25">
      <c r="A5">
        <f>COUNTIF(HR_Data[Attrition],"Yes")</f>
        <v>237</v>
      </c>
      <c r="C5" s="10">
        <f>AVERAGE(HR_Data[Job Satisfaction])</f>
        <v>2.7285714285714286</v>
      </c>
    </row>
    <row r="6" spans="1:19" x14ac:dyDescent="0.25">
      <c r="A6" s="11" t="s">
        <v>35</v>
      </c>
    </row>
    <row r="7" spans="1:19" x14ac:dyDescent="0.25">
      <c r="A7" s="9">
        <f>COUNTIF(HR_Data[Attrition],"No")</f>
        <v>1233</v>
      </c>
    </row>
    <row r="8" spans="1:19" x14ac:dyDescent="0.25">
      <c r="A8" s="11" t="s">
        <v>36</v>
      </c>
    </row>
    <row r="9" spans="1:19" x14ac:dyDescent="0.25">
      <c r="A9" s="8">
        <f>A5/A3</f>
        <v>0.16122448979591836</v>
      </c>
    </row>
  </sheetData>
  <mergeCells count="1">
    <mergeCell ref="A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E0F3-ADCC-4D1E-9CC5-B1DD19C381F8}">
  <sheetPr codeName="Sheet1"/>
  <dimension ref="A1:T1471"/>
  <sheetViews>
    <sheetView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19.7109375" style="1" bestFit="1" customWidth="1"/>
    <col min="2" max="2" width="6.7109375" style="1" bestFit="1" customWidth="1"/>
    <col min="3" max="3" width="10.85546875" bestFit="1" customWidth="1"/>
    <col min="4" max="4" width="23.85546875" bestFit="1" customWidth="1"/>
    <col min="5" max="5" width="16.85546875" bestFit="1" customWidth="1"/>
    <col min="6" max="6" width="10" bestFit="1" customWidth="1"/>
    <col min="7" max="8" width="25" bestFit="1" customWidth="1"/>
    <col min="9" max="10" width="17.5703125" style="1" bestFit="1" customWidth="1"/>
    <col min="11" max="11" width="19.7109375" bestFit="1" customWidth="1"/>
    <col min="12" max="13" width="20.5703125" style="1" bestFit="1" customWidth="1"/>
    <col min="14" max="14" width="20.42578125" style="1" bestFit="1" customWidth="1"/>
    <col min="15" max="15" width="18.5703125" style="1" bestFit="1" customWidth="1"/>
    <col min="16" max="16" width="25.85546875" bestFit="1" customWidth="1"/>
    <col min="17" max="17" width="16.140625" bestFit="1" customWidth="1"/>
    <col min="18" max="18" width="13.5703125" customWidth="1"/>
    <col min="19" max="19" width="17.5703125" customWidth="1"/>
    <col min="20" max="20" width="20.42578125" customWidth="1"/>
  </cols>
  <sheetData>
    <row r="1" spans="1:20" x14ac:dyDescent="0.25">
      <c r="A1" s="1" t="s">
        <v>48</v>
      </c>
      <c r="B1" s="1" t="s">
        <v>0</v>
      </c>
      <c r="C1" t="s">
        <v>1</v>
      </c>
      <c r="D1" t="s">
        <v>2</v>
      </c>
      <c r="E1" t="s">
        <v>49</v>
      </c>
      <c r="F1" t="s">
        <v>3</v>
      </c>
      <c r="G1" t="s">
        <v>50</v>
      </c>
      <c r="H1" s="1" t="s">
        <v>51</v>
      </c>
      <c r="I1" s="1" t="s">
        <v>52</v>
      </c>
      <c r="J1" t="s">
        <v>53</v>
      </c>
      <c r="K1" s="1" t="s">
        <v>54</v>
      </c>
      <c r="L1" s="1" t="s">
        <v>55</v>
      </c>
      <c r="M1" s="1" t="s">
        <v>56</v>
      </c>
      <c r="N1" s="1" t="s">
        <v>62</v>
      </c>
      <c r="O1" s="1" t="s">
        <v>57</v>
      </c>
      <c r="P1" s="5" t="s">
        <v>63</v>
      </c>
      <c r="Q1" s="5" t="s">
        <v>58</v>
      </c>
      <c r="R1" s="5" t="s">
        <v>59</v>
      </c>
      <c r="S1" s="5" t="s">
        <v>60</v>
      </c>
      <c r="T1" s="5" t="s">
        <v>61</v>
      </c>
    </row>
    <row r="2" spans="1:20" x14ac:dyDescent="0.25">
      <c r="A2" s="1">
        <v>1</v>
      </c>
      <c r="B2" s="1">
        <v>41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s="1">
        <v>4</v>
      </c>
      <c r="I2" s="1">
        <v>5993</v>
      </c>
      <c r="J2" t="s">
        <v>4</v>
      </c>
      <c r="K2" s="1">
        <v>11</v>
      </c>
      <c r="L2" s="1">
        <v>3</v>
      </c>
      <c r="M2" s="1">
        <v>8</v>
      </c>
      <c r="N2" s="1">
        <v>1</v>
      </c>
      <c r="O2" s="1">
        <v>6</v>
      </c>
      <c r="P2" s="1">
        <f>COUNTIF(HR_Data[Employee Number],HR_Data[[#This Row],[Employee Number]])</f>
        <v>1</v>
      </c>
      <c r="Q2" s="1" t="str">
        <f>IF(HR_Data[[#This Row],[Years At Company]]&lt;=HR_Data[[#This Row],[Total Working Years]],"Valid","error")</f>
        <v>Valid</v>
      </c>
      <c r="R2" s="1" t="str" cm="1">
        <f t="array" ref="R2">_xlfn.IFS(HR_Data[[#This Row],[Age]]&lt;=30,"Young", HR_Data[[#This Row],[Age]]&lt;=45,"Mid-Age",HR_Data[[#This Row],[Age]]&gt;45,"Senior")</f>
        <v>Mid-Age</v>
      </c>
      <c r="S2" s="1" t="str" cm="1">
        <f t="array" ref="S2">_xlfn.IFS(HR_Data[[#This Row],[Monthly Income]]&lt;5000,"Low", HR_Data[[#This Row],[Monthly Income]]&lt;10000,"Medium",TRUE,"High")</f>
        <v>Medium</v>
      </c>
      <c r="T2" s="1" t="str" cm="1">
        <f t="array" ref="T2">_xlfn.IFS(HR_Data[[#This Row],[Total Working Years]]&lt;=5,"Junior", HR_Data[[#This Row],[Total Working Years]]&lt;=15,"Mid-Level", TRUE, "Senior")</f>
        <v>Mid-Level</v>
      </c>
    </row>
    <row r="3" spans="1:20" x14ac:dyDescent="0.25">
      <c r="A3" s="1">
        <v>2</v>
      </c>
      <c r="B3" s="1">
        <v>49</v>
      </c>
      <c r="C3" t="s">
        <v>9</v>
      </c>
      <c r="D3" t="s">
        <v>10</v>
      </c>
      <c r="E3" t="s">
        <v>6</v>
      </c>
      <c r="F3" t="s">
        <v>11</v>
      </c>
      <c r="G3" t="s">
        <v>12</v>
      </c>
      <c r="H3" s="1">
        <v>2</v>
      </c>
      <c r="I3" s="1">
        <v>5130</v>
      </c>
      <c r="J3" t="s">
        <v>9</v>
      </c>
      <c r="K3" s="1">
        <v>23</v>
      </c>
      <c r="L3" s="1">
        <v>4</v>
      </c>
      <c r="M3" s="1">
        <v>10</v>
      </c>
      <c r="N3" s="1">
        <v>3</v>
      </c>
      <c r="O3" s="1">
        <v>10</v>
      </c>
      <c r="P3" s="1">
        <f>COUNTIF(HR_Data[Employee Number],HR_Data[[#This Row],[Employee Number]])</f>
        <v>1</v>
      </c>
      <c r="Q3" s="1" t="str">
        <f>IF(HR_Data[[#This Row],[Years At Company]]&lt;=HR_Data[[#This Row],[Total Working Years]],"Valid","error")</f>
        <v>Valid</v>
      </c>
      <c r="R3" s="1" t="str" cm="1">
        <f t="array" ref="R3">_xlfn.IFS(HR_Data[[#This Row],[Age]]&lt;=30,"Young", HR_Data[[#This Row],[Age]]&lt;=45,"Mid-Age",HR_Data[[#This Row],[Age]]&gt;45,"Senior")</f>
        <v>Senior</v>
      </c>
      <c r="S3" s="1" t="str" cm="1">
        <f t="array" ref="S3">_xlfn.IFS(HR_Data[[#This Row],[Monthly Income]]&lt;5000,"Low", HR_Data[[#This Row],[Monthly Income]]&lt;10000,"Medium",TRUE,"High")</f>
        <v>Medium</v>
      </c>
      <c r="T3" s="1" t="str" cm="1">
        <f t="array" ref="T3">_xlfn.IFS(HR_Data[[#This Row],[Total Working Years]]&lt;=5,"Junior", HR_Data[[#This Row],[Total Working Years]]&lt;=15,"Mid-Level", TRUE, "Senior")</f>
        <v>Mid-Level</v>
      </c>
    </row>
    <row r="4" spans="1:20" x14ac:dyDescent="0.25">
      <c r="A4" s="1">
        <v>4</v>
      </c>
      <c r="B4" s="1">
        <v>37</v>
      </c>
      <c r="C4" t="s">
        <v>4</v>
      </c>
      <c r="D4" t="s">
        <v>10</v>
      </c>
      <c r="E4" t="s">
        <v>13</v>
      </c>
      <c r="F4" t="s">
        <v>11</v>
      </c>
      <c r="G4" t="s">
        <v>14</v>
      </c>
      <c r="H4" s="1">
        <v>3</v>
      </c>
      <c r="I4" s="1">
        <v>2090</v>
      </c>
      <c r="J4" t="s">
        <v>4</v>
      </c>
      <c r="K4" s="1">
        <v>15</v>
      </c>
      <c r="L4" s="1">
        <v>3</v>
      </c>
      <c r="M4" s="1">
        <v>7</v>
      </c>
      <c r="N4" s="1">
        <v>3</v>
      </c>
      <c r="O4" s="1">
        <v>0</v>
      </c>
      <c r="P4" s="1">
        <f>COUNTIF(HR_Data[Employee Number],HR_Data[[#This Row],[Employee Number]])</f>
        <v>1</v>
      </c>
      <c r="Q4" s="1" t="str">
        <f>IF(HR_Data[[#This Row],[Years At Company]]&lt;=HR_Data[[#This Row],[Total Working Years]],"Valid","error")</f>
        <v>Valid</v>
      </c>
      <c r="R4" s="1" t="str" cm="1">
        <f t="array" ref="R4">_xlfn.IFS(HR_Data[[#This Row],[Age]]&lt;=30,"Young", HR_Data[[#This Row],[Age]]&lt;=45,"Mid-Age",HR_Data[[#This Row],[Age]]&gt;45,"Senior")</f>
        <v>Mid-Age</v>
      </c>
      <c r="S4" s="1" t="str" cm="1">
        <f t="array" ref="S4">_xlfn.IFS(HR_Data[[#This Row],[Monthly Income]]&lt;5000,"Low", HR_Data[[#This Row],[Monthly Income]]&lt;10000,"Medium",TRUE,"High")</f>
        <v>Low</v>
      </c>
      <c r="T4" s="1" t="str" cm="1">
        <f t="array" ref="T4">_xlfn.IFS(HR_Data[[#This Row],[Total Working Years]]&lt;=5,"Junior", HR_Data[[#This Row],[Total Working Years]]&lt;=15,"Mid-Level", TRUE, "Senior")</f>
        <v>Mid-Level</v>
      </c>
    </row>
    <row r="5" spans="1:20" x14ac:dyDescent="0.25">
      <c r="A5" s="1">
        <v>5</v>
      </c>
      <c r="B5" s="1">
        <v>33</v>
      </c>
      <c r="C5" t="s">
        <v>9</v>
      </c>
      <c r="D5" t="s">
        <v>10</v>
      </c>
      <c r="E5" t="s">
        <v>6</v>
      </c>
      <c r="F5" t="s">
        <v>7</v>
      </c>
      <c r="G5" t="s">
        <v>12</v>
      </c>
      <c r="H5" s="1">
        <v>3</v>
      </c>
      <c r="I5" s="1">
        <v>2909</v>
      </c>
      <c r="J5" t="s">
        <v>4</v>
      </c>
      <c r="K5" s="1">
        <v>11</v>
      </c>
      <c r="L5" s="1">
        <v>3</v>
      </c>
      <c r="M5" s="1">
        <v>8</v>
      </c>
      <c r="N5" s="1">
        <v>3</v>
      </c>
      <c r="O5" s="1">
        <v>8</v>
      </c>
      <c r="P5" s="1">
        <f>COUNTIF(HR_Data[Employee Number],HR_Data[[#This Row],[Employee Number]])</f>
        <v>1</v>
      </c>
      <c r="Q5" s="1" t="str">
        <f>IF(HR_Data[[#This Row],[Years At Company]]&lt;=HR_Data[[#This Row],[Total Working Years]],"Valid","error")</f>
        <v>Valid</v>
      </c>
      <c r="R5" s="1" t="str" cm="1">
        <f t="array" ref="R5">_xlfn.IFS(HR_Data[[#This Row],[Age]]&lt;=30,"Young", HR_Data[[#This Row],[Age]]&lt;=45,"Mid-Age",HR_Data[[#This Row],[Age]]&gt;45,"Senior")</f>
        <v>Mid-Age</v>
      </c>
      <c r="S5" s="1" t="str" cm="1">
        <f t="array" ref="S5">_xlfn.IFS(HR_Data[[#This Row],[Monthly Income]]&lt;5000,"Low", HR_Data[[#This Row],[Monthly Income]]&lt;10000,"Medium",TRUE,"High")</f>
        <v>Low</v>
      </c>
      <c r="T5" s="1" t="str" cm="1">
        <f t="array" ref="T5">_xlfn.IFS(HR_Data[[#This Row],[Total Working Years]]&lt;=5,"Junior", HR_Data[[#This Row],[Total Working Years]]&lt;=15,"Mid-Level", TRUE, "Senior")</f>
        <v>Mid-Level</v>
      </c>
    </row>
    <row r="6" spans="1:20" x14ac:dyDescent="0.25">
      <c r="A6" s="1">
        <v>7</v>
      </c>
      <c r="B6" s="1">
        <v>27</v>
      </c>
      <c r="C6" t="s">
        <v>9</v>
      </c>
      <c r="D6" t="s">
        <v>10</v>
      </c>
      <c r="E6" t="s">
        <v>15</v>
      </c>
      <c r="F6" t="s">
        <v>11</v>
      </c>
      <c r="G6" t="s">
        <v>14</v>
      </c>
      <c r="H6" s="1">
        <v>2</v>
      </c>
      <c r="I6" s="1">
        <v>3468</v>
      </c>
      <c r="J6" t="s">
        <v>9</v>
      </c>
      <c r="K6" s="1">
        <v>12</v>
      </c>
      <c r="L6" s="1">
        <v>3</v>
      </c>
      <c r="M6" s="1">
        <v>6</v>
      </c>
      <c r="N6" s="1">
        <v>3</v>
      </c>
      <c r="O6" s="1">
        <v>2</v>
      </c>
      <c r="P6" s="1">
        <f>COUNTIF(HR_Data[Employee Number],HR_Data[[#This Row],[Employee Number]])</f>
        <v>1</v>
      </c>
      <c r="Q6" s="1" t="str">
        <f>IF(HR_Data[[#This Row],[Years At Company]]&lt;=HR_Data[[#This Row],[Total Working Years]],"Valid","error")</f>
        <v>Valid</v>
      </c>
      <c r="R6" s="1" t="str" cm="1">
        <f t="array" ref="R6">_xlfn.IFS(HR_Data[[#This Row],[Age]]&lt;=30,"Young", HR_Data[[#This Row],[Age]]&lt;=45,"Mid-Age",HR_Data[[#This Row],[Age]]&gt;45,"Senior")</f>
        <v>Young</v>
      </c>
      <c r="S6" s="1" t="str" cm="1">
        <f t="array" ref="S6">_xlfn.IFS(HR_Data[[#This Row],[Monthly Income]]&lt;5000,"Low", HR_Data[[#This Row],[Monthly Income]]&lt;10000,"Medium",TRUE,"High")</f>
        <v>Low</v>
      </c>
      <c r="T6" s="1" t="str" cm="1">
        <f t="array" ref="T6">_xlfn.IFS(HR_Data[[#This Row],[Total Working Years]]&lt;=5,"Junior", HR_Data[[#This Row],[Total Working Years]]&lt;=15,"Mid-Level", TRUE, "Senior")</f>
        <v>Mid-Level</v>
      </c>
    </row>
    <row r="7" spans="1:20" x14ac:dyDescent="0.25">
      <c r="A7" s="1">
        <v>8</v>
      </c>
      <c r="B7" s="1">
        <v>32</v>
      </c>
      <c r="C7" t="s">
        <v>9</v>
      </c>
      <c r="D7" t="s">
        <v>10</v>
      </c>
      <c r="E7" t="s">
        <v>6</v>
      </c>
      <c r="F7" t="s">
        <v>11</v>
      </c>
      <c r="G7" t="s">
        <v>14</v>
      </c>
      <c r="H7" s="1">
        <v>4</v>
      </c>
      <c r="I7" s="1">
        <v>3068</v>
      </c>
      <c r="J7" t="s">
        <v>9</v>
      </c>
      <c r="K7" s="1">
        <v>13</v>
      </c>
      <c r="L7" s="1">
        <v>3</v>
      </c>
      <c r="M7" s="1">
        <v>8</v>
      </c>
      <c r="N7" s="1">
        <v>2</v>
      </c>
      <c r="O7" s="1">
        <v>7</v>
      </c>
      <c r="P7" s="1">
        <f>COUNTIF(HR_Data[Employee Number],HR_Data[[#This Row],[Employee Number]])</f>
        <v>1</v>
      </c>
      <c r="Q7" s="1" t="str">
        <f>IF(HR_Data[[#This Row],[Years At Company]]&lt;=HR_Data[[#This Row],[Total Working Years]],"Valid","error")</f>
        <v>Valid</v>
      </c>
      <c r="R7" s="1" t="str" cm="1">
        <f t="array" ref="R7">_xlfn.IFS(HR_Data[[#This Row],[Age]]&lt;=30,"Young", HR_Data[[#This Row],[Age]]&lt;=45,"Mid-Age",HR_Data[[#This Row],[Age]]&gt;45,"Senior")</f>
        <v>Mid-Age</v>
      </c>
      <c r="S7" s="1" t="str" cm="1">
        <f t="array" ref="S7">_xlfn.IFS(HR_Data[[#This Row],[Monthly Income]]&lt;5000,"Low", HR_Data[[#This Row],[Monthly Income]]&lt;10000,"Medium",TRUE,"High")</f>
        <v>Low</v>
      </c>
      <c r="T7" s="1" t="str" cm="1">
        <f t="array" ref="T7">_xlfn.IFS(HR_Data[[#This Row],[Total Working Years]]&lt;=5,"Junior", HR_Data[[#This Row],[Total Working Years]]&lt;=15,"Mid-Level", TRUE, "Senior")</f>
        <v>Mid-Level</v>
      </c>
    </row>
    <row r="8" spans="1:20" x14ac:dyDescent="0.25">
      <c r="A8" s="1">
        <v>10</v>
      </c>
      <c r="B8" s="1">
        <v>59</v>
      </c>
      <c r="C8" t="s">
        <v>9</v>
      </c>
      <c r="D8" t="s">
        <v>10</v>
      </c>
      <c r="E8" t="s">
        <v>15</v>
      </c>
      <c r="F8" t="s">
        <v>7</v>
      </c>
      <c r="G8" t="s">
        <v>14</v>
      </c>
      <c r="H8" s="1">
        <v>1</v>
      </c>
      <c r="I8" s="1">
        <v>2670</v>
      </c>
      <c r="J8" t="s">
        <v>4</v>
      </c>
      <c r="K8" s="1">
        <v>20</v>
      </c>
      <c r="L8" s="1">
        <v>4</v>
      </c>
      <c r="M8" s="1">
        <v>12</v>
      </c>
      <c r="N8" s="1">
        <v>2</v>
      </c>
      <c r="O8" s="1">
        <v>1</v>
      </c>
      <c r="P8" s="1">
        <f>COUNTIF(HR_Data[Employee Number],HR_Data[[#This Row],[Employee Number]])</f>
        <v>1</v>
      </c>
      <c r="Q8" s="1" t="str">
        <f>IF(HR_Data[[#This Row],[Years At Company]]&lt;=HR_Data[[#This Row],[Total Working Years]],"Valid","error")</f>
        <v>Valid</v>
      </c>
      <c r="R8" s="1" t="str" cm="1">
        <f t="array" ref="R8">_xlfn.IFS(HR_Data[[#This Row],[Age]]&lt;=30,"Young", HR_Data[[#This Row],[Age]]&lt;=45,"Mid-Age",HR_Data[[#This Row],[Age]]&gt;45,"Senior")</f>
        <v>Senior</v>
      </c>
      <c r="S8" s="1" t="str" cm="1">
        <f t="array" ref="S8">_xlfn.IFS(HR_Data[[#This Row],[Monthly Income]]&lt;5000,"Low", HR_Data[[#This Row],[Monthly Income]]&lt;10000,"Medium",TRUE,"High")</f>
        <v>Low</v>
      </c>
      <c r="T8" s="1" t="str" cm="1">
        <f t="array" ref="T8">_xlfn.IFS(HR_Data[[#This Row],[Total Working Years]]&lt;=5,"Junior", HR_Data[[#This Row],[Total Working Years]]&lt;=15,"Mid-Level", TRUE, "Senior")</f>
        <v>Mid-Level</v>
      </c>
    </row>
    <row r="9" spans="1:20" x14ac:dyDescent="0.25">
      <c r="A9" s="1">
        <v>11</v>
      </c>
      <c r="B9" s="1">
        <v>30</v>
      </c>
      <c r="C9" t="s">
        <v>9</v>
      </c>
      <c r="D9" t="s">
        <v>10</v>
      </c>
      <c r="E9" t="s">
        <v>6</v>
      </c>
      <c r="F9" t="s">
        <v>11</v>
      </c>
      <c r="G9" t="s">
        <v>14</v>
      </c>
      <c r="H9" s="1">
        <v>3</v>
      </c>
      <c r="I9" s="1">
        <v>2693</v>
      </c>
      <c r="J9" t="s">
        <v>9</v>
      </c>
      <c r="K9" s="1">
        <v>22</v>
      </c>
      <c r="L9" s="1">
        <v>4</v>
      </c>
      <c r="M9" s="1">
        <v>1</v>
      </c>
      <c r="N9" s="1">
        <v>3</v>
      </c>
      <c r="O9" s="1">
        <v>1</v>
      </c>
      <c r="P9" s="1">
        <f>COUNTIF(HR_Data[Employee Number],HR_Data[[#This Row],[Employee Number]])</f>
        <v>1</v>
      </c>
      <c r="Q9" s="1" t="str">
        <f>IF(HR_Data[[#This Row],[Years At Company]]&lt;=HR_Data[[#This Row],[Total Working Years]],"Valid","error")</f>
        <v>Valid</v>
      </c>
      <c r="R9" s="1" t="str" cm="1">
        <f t="array" ref="R9">_xlfn.IFS(HR_Data[[#This Row],[Age]]&lt;=30,"Young", HR_Data[[#This Row],[Age]]&lt;=45,"Mid-Age",HR_Data[[#This Row],[Age]]&gt;45,"Senior")</f>
        <v>Young</v>
      </c>
      <c r="S9" s="1" t="str" cm="1">
        <f t="array" ref="S9">_xlfn.IFS(HR_Data[[#This Row],[Monthly Income]]&lt;5000,"Low", HR_Data[[#This Row],[Monthly Income]]&lt;10000,"Medium",TRUE,"High")</f>
        <v>Low</v>
      </c>
      <c r="T9" s="1" t="str" cm="1">
        <f t="array" ref="T9">_xlfn.IFS(HR_Data[[#This Row],[Total Working Years]]&lt;=5,"Junior", HR_Data[[#This Row],[Total Working Years]]&lt;=15,"Mid-Level", TRUE, "Senior")</f>
        <v>Junior</v>
      </c>
    </row>
    <row r="10" spans="1:20" x14ac:dyDescent="0.25">
      <c r="A10" s="1">
        <v>12</v>
      </c>
      <c r="B10" s="1">
        <v>38</v>
      </c>
      <c r="C10" t="s">
        <v>9</v>
      </c>
      <c r="D10" t="s">
        <v>10</v>
      </c>
      <c r="E10" t="s">
        <v>6</v>
      </c>
      <c r="F10" t="s">
        <v>11</v>
      </c>
      <c r="G10" t="s">
        <v>16</v>
      </c>
      <c r="H10" s="1">
        <v>3</v>
      </c>
      <c r="I10" s="1">
        <v>9526</v>
      </c>
      <c r="J10" t="s">
        <v>9</v>
      </c>
      <c r="K10" s="1">
        <v>21</v>
      </c>
      <c r="L10" s="1">
        <v>4</v>
      </c>
      <c r="M10" s="1">
        <v>10</v>
      </c>
      <c r="N10" s="1">
        <v>3</v>
      </c>
      <c r="O10" s="1">
        <v>9</v>
      </c>
      <c r="P10" s="1">
        <f>COUNTIF(HR_Data[Employee Number],HR_Data[[#This Row],[Employee Number]])</f>
        <v>1</v>
      </c>
      <c r="Q10" s="1" t="str">
        <f>IF(HR_Data[[#This Row],[Years At Company]]&lt;=HR_Data[[#This Row],[Total Working Years]],"Valid","error")</f>
        <v>Valid</v>
      </c>
      <c r="R10" s="1" t="str" cm="1">
        <f t="array" ref="R10">_xlfn.IFS(HR_Data[[#This Row],[Age]]&lt;=30,"Young", HR_Data[[#This Row],[Age]]&lt;=45,"Mid-Age",HR_Data[[#This Row],[Age]]&gt;45,"Senior")</f>
        <v>Mid-Age</v>
      </c>
      <c r="S10" s="1" t="str" cm="1">
        <f t="array" ref="S10">_xlfn.IFS(HR_Data[[#This Row],[Monthly Income]]&lt;5000,"Low", HR_Data[[#This Row],[Monthly Income]]&lt;10000,"Medium",TRUE,"High")</f>
        <v>Medium</v>
      </c>
      <c r="T10" s="1" t="str" cm="1">
        <f t="array" ref="T10">_xlfn.IFS(HR_Data[[#This Row],[Total Working Years]]&lt;=5,"Junior", HR_Data[[#This Row],[Total Working Years]]&lt;=15,"Mid-Level", TRUE, "Senior")</f>
        <v>Mid-Level</v>
      </c>
    </row>
    <row r="11" spans="1:20" x14ac:dyDescent="0.25">
      <c r="A11" s="1">
        <v>13</v>
      </c>
      <c r="B11" s="1">
        <v>36</v>
      </c>
      <c r="C11" t="s">
        <v>9</v>
      </c>
      <c r="D11" t="s">
        <v>10</v>
      </c>
      <c r="E11" t="s">
        <v>15</v>
      </c>
      <c r="F11" t="s">
        <v>11</v>
      </c>
      <c r="G11" t="s">
        <v>17</v>
      </c>
      <c r="H11" s="1">
        <v>3</v>
      </c>
      <c r="I11" s="1">
        <v>5237</v>
      </c>
      <c r="J11" t="s">
        <v>9</v>
      </c>
      <c r="K11" s="1">
        <v>13</v>
      </c>
      <c r="L11" s="1">
        <v>3</v>
      </c>
      <c r="M11" s="1">
        <v>17</v>
      </c>
      <c r="N11" s="1">
        <v>2</v>
      </c>
      <c r="O11" s="1">
        <v>7</v>
      </c>
      <c r="P11" s="1">
        <f>COUNTIF(HR_Data[Employee Number],HR_Data[[#This Row],[Employee Number]])</f>
        <v>1</v>
      </c>
      <c r="Q11" s="1" t="str">
        <f>IF(HR_Data[[#This Row],[Years At Company]]&lt;=HR_Data[[#This Row],[Total Working Years]],"Valid","error")</f>
        <v>Valid</v>
      </c>
      <c r="R11" s="1" t="str" cm="1">
        <f t="array" ref="R11">_xlfn.IFS(HR_Data[[#This Row],[Age]]&lt;=30,"Young", HR_Data[[#This Row],[Age]]&lt;=45,"Mid-Age",HR_Data[[#This Row],[Age]]&gt;45,"Senior")</f>
        <v>Mid-Age</v>
      </c>
      <c r="S11" s="1" t="str" cm="1">
        <f t="array" ref="S11">_xlfn.IFS(HR_Data[[#This Row],[Monthly Income]]&lt;5000,"Low", HR_Data[[#This Row],[Monthly Income]]&lt;10000,"Medium",TRUE,"High")</f>
        <v>Medium</v>
      </c>
      <c r="T11" s="1" t="str" cm="1">
        <f t="array" ref="T11">_xlfn.IFS(HR_Data[[#This Row],[Total Working Years]]&lt;=5,"Junior", HR_Data[[#This Row],[Total Working Years]]&lt;=15,"Mid-Level", TRUE, "Senior")</f>
        <v>Senior</v>
      </c>
    </row>
    <row r="12" spans="1:20" x14ac:dyDescent="0.25">
      <c r="A12" s="1">
        <v>14</v>
      </c>
      <c r="B12" s="1">
        <v>35</v>
      </c>
      <c r="C12" t="s">
        <v>9</v>
      </c>
      <c r="D12" t="s">
        <v>10</v>
      </c>
      <c r="E12" t="s">
        <v>15</v>
      </c>
      <c r="F12" t="s">
        <v>11</v>
      </c>
      <c r="G12" t="s">
        <v>14</v>
      </c>
      <c r="H12" s="1">
        <v>2</v>
      </c>
      <c r="I12" s="1">
        <v>2426</v>
      </c>
      <c r="J12" t="s">
        <v>9</v>
      </c>
      <c r="K12" s="1">
        <v>13</v>
      </c>
      <c r="L12" s="1">
        <v>3</v>
      </c>
      <c r="M12" s="1">
        <v>6</v>
      </c>
      <c r="N12" s="1">
        <v>3</v>
      </c>
      <c r="O12" s="1">
        <v>5</v>
      </c>
      <c r="P12" s="1">
        <f>COUNTIF(HR_Data[Employee Number],HR_Data[[#This Row],[Employee Number]])</f>
        <v>1</v>
      </c>
      <c r="Q12" s="1" t="str">
        <f>IF(HR_Data[[#This Row],[Years At Company]]&lt;=HR_Data[[#This Row],[Total Working Years]],"Valid","error")</f>
        <v>Valid</v>
      </c>
      <c r="R12" s="1" t="str" cm="1">
        <f t="array" ref="R12">_xlfn.IFS(HR_Data[[#This Row],[Age]]&lt;=30,"Young", HR_Data[[#This Row],[Age]]&lt;=45,"Mid-Age",HR_Data[[#This Row],[Age]]&gt;45,"Senior")</f>
        <v>Mid-Age</v>
      </c>
      <c r="S12" s="1" t="str" cm="1">
        <f t="array" ref="S12">_xlfn.IFS(HR_Data[[#This Row],[Monthly Income]]&lt;5000,"Low", HR_Data[[#This Row],[Monthly Income]]&lt;10000,"Medium",TRUE,"High")</f>
        <v>Low</v>
      </c>
      <c r="T12" s="1" t="str" cm="1">
        <f t="array" ref="T12">_xlfn.IFS(HR_Data[[#This Row],[Total Working Years]]&lt;=5,"Junior", HR_Data[[#This Row],[Total Working Years]]&lt;=15,"Mid-Level", TRUE, "Senior")</f>
        <v>Mid-Level</v>
      </c>
    </row>
    <row r="13" spans="1:20" x14ac:dyDescent="0.25">
      <c r="A13" s="1">
        <v>15</v>
      </c>
      <c r="B13" s="1">
        <v>29</v>
      </c>
      <c r="C13" t="s">
        <v>9</v>
      </c>
      <c r="D13" t="s">
        <v>10</v>
      </c>
      <c r="E13" t="s">
        <v>6</v>
      </c>
      <c r="F13" t="s">
        <v>7</v>
      </c>
      <c r="G13" t="s">
        <v>14</v>
      </c>
      <c r="H13" s="1">
        <v>3</v>
      </c>
      <c r="I13" s="1">
        <v>4193</v>
      </c>
      <c r="J13" t="s">
        <v>4</v>
      </c>
      <c r="K13" s="1">
        <v>12</v>
      </c>
      <c r="L13" s="1">
        <v>3</v>
      </c>
      <c r="M13" s="1">
        <v>10</v>
      </c>
      <c r="N13" s="1">
        <v>3</v>
      </c>
      <c r="O13" s="1">
        <v>9</v>
      </c>
      <c r="P13" s="1">
        <f>COUNTIF(HR_Data[Employee Number],HR_Data[[#This Row],[Employee Number]])</f>
        <v>1</v>
      </c>
      <c r="Q13" s="1" t="str">
        <f>IF(HR_Data[[#This Row],[Years At Company]]&lt;=HR_Data[[#This Row],[Total Working Years]],"Valid","error")</f>
        <v>Valid</v>
      </c>
      <c r="R13" s="1" t="str" cm="1">
        <f t="array" ref="R13">_xlfn.IFS(HR_Data[[#This Row],[Age]]&lt;=30,"Young", HR_Data[[#This Row],[Age]]&lt;=45,"Mid-Age",HR_Data[[#This Row],[Age]]&gt;45,"Senior")</f>
        <v>Young</v>
      </c>
      <c r="S13" s="1" t="str" cm="1">
        <f t="array" ref="S13">_xlfn.IFS(HR_Data[[#This Row],[Monthly Income]]&lt;5000,"Low", HR_Data[[#This Row],[Monthly Income]]&lt;10000,"Medium",TRUE,"High")</f>
        <v>Low</v>
      </c>
      <c r="T13" s="1" t="str" cm="1">
        <f t="array" ref="T13">_xlfn.IFS(HR_Data[[#This Row],[Total Working Years]]&lt;=5,"Junior", HR_Data[[#This Row],[Total Working Years]]&lt;=15,"Mid-Level", TRUE, "Senior")</f>
        <v>Mid-Level</v>
      </c>
    </row>
    <row r="14" spans="1:20" x14ac:dyDescent="0.25">
      <c r="A14" s="1">
        <v>16</v>
      </c>
      <c r="B14" s="1">
        <v>31</v>
      </c>
      <c r="C14" t="s">
        <v>9</v>
      </c>
      <c r="D14" t="s">
        <v>10</v>
      </c>
      <c r="E14" t="s">
        <v>6</v>
      </c>
      <c r="F14" t="s">
        <v>11</v>
      </c>
      <c r="G14" t="s">
        <v>12</v>
      </c>
      <c r="H14" s="1">
        <v>3</v>
      </c>
      <c r="I14" s="1">
        <v>2911</v>
      </c>
      <c r="J14" t="s">
        <v>9</v>
      </c>
      <c r="K14" s="1">
        <v>17</v>
      </c>
      <c r="L14" s="1">
        <v>3</v>
      </c>
      <c r="M14" s="1">
        <v>5</v>
      </c>
      <c r="N14" s="1">
        <v>2</v>
      </c>
      <c r="O14" s="1">
        <v>5</v>
      </c>
      <c r="P14" s="1">
        <f>COUNTIF(HR_Data[Employee Number],HR_Data[[#This Row],[Employee Number]])</f>
        <v>1</v>
      </c>
      <c r="Q14" s="1" t="str">
        <f>IF(HR_Data[[#This Row],[Years At Company]]&lt;=HR_Data[[#This Row],[Total Working Years]],"Valid","error")</f>
        <v>Valid</v>
      </c>
      <c r="R14" s="1" t="str" cm="1">
        <f t="array" ref="R14">_xlfn.IFS(HR_Data[[#This Row],[Age]]&lt;=30,"Young", HR_Data[[#This Row],[Age]]&lt;=45,"Mid-Age",HR_Data[[#This Row],[Age]]&gt;45,"Senior")</f>
        <v>Mid-Age</v>
      </c>
      <c r="S14" s="1" t="str" cm="1">
        <f t="array" ref="S14">_xlfn.IFS(HR_Data[[#This Row],[Monthly Income]]&lt;5000,"Low", HR_Data[[#This Row],[Monthly Income]]&lt;10000,"Medium",TRUE,"High")</f>
        <v>Low</v>
      </c>
      <c r="T14" s="1" t="str" cm="1">
        <f t="array" ref="T14">_xlfn.IFS(HR_Data[[#This Row],[Total Working Years]]&lt;=5,"Junior", HR_Data[[#This Row],[Total Working Years]]&lt;=15,"Mid-Level", TRUE, "Senior")</f>
        <v>Junior</v>
      </c>
    </row>
    <row r="15" spans="1:20" x14ac:dyDescent="0.25">
      <c r="A15" s="1">
        <v>18</v>
      </c>
      <c r="B15" s="1">
        <v>34</v>
      </c>
      <c r="C15" t="s">
        <v>9</v>
      </c>
      <c r="D15" t="s">
        <v>10</v>
      </c>
      <c r="E15" t="s">
        <v>15</v>
      </c>
      <c r="F15" t="s">
        <v>11</v>
      </c>
      <c r="G15" t="s">
        <v>14</v>
      </c>
      <c r="H15" s="1">
        <v>4</v>
      </c>
      <c r="I15" s="1">
        <v>2661</v>
      </c>
      <c r="J15" t="s">
        <v>9</v>
      </c>
      <c r="K15" s="1">
        <v>11</v>
      </c>
      <c r="L15" s="1">
        <v>3</v>
      </c>
      <c r="M15" s="1">
        <v>3</v>
      </c>
      <c r="N15" s="1">
        <v>3</v>
      </c>
      <c r="O15" s="1">
        <v>2</v>
      </c>
      <c r="P15" s="1">
        <f>COUNTIF(HR_Data[Employee Number],HR_Data[[#This Row],[Employee Number]])</f>
        <v>1</v>
      </c>
      <c r="Q15" s="1" t="str">
        <f>IF(HR_Data[[#This Row],[Years At Company]]&lt;=HR_Data[[#This Row],[Total Working Years]],"Valid","error")</f>
        <v>Valid</v>
      </c>
      <c r="R15" s="1" t="str" cm="1">
        <f t="array" ref="R15">_xlfn.IFS(HR_Data[[#This Row],[Age]]&lt;=30,"Young", HR_Data[[#This Row],[Age]]&lt;=45,"Mid-Age",HR_Data[[#This Row],[Age]]&gt;45,"Senior")</f>
        <v>Mid-Age</v>
      </c>
      <c r="S15" s="1" t="str" cm="1">
        <f t="array" ref="S15">_xlfn.IFS(HR_Data[[#This Row],[Monthly Income]]&lt;5000,"Low", HR_Data[[#This Row],[Monthly Income]]&lt;10000,"Medium",TRUE,"High")</f>
        <v>Low</v>
      </c>
      <c r="T15" s="1" t="str" cm="1">
        <f t="array" ref="T15">_xlfn.IFS(HR_Data[[#This Row],[Total Working Years]]&lt;=5,"Junior", HR_Data[[#This Row],[Total Working Years]]&lt;=15,"Mid-Level", TRUE, "Senior")</f>
        <v>Junior</v>
      </c>
    </row>
    <row r="16" spans="1:20" x14ac:dyDescent="0.25">
      <c r="A16" s="1">
        <v>19</v>
      </c>
      <c r="B16" s="1">
        <v>28</v>
      </c>
      <c r="C16" t="s">
        <v>4</v>
      </c>
      <c r="D16" t="s">
        <v>10</v>
      </c>
      <c r="E16" t="s">
        <v>6</v>
      </c>
      <c r="F16" t="s">
        <v>11</v>
      </c>
      <c r="G16" t="s">
        <v>14</v>
      </c>
      <c r="H16" s="1">
        <v>3</v>
      </c>
      <c r="I16" s="1">
        <v>2028</v>
      </c>
      <c r="J16" t="s">
        <v>4</v>
      </c>
      <c r="K16" s="1">
        <v>14</v>
      </c>
      <c r="L16" s="1">
        <v>3</v>
      </c>
      <c r="M16" s="1">
        <v>6</v>
      </c>
      <c r="N16" s="1">
        <v>3</v>
      </c>
      <c r="O16" s="1">
        <v>4</v>
      </c>
      <c r="P16" s="1">
        <f>COUNTIF(HR_Data[Employee Number],HR_Data[[#This Row],[Employee Number]])</f>
        <v>1</v>
      </c>
      <c r="Q16" s="1" t="str">
        <f>IF(HR_Data[[#This Row],[Years At Company]]&lt;=HR_Data[[#This Row],[Total Working Years]],"Valid","error")</f>
        <v>Valid</v>
      </c>
      <c r="R16" s="1" t="str" cm="1">
        <f t="array" ref="R16">_xlfn.IFS(HR_Data[[#This Row],[Age]]&lt;=30,"Young", HR_Data[[#This Row],[Age]]&lt;=45,"Mid-Age",HR_Data[[#This Row],[Age]]&gt;45,"Senior")</f>
        <v>Young</v>
      </c>
      <c r="S16" s="1" t="str" cm="1">
        <f t="array" ref="S16">_xlfn.IFS(HR_Data[[#This Row],[Monthly Income]]&lt;5000,"Low", HR_Data[[#This Row],[Monthly Income]]&lt;10000,"Medium",TRUE,"High")</f>
        <v>Low</v>
      </c>
      <c r="T16" s="1" t="str" cm="1">
        <f t="array" ref="T16">_xlfn.IFS(HR_Data[[#This Row],[Total Working Years]]&lt;=5,"Junior", HR_Data[[#This Row],[Total Working Years]]&lt;=15,"Mid-Level", TRUE, "Senior")</f>
        <v>Mid-Level</v>
      </c>
    </row>
    <row r="17" spans="1:20" x14ac:dyDescent="0.25">
      <c r="A17" s="1">
        <v>20</v>
      </c>
      <c r="B17" s="1">
        <v>29</v>
      </c>
      <c r="C17" t="s">
        <v>9</v>
      </c>
      <c r="D17" t="s">
        <v>10</v>
      </c>
      <c r="E17" t="s">
        <v>6</v>
      </c>
      <c r="F17" t="s">
        <v>7</v>
      </c>
      <c r="G17" t="s">
        <v>16</v>
      </c>
      <c r="H17" s="1">
        <v>1</v>
      </c>
      <c r="I17" s="1">
        <v>9980</v>
      </c>
      <c r="J17" t="s">
        <v>9</v>
      </c>
      <c r="K17" s="1">
        <v>11</v>
      </c>
      <c r="L17" s="1">
        <v>3</v>
      </c>
      <c r="M17" s="1">
        <v>10</v>
      </c>
      <c r="N17" s="1">
        <v>3</v>
      </c>
      <c r="O17" s="1">
        <v>10</v>
      </c>
      <c r="P17" s="1">
        <f>COUNTIF(HR_Data[Employee Number],HR_Data[[#This Row],[Employee Number]])</f>
        <v>1</v>
      </c>
      <c r="Q17" s="1" t="str">
        <f>IF(HR_Data[[#This Row],[Years At Company]]&lt;=HR_Data[[#This Row],[Total Working Years]],"Valid","error")</f>
        <v>Valid</v>
      </c>
      <c r="R17" s="1" t="str" cm="1">
        <f t="array" ref="R17">_xlfn.IFS(HR_Data[[#This Row],[Age]]&lt;=30,"Young", HR_Data[[#This Row],[Age]]&lt;=45,"Mid-Age",HR_Data[[#This Row],[Age]]&gt;45,"Senior")</f>
        <v>Young</v>
      </c>
      <c r="S17" s="1" t="str" cm="1">
        <f t="array" ref="S17">_xlfn.IFS(HR_Data[[#This Row],[Monthly Income]]&lt;5000,"Low", HR_Data[[#This Row],[Monthly Income]]&lt;10000,"Medium",TRUE,"High")</f>
        <v>Medium</v>
      </c>
      <c r="T17" s="1" t="str" cm="1">
        <f t="array" ref="T17">_xlfn.IFS(HR_Data[[#This Row],[Total Working Years]]&lt;=5,"Junior", HR_Data[[#This Row],[Total Working Years]]&lt;=15,"Mid-Level", TRUE, "Senior")</f>
        <v>Mid-Level</v>
      </c>
    </row>
    <row r="18" spans="1:20" x14ac:dyDescent="0.25">
      <c r="A18" s="1">
        <v>21</v>
      </c>
      <c r="B18" s="1">
        <v>32</v>
      </c>
      <c r="C18" t="s">
        <v>9</v>
      </c>
      <c r="D18" t="s">
        <v>10</v>
      </c>
      <c r="E18" t="s">
        <v>6</v>
      </c>
      <c r="F18" t="s">
        <v>11</v>
      </c>
      <c r="G18" t="s">
        <v>12</v>
      </c>
      <c r="H18" s="1">
        <v>2</v>
      </c>
      <c r="I18" s="1">
        <v>3298</v>
      </c>
      <c r="J18" t="s">
        <v>4</v>
      </c>
      <c r="K18" s="1">
        <v>12</v>
      </c>
      <c r="L18" s="1">
        <v>3</v>
      </c>
      <c r="M18" s="1">
        <v>7</v>
      </c>
      <c r="N18" s="1">
        <v>2</v>
      </c>
      <c r="O18" s="1">
        <v>6</v>
      </c>
      <c r="P18" s="1">
        <f>COUNTIF(HR_Data[Employee Number],HR_Data[[#This Row],[Employee Number]])</f>
        <v>1</v>
      </c>
      <c r="Q18" s="1" t="str">
        <f>IF(HR_Data[[#This Row],[Years At Company]]&lt;=HR_Data[[#This Row],[Total Working Years]],"Valid","error")</f>
        <v>Valid</v>
      </c>
      <c r="R18" s="1" t="str" cm="1">
        <f t="array" ref="R18">_xlfn.IFS(HR_Data[[#This Row],[Age]]&lt;=30,"Young", HR_Data[[#This Row],[Age]]&lt;=45,"Mid-Age",HR_Data[[#This Row],[Age]]&gt;45,"Senior")</f>
        <v>Mid-Age</v>
      </c>
      <c r="S18" s="1" t="str" cm="1">
        <f t="array" ref="S18">_xlfn.IFS(HR_Data[[#This Row],[Monthly Income]]&lt;5000,"Low", HR_Data[[#This Row],[Monthly Income]]&lt;10000,"Medium",TRUE,"High")</f>
        <v>Low</v>
      </c>
      <c r="T18" s="1" t="str" cm="1">
        <f t="array" ref="T18">_xlfn.IFS(HR_Data[[#This Row],[Total Working Years]]&lt;=5,"Junior", HR_Data[[#This Row],[Total Working Years]]&lt;=15,"Mid-Level", TRUE, "Senior")</f>
        <v>Mid-Level</v>
      </c>
    </row>
    <row r="19" spans="1:20" x14ac:dyDescent="0.25">
      <c r="A19" s="1">
        <v>22</v>
      </c>
      <c r="B19" s="1">
        <v>22</v>
      </c>
      <c r="C19" t="s">
        <v>9</v>
      </c>
      <c r="D19" t="s">
        <v>10</v>
      </c>
      <c r="E19" t="s">
        <v>15</v>
      </c>
      <c r="F19" t="s">
        <v>11</v>
      </c>
      <c r="G19" t="s">
        <v>14</v>
      </c>
      <c r="H19" s="1">
        <v>4</v>
      </c>
      <c r="I19" s="1">
        <v>2935</v>
      </c>
      <c r="J19" t="s">
        <v>4</v>
      </c>
      <c r="K19" s="1">
        <v>13</v>
      </c>
      <c r="L19" s="1">
        <v>3</v>
      </c>
      <c r="M19" s="1">
        <v>1</v>
      </c>
      <c r="N19" s="1">
        <v>2</v>
      </c>
      <c r="O19" s="1">
        <v>1</v>
      </c>
      <c r="P19" s="1">
        <f>COUNTIF(HR_Data[Employee Number],HR_Data[[#This Row],[Employee Number]])</f>
        <v>1</v>
      </c>
      <c r="Q19" s="1" t="str">
        <f>IF(HR_Data[[#This Row],[Years At Company]]&lt;=HR_Data[[#This Row],[Total Working Years]],"Valid","error")</f>
        <v>Valid</v>
      </c>
      <c r="R19" s="1" t="str" cm="1">
        <f t="array" ref="R19">_xlfn.IFS(HR_Data[[#This Row],[Age]]&lt;=30,"Young", HR_Data[[#This Row],[Age]]&lt;=45,"Mid-Age",HR_Data[[#This Row],[Age]]&gt;45,"Senior")</f>
        <v>Young</v>
      </c>
      <c r="S19" s="1" t="str" cm="1">
        <f t="array" ref="S19">_xlfn.IFS(HR_Data[[#This Row],[Monthly Income]]&lt;5000,"Low", HR_Data[[#This Row],[Monthly Income]]&lt;10000,"Medium",TRUE,"High")</f>
        <v>Low</v>
      </c>
      <c r="T19" s="1" t="str" cm="1">
        <f t="array" ref="T19">_xlfn.IFS(HR_Data[[#This Row],[Total Working Years]]&lt;=5,"Junior", HR_Data[[#This Row],[Total Working Years]]&lt;=15,"Mid-Level", TRUE, "Senior")</f>
        <v>Junior</v>
      </c>
    </row>
    <row r="20" spans="1:20" x14ac:dyDescent="0.25">
      <c r="A20" s="1">
        <v>23</v>
      </c>
      <c r="B20" s="1">
        <v>53</v>
      </c>
      <c r="C20" t="s">
        <v>9</v>
      </c>
      <c r="D20" t="s">
        <v>5</v>
      </c>
      <c r="E20" t="s">
        <v>6</v>
      </c>
      <c r="F20" t="s">
        <v>7</v>
      </c>
      <c r="G20" t="s">
        <v>18</v>
      </c>
      <c r="H20" s="1">
        <v>4</v>
      </c>
      <c r="I20" s="1">
        <v>15427</v>
      </c>
      <c r="J20" t="s">
        <v>9</v>
      </c>
      <c r="K20" s="1">
        <v>16</v>
      </c>
      <c r="L20" s="1">
        <v>3</v>
      </c>
      <c r="M20" s="1">
        <v>31</v>
      </c>
      <c r="N20" s="1">
        <v>3</v>
      </c>
      <c r="O20" s="1">
        <v>25</v>
      </c>
      <c r="P20" s="1">
        <f>COUNTIF(HR_Data[Employee Number],HR_Data[[#This Row],[Employee Number]])</f>
        <v>1</v>
      </c>
      <c r="Q20" s="1" t="str">
        <f>IF(HR_Data[[#This Row],[Years At Company]]&lt;=HR_Data[[#This Row],[Total Working Years]],"Valid","error")</f>
        <v>Valid</v>
      </c>
      <c r="R20" s="1" t="str" cm="1">
        <f t="array" ref="R20">_xlfn.IFS(HR_Data[[#This Row],[Age]]&lt;=30,"Young", HR_Data[[#This Row],[Age]]&lt;=45,"Mid-Age",HR_Data[[#This Row],[Age]]&gt;45,"Senior")</f>
        <v>Senior</v>
      </c>
      <c r="S20" s="1" t="str" cm="1">
        <f t="array" ref="S20">_xlfn.IFS(HR_Data[[#This Row],[Monthly Income]]&lt;5000,"Low", HR_Data[[#This Row],[Monthly Income]]&lt;10000,"Medium",TRUE,"High")</f>
        <v>High</v>
      </c>
      <c r="T20" s="1" t="str" cm="1">
        <f t="array" ref="T20">_xlfn.IFS(HR_Data[[#This Row],[Total Working Years]]&lt;=5,"Junior", HR_Data[[#This Row],[Total Working Years]]&lt;=15,"Mid-Level", TRUE, "Senior")</f>
        <v>Senior</v>
      </c>
    </row>
    <row r="21" spans="1:20" x14ac:dyDescent="0.25">
      <c r="A21" s="1">
        <v>24</v>
      </c>
      <c r="B21" s="1">
        <v>38</v>
      </c>
      <c r="C21" t="s">
        <v>9</v>
      </c>
      <c r="D21" t="s">
        <v>10</v>
      </c>
      <c r="E21" t="s">
        <v>6</v>
      </c>
      <c r="F21" t="s">
        <v>11</v>
      </c>
      <c r="G21" t="s">
        <v>12</v>
      </c>
      <c r="H21" s="1">
        <v>4</v>
      </c>
      <c r="I21" s="1">
        <v>3944</v>
      </c>
      <c r="J21" t="s">
        <v>4</v>
      </c>
      <c r="K21" s="1">
        <v>11</v>
      </c>
      <c r="L21" s="1">
        <v>3</v>
      </c>
      <c r="M21" s="1">
        <v>6</v>
      </c>
      <c r="N21" s="1">
        <v>3</v>
      </c>
      <c r="O21" s="1">
        <v>3</v>
      </c>
      <c r="P21" s="1">
        <f>COUNTIF(HR_Data[Employee Number],HR_Data[[#This Row],[Employee Number]])</f>
        <v>1</v>
      </c>
      <c r="Q21" s="1" t="str">
        <f>IF(HR_Data[[#This Row],[Years At Company]]&lt;=HR_Data[[#This Row],[Total Working Years]],"Valid","error")</f>
        <v>Valid</v>
      </c>
      <c r="R21" s="1" t="str" cm="1">
        <f t="array" ref="R21">_xlfn.IFS(HR_Data[[#This Row],[Age]]&lt;=30,"Young", HR_Data[[#This Row],[Age]]&lt;=45,"Mid-Age",HR_Data[[#This Row],[Age]]&gt;45,"Senior")</f>
        <v>Mid-Age</v>
      </c>
      <c r="S21" s="1" t="str" cm="1">
        <f t="array" ref="S21">_xlfn.IFS(HR_Data[[#This Row],[Monthly Income]]&lt;5000,"Low", HR_Data[[#This Row],[Monthly Income]]&lt;10000,"Medium",TRUE,"High")</f>
        <v>Low</v>
      </c>
      <c r="T21" s="1" t="str" cm="1">
        <f t="array" ref="T21">_xlfn.IFS(HR_Data[[#This Row],[Total Working Years]]&lt;=5,"Junior", HR_Data[[#This Row],[Total Working Years]]&lt;=15,"Mid-Level", TRUE, "Senior")</f>
        <v>Mid-Level</v>
      </c>
    </row>
    <row r="22" spans="1:20" x14ac:dyDescent="0.25">
      <c r="A22" s="1">
        <v>26</v>
      </c>
      <c r="B22" s="1">
        <v>24</v>
      </c>
      <c r="C22" t="s">
        <v>9</v>
      </c>
      <c r="D22" t="s">
        <v>10</v>
      </c>
      <c r="E22" t="s">
        <v>13</v>
      </c>
      <c r="F22" t="s">
        <v>7</v>
      </c>
      <c r="G22" t="s">
        <v>16</v>
      </c>
      <c r="H22" s="1">
        <v>3</v>
      </c>
      <c r="I22" s="1">
        <v>4011</v>
      </c>
      <c r="J22" t="s">
        <v>9</v>
      </c>
      <c r="K22" s="1">
        <v>18</v>
      </c>
      <c r="L22" s="1">
        <v>3</v>
      </c>
      <c r="M22" s="1">
        <v>5</v>
      </c>
      <c r="N22" s="1">
        <v>2</v>
      </c>
      <c r="O22" s="1">
        <v>4</v>
      </c>
      <c r="P22" s="1">
        <f>COUNTIF(HR_Data[Employee Number],HR_Data[[#This Row],[Employee Number]])</f>
        <v>1</v>
      </c>
      <c r="Q22" s="1" t="str">
        <f>IF(HR_Data[[#This Row],[Years At Company]]&lt;=HR_Data[[#This Row],[Total Working Years]],"Valid","error")</f>
        <v>Valid</v>
      </c>
      <c r="R22" s="1" t="str" cm="1">
        <f t="array" ref="R22">_xlfn.IFS(HR_Data[[#This Row],[Age]]&lt;=30,"Young", HR_Data[[#This Row],[Age]]&lt;=45,"Mid-Age",HR_Data[[#This Row],[Age]]&gt;45,"Senior")</f>
        <v>Young</v>
      </c>
      <c r="S22" s="1" t="str" cm="1">
        <f t="array" ref="S22">_xlfn.IFS(HR_Data[[#This Row],[Monthly Income]]&lt;5000,"Low", HR_Data[[#This Row],[Monthly Income]]&lt;10000,"Medium",TRUE,"High")</f>
        <v>Low</v>
      </c>
      <c r="T22" s="1" t="str" cm="1">
        <f t="array" ref="T22">_xlfn.IFS(HR_Data[[#This Row],[Total Working Years]]&lt;=5,"Junior", HR_Data[[#This Row],[Total Working Years]]&lt;=15,"Mid-Level", TRUE, "Senior")</f>
        <v>Junior</v>
      </c>
    </row>
    <row r="23" spans="1:20" x14ac:dyDescent="0.25">
      <c r="A23" s="1">
        <v>27</v>
      </c>
      <c r="B23" s="1">
        <v>36</v>
      </c>
      <c r="C23" t="s">
        <v>4</v>
      </c>
      <c r="D23" t="s">
        <v>5</v>
      </c>
      <c r="E23" t="s">
        <v>6</v>
      </c>
      <c r="F23" t="s">
        <v>11</v>
      </c>
      <c r="G23" t="s">
        <v>19</v>
      </c>
      <c r="H23" s="1">
        <v>1</v>
      </c>
      <c r="I23" s="1">
        <v>3407</v>
      </c>
      <c r="J23" t="s">
        <v>9</v>
      </c>
      <c r="K23" s="1">
        <v>23</v>
      </c>
      <c r="L23" s="1">
        <v>4</v>
      </c>
      <c r="M23" s="1">
        <v>10</v>
      </c>
      <c r="N23" s="1">
        <v>3</v>
      </c>
      <c r="O23" s="1">
        <v>5</v>
      </c>
      <c r="P23" s="1">
        <f>COUNTIF(HR_Data[Employee Number],HR_Data[[#This Row],[Employee Number]])</f>
        <v>1</v>
      </c>
      <c r="Q23" s="1" t="str">
        <f>IF(HR_Data[[#This Row],[Years At Company]]&lt;=HR_Data[[#This Row],[Total Working Years]],"Valid","error")</f>
        <v>Valid</v>
      </c>
      <c r="R23" s="1" t="str" cm="1">
        <f t="array" ref="R23">_xlfn.IFS(HR_Data[[#This Row],[Age]]&lt;=30,"Young", HR_Data[[#This Row],[Age]]&lt;=45,"Mid-Age",HR_Data[[#This Row],[Age]]&gt;45,"Senior")</f>
        <v>Mid-Age</v>
      </c>
      <c r="S23" s="1" t="str" cm="1">
        <f t="array" ref="S23">_xlfn.IFS(HR_Data[[#This Row],[Monthly Income]]&lt;5000,"Low", HR_Data[[#This Row],[Monthly Income]]&lt;10000,"Medium",TRUE,"High")</f>
        <v>Low</v>
      </c>
      <c r="T23" s="1" t="str" cm="1">
        <f t="array" ref="T23">_xlfn.IFS(HR_Data[[#This Row],[Total Working Years]]&lt;=5,"Junior", HR_Data[[#This Row],[Total Working Years]]&lt;=15,"Mid-Level", TRUE, "Senior")</f>
        <v>Mid-Level</v>
      </c>
    </row>
    <row r="24" spans="1:20" x14ac:dyDescent="0.25">
      <c r="A24" s="1">
        <v>28</v>
      </c>
      <c r="B24" s="1">
        <v>34</v>
      </c>
      <c r="C24" t="s">
        <v>9</v>
      </c>
      <c r="D24" t="s">
        <v>10</v>
      </c>
      <c r="E24" t="s">
        <v>6</v>
      </c>
      <c r="F24" t="s">
        <v>7</v>
      </c>
      <c r="G24" t="s">
        <v>20</v>
      </c>
      <c r="H24" s="1">
        <v>2</v>
      </c>
      <c r="I24" s="1">
        <v>11994</v>
      </c>
      <c r="J24" t="s">
        <v>9</v>
      </c>
      <c r="K24" s="1">
        <v>11</v>
      </c>
      <c r="L24" s="1">
        <v>3</v>
      </c>
      <c r="M24" s="1">
        <v>13</v>
      </c>
      <c r="N24" s="1">
        <v>3</v>
      </c>
      <c r="O24" s="1">
        <v>12</v>
      </c>
      <c r="P24" s="1">
        <f>COUNTIF(HR_Data[Employee Number],HR_Data[[#This Row],[Employee Number]])</f>
        <v>1</v>
      </c>
      <c r="Q24" s="1" t="str">
        <f>IF(HR_Data[[#This Row],[Years At Company]]&lt;=HR_Data[[#This Row],[Total Working Years]],"Valid","error")</f>
        <v>Valid</v>
      </c>
      <c r="R24" s="1" t="str" cm="1">
        <f t="array" ref="R24">_xlfn.IFS(HR_Data[[#This Row],[Age]]&lt;=30,"Young", HR_Data[[#This Row],[Age]]&lt;=45,"Mid-Age",HR_Data[[#This Row],[Age]]&gt;45,"Senior")</f>
        <v>Mid-Age</v>
      </c>
      <c r="S24" s="1" t="str" cm="1">
        <f t="array" ref="S24">_xlfn.IFS(HR_Data[[#This Row],[Monthly Income]]&lt;5000,"Low", HR_Data[[#This Row],[Monthly Income]]&lt;10000,"Medium",TRUE,"High")</f>
        <v>High</v>
      </c>
      <c r="T24" s="1" t="str" cm="1">
        <f t="array" ref="T24">_xlfn.IFS(HR_Data[[#This Row],[Total Working Years]]&lt;=5,"Junior", HR_Data[[#This Row],[Total Working Years]]&lt;=15,"Mid-Level", TRUE, "Senior")</f>
        <v>Mid-Level</v>
      </c>
    </row>
    <row r="25" spans="1:20" x14ac:dyDescent="0.25">
      <c r="A25" s="1">
        <v>30</v>
      </c>
      <c r="B25" s="1">
        <v>21</v>
      </c>
      <c r="C25" t="s">
        <v>9</v>
      </c>
      <c r="D25" t="s">
        <v>10</v>
      </c>
      <c r="E25" t="s">
        <v>6</v>
      </c>
      <c r="F25" t="s">
        <v>11</v>
      </c>
      <c r="G25" t="s">
        <v>12</v>
      </c>
      <c r="H25" s="1">
        <v>4</v>
      </c>
      <c r="I25" s="1">
        <v>1232</v>
      </c>
      <c r="J25" t="s">
        <v>9</v>
      </c>
      <c r="K25" s="1">
        <v>14</v>
      </c>
      <c r="L25" s="1">
        <v>3</v>
      </c>
      <c r="M25" s="1">
        <v>0</v>
      </c>
      <c r="N25" s="1">
        <v>3</v>
      </c>
      <c r="O25" s="1">
        <v>0</v>
      </c>
      <c r="P25" s="1">
        <f>COUNTIF(HR_Data[Employee Number],HR_Data[[#This Row],[Employee Number]])</f>
        <v>1</v>
      </c>
      <c r="Q25" s="1" t="str">
        <f>IF(HR_Data[[#This Row],[Years At Company]]&lt;=HR_Data[[#This Row],[Total Working Years]],"Valid","error")</f>
        <v>Valid</v>
      </c>
      <c r="R25" s="1" t="str" cm="1">
        <f t="array" ref="R25">_xlfn.IFS(HR_Data[[#This Row],[Age]]&lt;=30,"Young", HR_Data[[#This Row],[Age]]&lt;=45,"Mid-Age",HR_Data[[#This Row],[Age]]&gt;45,"Senior")</f>
        <v>Young</v>
      </c>
      <c r="S25" s="1" t="str" cm="1">
        <f t="array" ref="S25">_xlfn.IFS(HR_Data[[#This Row],[Monthly Income]]&lt;5000,"Low", HR_Data[[#This Row],[Monthly Income]]&lt;10000,"Medium",TRUE,"High")</f>
        <v>Low</v>
      </c>
      <c r="T25" s="1" t="str" cm="1">
        <f t="array" ref="T25">_xlfn.IFS(HR_Data[[#This Row],[Total Working Years]]&lt;=5,"Junior", HR_Data[[#This Row],[Total Working Years]]&lt;=15,"Mid-Level", TRUE, "Senior")</f>
        <v>Junior</v>
      </c>
    </row>
    <row r="26" spans="1:20" x14ac:dyDescent="0.25">
      <c r="A26" s="1">
        <v>31</v>
      </c>
      <c r="B26" s="1">
        <v>34</v>
      </c>
      <c r="C26" t="s">
        <v>4</v>
      </c>
      <c r="D26" t="s">
        <v>10</v>
      </c>
      <c r="E26" t="s">
        <v>15</v>
      </c>
      <c r="F26" t="s">
        <v>11</v>
      </c>
      <c r="G26" t="s">
        <v>12</v>
      </c>
      <c r="H26" s="1">
        <v>1</v>
      </c>
      <c r="I26" s="1">
        <v>2960</v>
      </c>
      <c r="J26" t="s">
        <v>9</v>
      </c>
      <c r="K26" s="1">
        <v>11</v>
      </c>
      <c r="L26" s="1">
        <v>3</v>
      </c>
      <c r="M26" s="1">
        <v>8</v>
      </c>
      <c r="N26" s="1">
        <v>3</v>
      </c>
      <c r="O26" s="1">
        <v>4</v>
      </c>
      <c r="P26" s="1">
        <f>COUNTIF(HR_Data[Employee Number],HR_Data[[#This Row],[Employee Number]])</f>
        <v>1</v>
      </c>
      <c r="Q26" s="1" t="str">
        <f>IF(HR_Data[[#This Row],[Years At Company]]&lt;=HR_Data[[#This Row],[Total Working Years]],"Valid","error")</f>
        <v>Valid</v>
      </c>
      <c r="R26" s="1" t="str" cm="1">
        <f t="array" ref="R26">_xlfn.IFS(HR_Data[[#This Row],[Age]]&lt;=30,"Young", HR_Data[[#This Row],[Age]]&lt;=45,"Mid-Age",HR_Data[[#This Row],[Age]]&gt;45,"Senior")</f>
        <v>Mid-Age</v>
      </c>
      <c r="S26" s="1" t="str" cm="1">
        <f t="array" ref="S26">_xlfn.IFS(HR_Data[[#This Row],[Monthly Income]]&lt;5000,"Low", HR_Data[[#This Row],[Monthly Income]]&lt;10000,"Medium",TRUE,"High")</f>
        <v>Low</v>
      </c>
      <c r="T26" s="1" t="str" cm="1">
        <f t="array" ref="T26">_xlfn.IFS(HR_Data[[#This Row],[Total Working Years]]&lt;=5,"Junior", HR_Data[[#This Row],[Total Working Years]]&lt;=15,"Mid-Level", TRUE, "Senior")</f>
        <v>Mid-Level</v>
      </c>
    </row>
    <row r="27" spans="1:20" x14ac:dyDescent="0.25">
      <c r="A27" s="1">
        <v>32</v>
      </c>
      <c r="B27" s="1">
        <v>53</v>
      </c>
      <c r="C27" t="s">
        <v>9</v>
      </c>
      <c r="D27" t="s">
        <v>10</v>
      </c>
      <c r="E27" t="s">
        <v>13</v>
      </c>
      <c r="F27" t="s">
        <v>7</v>
      </c>
      <c r="G27" t="s">
        <v>18</v>
      </c>
      <c r="H27" s="1">
        <v>3</v>
      </c>
      <c r="I27" s="1">
        <v>19094</v>
      </c>
      <c r="J27" t="s">
        <v>9</v>
      </c>
      <c r="K27" s="1">
        <v>11</v>
      </c>
      <c r="L27" s="1">
        <v>3</v>
      </c>
      <c r="M27" s="1">
        <v>26</v>
      </c>
      <c r="N27" s="1">
        <v>2</v>
      </c>
      <c r="O27" s="1">
        <v>14</v>
      </c>
      <c r="P27" s="1">
        <f>COUNTIF(HR_Data[Employee Number],HR_Data[[#This Row],[Employee Number]])</f>
        <v>1</v>
      </c>
      <c r="Q27" s="1" t="str">
        <f>IF(HR_Data[[#This Row],[Years At Company]]&lt;=HR_Data[[#This Row],[Total Working Years]],"Valid","error")</f>
        <v>Valid</v>
      </c>
      <c r="R27" s="1" t="str" cm="1">
        <f t="array" ref="R27">_xlfn.IFS(HR_Data[[#This Row],[Age]]&lt;=30,"Young", HR_Data[[#This Row],[Age]]&lt;=45,"Mid-Age",HR_Data[[#This Row],[Age]]&gt;45,"Senior")</f>
        <v>Senior</v>
      </c>
      <c r="S27" s="1" t="str" cm="1">
        <f t="array" ref="S27">_xlfn.IFS(HR_Data[[#This Row],[Monthly Income]]&lt;5000,"Low", HR_Data[[#This Row],[Monthly Income]]&lt;10000,"Medium",TRUE,"High")</f>
        <v>High</v>
      </c>
      <c r="T27" s="1" t="str" cm="1">
        <f t="array" ref="T27">_xlfn.IFS(HR_Data[[#This Row],[Total Working Years]]&lt;=5,"Junior", HR_Data[[#This Row],[Total Working Years]]&lt;=15,"Mid-Level", TRUE, "Senior")</f>
        <v>Senior</v>
      </c>
    </row>
    <row r="28" spans="1:20" x14ac:dyDescent="0.25">
      <c r="A28" s="1">
        <v>33</v>
      </c>
      <c r="B28" s="1">
        <v>32</v>
      </c>
      <c r="C28" t="s">
        <v>4</v>
      </c>
      <c r="D28" t="s">
        <v>10</v>
      </c>
      <c r="E28" t="s">
        <v>6</v>
      </c>
      <c r="F28" t="s">
        <v>7</v>
      </c>
      <c r="G28" t="s">
        <v>12</v>
      </c>
      <c r="H28" s="1">
        <v>1</v>
      </c>
      <c r="I28" s="1">
        <v>3919</v>
      </c>
      <c r="J28" t="s">
        <v>4</v>
      </c>
      <c r="K28" s="1">
        <v>22</v>
      </c>
      <c r="L28" s="1">
        <v>4</v>
      </c>
      <c r="M28" s="1">
        <v>10</v>
      </c>
      <c r="N28" s="1">
        <v>3</v>
      </c>
      <c r="O28" s="1">
        <v>10</v>
      </c>
      <c r="P28" s="1">
        <f>COUNTIF(HR_Data[Employee Number],HR_Data[[#This Row],[Employee Number]])</f>
        <v>1</v>
      </c>
      <c r="Q28" s="1" t="str">
        <f>IF(HR_Data[[#This Row],[Years At Company]]&lt;=HR_Data[[#This Row],[Total Working Years]],"Valid","error")</f>
        <v>Valid</v>
      </c>
      <c r="R28" s="1" t="str" cm="1">
        <f t="array" ref="R28">_xlfn.IFS(HR_Data[[#This Row],[Age]]&lt;=30,"Young", HR_Data[[#This Row],[Age]]&lt;=45,"Mid-Age",HR_Data[[#This Row],[Age]]&gt;45,"Senior")</f>
        <v>Mid-Age</v>
      </c>
      <c r="S28" s="1" t="str" cm="1">
        <f t="array" ref="S28">_xlfn.IFS(HR_Data[[#This Row],[Monthly Income]]&lt;5000,"Low", HR_Data[[#This Row],[Monthly Income]]&lt;10000,"Medium",TRUE,"High")</f>
        <v>Low</v>
      </c>
      <c r="T28" s="1" t="str" cm="1">
        <f t="array" ref="T28">_xlfn.IFS(HR_Data[[#This Row],[Total Working Years]]&lt;=5,"Junior", HR_Data[[#This Row],[Total Working Years]]&lt;=15,"Mid-Level", TRUE, "Senior")</f>
        <v>Mid-Level</v>
      </c>
    </row>
    <row r="29" spans="1:20" x14ac:dyDescent="0.25">
      <c r="A29" s="1">
        <v>35</v>
      </c>
      <c r="B29" s="1">
        <v>42</v>
      </c>
      <c r="C29" t="s">
        <v>9</v>
      </c>
      <c r="D29" t="s">
        <v>5</v>
      </c>
      <c r="E29" t="s">
        <v>21</v>
      </c>
      <c r="F29" t="s">
        <v>11</v>
      </c>
      <c r="G29" t="s">
        <v>8</v>
      </c>
      <c r="H29" s="1">
        <v>2</v>
      </c>
      <c r="I29" s="1">
        <v>6825</v>
      </c>
      <c r="J29" t="s">
        <v>9</v>
      </c>
      <c r="K29" s="1">
        <v>11</v>
      </c>
      <c r="L29" s="1">
        <v>3</v>
      </c>
      <c r="M29" s="1">
        <v>10</v>
      </c>
      <c r="N29" s="1">
        <v>3</v>
      </c>
      <c r="O29" s="1">
        <v>9</v>
      </c>
      <c r="P29" s="1">
        <f>COUNTIF(HR_Data[Employee Number],HR_Data[[#This Row],[Employee Number]])</f>
        <v>1</v>
      </c>
      <c r="Q29" s="1" t="str">
        <f>IF(HR_Data[[#This Row],[Years At Company]]&lt;=HR_Data[[#This Row],[Total Working Years]],"Valid","error")</f>
        <v>Valid</v>
      </c>
      <c r="R29" s="1" t="str" cm="1">
        <f t="array" ref="R29">_xlfn.IFS(HR_Data[[#This Row],[Age]]&lt;=30,"Young", HR_Data[[#This Row],[Age]]&lt;=45,"Mid-Age",HR_Data[[#This Row],[Age]]&gt;45,"Senior")</f>
        <v>Mid-Age</v>
      </c>
      <c r="S29" s="1" t="str" cm="1">
        <f t="array" ref="S29">_xlfn.IFS(HR_Data[[#This Row],[Monthly Income]]&lt;5000,"Low", HR_Data[[#This Row],[Monthly Income]]&lt;10000,"Medium",TRUE,"High")</f>
        <v>Medium</v>
      </c>
      <c r="T29" s="1" t="str" cm="1">
        <f t="array" ref="T29">_xlfn.IFS(HR_Data[[#This Row],[Total Working Years]]&lt;=5,"Junior", HR_Data[[#This Row],[Total Working Years]]&lt;=15,"Mid-Level", TRUE, "Senior")</f>
        <v>Mid-Level</v>
      </c>
    </row>
    <row r="30" spans="1:20" x14ac:dyDescent="0.25">
      <c r="A30" s="1">
        <v>36</v>
      </c>
      <c r="B30" s="1">
        <v>44</v>
      </c>
      <c r="C30" t="s">
        <v>9</v>
      </c>
      <c r="D30" t="s">
        <v>10</v>
      </c>
      <c r="E30" t="s">
        <v>15</v>
      </c>
      <c r="F30" t="s">
        <v>7</v>
      </c>
      <c r="G30" t="s">
        <v>17</v>
      </c>
      <c r="H30" s="1">
        <v>4</v>
      </c>
      <c r="I30" s="1">
        <v>10248</v>
      </c>
      <c r="J30" t="s">
        <v>9</v>
      </c>
      <c r="K30" s="1">
        <v>14</v>
      </c>
      <c r="L30" s="1">
        <v>3</v>
      </c>
      <c r="M30" s="1">
        <v>24</v>
      </c>
      <c r="N30" s="1">
        <v>3</v>
      </c>
      <c r="O30" s="1">
        <v>22</v>
      </c>
      <c r="P30" s="1">
        <f>COUNTIF(HR_Data[Employee Number],HR_Data[[#This Row],[Employee Number]])</f>
        <v>1</v>
      </c>
      <c r="Q30" s="1" t="str">
        <f>IF(HR_Data[[#This Row],[Years At Company]]&lt;=HR_Data[[#This Row],[Total Working Years]],"Valid","error")</f>
        <v>Valid</v>
      </c>
      <c r="R30" s="1" t="str" cm="1">
        <f t="array" ref="R30">_xlfn.IFS(HR_Data[[#This Row],[Age]]&lt;=30,"Young", HR_Data[[#This Row],[Age]]&lt;=45,"Mid-Age",HR_Data[[#This Row],[Age]]&gt;45,"Senior")</f>
        <v>Mid-Age</v>
      </c>
      <c r="S30" s="1" t="str" cm="1">
        <f t="array" ref="S30">_xlfn.IFS(HR_Data[[#This Row],[Monthly Income]]&lt;5000,"Low", HR_Data[[#This Row],[Monthly Income]]&lt;10000,"Medium",TRUE,"High")</f>
        <v>High</v>
      </c>
      <c r="T30" s="1" t="str" cm="1">
        <f t="array" ref="T30">_xlfn.IFS(HR_Data[[#This Row],[Total Working Years]]&lt;=5,"Junior", HR_Data[[#This Row],[Total Working Years]]&lt;=15,"Mid-Level", TRUE, "Senior")</f>
        <v>Senior</v>
      </c>
    </row>
    <row r="31" spans="1:20" x14ac:dyDescent="0.25">
      <c r="A31" s="1">
        <v>38</v>
      </c>
      <c r="B31" s="1">
        <v>46</v>
      </c>
      <c r="C31" t="s">
        <v>9</v>
      </c>
      <c r="D31" t="s">
        <v>5</v>
      </c>
      <c r="E31" t="s">
        <v>21</v>
      </c>
      <c r="F31" t="s">
        <v>7</v>
      </c>
      <c r="G31" t="s">
        <v>18</v>
      </c>
      <c r="H31" s="1">
        <v>1</v>
      </c>
      <c r="I31" s="1">
        <v>18947</v>
      </c>
      <c r="J31" t="s">
        <v>9</v>
      </c>
      <c r="K31" s="1">
        <v>12</v>
      </c>
      <c r="L31" s="1">
        <v>3</v>
      </c>
      <c r="M31" s="1">
        <v>22</v>
      </c>
      <c r="N31" s="1">
        <v>2</v>
      </c>
      <c r="O31" s="1">
        <v>2</v>
      </c>
      <c r="P31" s="1">
        <f>COUNTIF(HR_Data[Employee Number],HR_Data[[#This Row],[Employee Number]])</f>
        <v>1</v>
      </c>
      <c r="Q31" s="1" t="str">
        <f>IF(HR_Data[[#This Row],[Years At Company]]&lt;=HR_Data[[#This Row],[Total Working Years]],"Valid","error")</f>
        <v>Valid</v>
      </c>
      <c r="R31" s="1" t="str" cm="1">
        <f t="array" ref="R31">_xlfn.IFS(HR_Data[[#This Row],[Age]]&lt;=30,"Young", HR_Data[[#This Row],[Age]]&lt;=45,"Mid-Age",HR_Data[[#This Row],[Age]]&gt;45,"Senior")</f>
        <v>Senior</v>
      </c>
      <c r="S31" s="1" t="str" cm="1">
        <f t="array" ref="S31">_xlfn.IFS(HR_Data[[#This Row],[Monthly Income]]&lt;5000,"Low", HR_Data[[#This Row],[Monthly Income]]&lt;10000,"Medium",TRUE,"High")</f>
        <v>High</v>
      </c>
      <c r="T31" s="1" t="str" cm="1">
        <f t="array" ref="T31">_xlfn.IFS(HR_Data[[#This Row],[Total Working Years]]&lt;=5,"Junior", HR_Data[[#This Row],[Total Working Years]]&lt;=15,"Mid-Level", TRUE, "Senior")</f>
        <v>Senior</v>
      </c>
    </row>
    <row r="32" spans="1:20" x14ac:dyDescent="0.25">
      <c r="A32" s="1">
        <v>39</v>
      </c>
      <c r="B32" s="1">
        <v>33</v>
      </c>
      <c r="C32" t="s">
        <v>9</v>
      </c>
      <c r="D32" t="s">
        <v>10</v>
      </c>
      <c r="E32" t="s">
        <v>15</v>
      </c>
      <c r="F32" t="s">
        <v>11</v>
      </c>
      <c r="G32" t="s">
        <v>14</v>
      </c>
      <c r="H32" s="1">
        <v>4</v>
      </c>
      <c r="I32" s="1">
        <v>2496</v>
      </c>
      <c r="J32" t="s">
        <v>9</v>
      </c>
      <c r="K32" s="1">
        <v>11</v>
      </c>
      <c r="L32" s="1">
        <v>3</v>
      </c>
      <c r="M32" s="1">
        <v>7</v>
      </c>
      <c r="N32" s="1">
        <v>3</v>
      </c>
      <c r="O32" s="1">
        <v>1</v>
      </c>
      <c r="P32" s="1">
        <f>COUNTIF(HR_Data[Employee Number],HR_Data[[#This Row],[Employee Number]])</f>
        <v>1</v>
      </c>
      <c r="Q32" s="1" t="str">
        <f>IF(HR_Data[[#This Row],[Years At Company]]&lt;=HR_Data[[#This Row],[Total Working Years]],"Valid","error")</f>
        <v>Valid</v>
      </c>
      <c r="R32" s="1" t="str" cm="1">
        <f t="array" ref="R32">_xlfn.IFS(HR_Data[[#This Row],[Age]]&lt;=30,"Young", HR_Data[[#This Row],[Age]]&lt;=45,"Mid-Age",HR_Data[[#This Row],[Age]]&gt;45,"Senior")</f>
        <v>Mid-Age</v>
      </c>
      <c r="S32" s="1" t="str" cm="1">
        <f t="array" ref="S32">_xlfn.IFS(HR_Data[[#This Row],[Monthly Income]]&lt;5000,"Low", HR_Data[[#This Row],[Monthly Income]]&lt;10000,"Medium",TRUE,"High")</f>
        <v>Low</v>
      </c>
      <c r="T32" s="1" t="str" cm="1">
        <f t="array" ref="T32">_xlfn.IFS(HR_Data[[#This Row],[Total Working Years]]&lt;=5,"Junior", HR_Data[[#This Row],[Total Working Years]]&lt;=15,"Mid-Level", TRUE, "Senior")</f>
        <v>Mid-Level</v>
      </c>
    </row>
    <row r="33" spans="1:20" x14ac:dyDescent="0.25">
      <c r="A33" s="1">
        <v>40</v>
      </c>
      <c r="B33" s="1">
        <v>44</v>
      </c>
      <c r="C33" t="s">
        <v>9</v>
      </c>
      <c r="D33" t="s">
        <v>10</v>
      </c>
      <c r="E33" t="s">
        <v>13</v>
      </c>
      <c r="F33" t="s">
        <v>11</v>
      </c>
      <c r="G33" t="s">
        <v>17</v>
      </c>
      <c r="H33" s="1">
        <v>4</v>
      </c>
      <c r="I33" s="1">
        <v>6465</v>
      </c>
      <c r="J33" t="s">
        <v>4</v>
      </c>
      <c r="K33" s="1">
        <v>13</v>
      </c>
      <c r="L33" s="1">
        <v>3</v>
      </c>
      <c r="M33" s="1">
        <v>9</v>
      </c>
      <c r="N33" s="1">
        <v>4</v>
      </c>
      <c r="O33" s="1">
        <v>4</v>
      </c>
      <c r="P33" s="1">
        <f>COUNTIF(HR_Data[Employee Number],HR_Data[[#This Row],[Employee Number]])</f>
        <v>1</v>
      </c>
      <c r="Q33" s="1" t="str">
        <f>IF(HR_Data[[#This Row],[Years At Company]]&lt;=HR_Data[[#This Row],[Total Working Years]],"Valid","error")</f>
        <v>Valid</v>
      </c>
      <c r="R33" s="1" t="str" cm="1">
        <f t="array" ref="R33">_xlfn.IFS(HR_Data[[#This Row],[Age]]&lt;=30,"Young", HR_Data[[#This Row],[Age]]&lt;=45,"Mid-Age",HR_Data[[#This Row],[Age]]&gt;45,"Senior")</f>
        <v>Mid-Age</v>
      </c>
      <c r="S33" s="1" t="str" cm="1">
        <f t="array" ref="S33">_xlfn.IFS(HR_Data[[#This Row],[Monthly Income]]&lt;5000,"Low", HR_Data[[#This Row],[Monthly Income]]&lt;10000,"Medium",TRUE,"High")</f>
        <v>Medium</v>
      </c>
      <c r="T33" s="1" t="str" cm="1">
        <f t="array" ref="T33">_xlfn.IFS(HR_Data[[#This Row],[Total Working Years]]&lt;=5,"Junior", HR_Data[[#This Row],[Total Working Years]]&lt;=15,"Mid-Level", TRUE, "Senior")</f>
        <v>Mid-Level</v>
      </c>
    </row>
    <row r="34" spans="1:20" x14ac:dyDescent="0.25">
      <c r="A34" s="1">
        <v>41</v>
      </c>
      <c r="B34" s="1">
        <v>30</v>
      </c>
      <c r="C34" t="s">
        <v>9</v>
      </c>
      <c r="D34" t="s">
        <v>10</v>
      </c>
      <c r="E34" t="s">
        <v>15</v>
      </c>
      <c r="F34" t="s">
        <v>11</v>
      </c>
      <c r="G34" t="s">
        <v>14</v>
      </c>
      <c r="H34" s="1">
        <v>3</v>
      </c>
      <c r="I34" s="1">
        <v>2206</v>
      </c>
      <c r="J34" t="s">
        <v>9</v>
      </c>
      <c r="K34" s="1">
        <v>13</v>
      </c>
      <c r="L34" s="1">
        <v>3</v>
      </c>
      <c r="M34" s="1">
        <v>10</v>
      </c>
      <c r="N34" s="1">
        <v>3</v>
      </c>
      <c r="O34" s="1">
        <v>10</v>
      </c>
      <c r="P34" s="1">
        <f>COUNTIF(HR_Data[Employee Number],HR_Data[[#This Row],[Employee Number]])</f>
        <v>1</v>
      </c>
      <c r="Q34" s="1" t="str">
        <f>IF(HR_Data[[#This Row],[Years At Company]]&lt;=HR_Data[[#This Row],[Total Working Years]],"Valid","error")</f>
        <v>Valid</v>
      </c>
      <c r="R34" s="1" t="str" cm="1">
        <f t="array" ref="R34">_xlfn.IFS(HR_Data[[#This Row],[Age]]&lt;=30,"Young", HR_Data[[#This Row],[Age]]&lt;=45,"Mid-Age",HR_Data[[#This Row],[Age]]&gt;45,"Senior")</f>
        <v>Young</v>
      </c>
      <c r="S34" s="1" t="str" cm="1">
        <f t="array" ref="S34">_xlfn.IFS(HR_Data[[#This Row],[Monthly Income]]&lt;5000,"Low", HR_Data[[#This Row],[Monthly Income]]&lt;10000,"Medium",TRUE,"High")</f>
        <v>Low</v>
      </c>
      <c r="T34" s="1" t="str" cm="1">
        <f t="array" ref="T34">_xlfn.IFS(HR_Data[[#This Row],[Total Working Years]]&lt;=5,"Junior", HR_Data[[#This Row],[Total Working Years]]&lt;=15,"Mid-Level", TRUE, "Senior")</f>
        <v>Mid-Level</v>
      </c>
    </row>
    <row r="35" spans="1:20" x14ac:dyDescent="0.25">
      <c r="A35" s="1">
        <v>42</v>
      </c>
      <c r="B35" s="1">
        <v>39</v>
      </c>
      <c r="C35" t="s">
        <v>4</v>
      </c>
      <c r="D35" t="s">
        <v>5</v>
      </c>
      <c r="E35" t="s">
        <v>22</v>
      </c>
      <c r="F35" t="s">
        <v>11</v>
      </c>
      <c r="G35" t="s">
        <v>19</v>
      </c>
      <c r="H35" s="1">
        <v>4</v>
      </c>
      <c r="I35" s="1">
        <v>2086</v>
      </c>
      <c r="J35" t="s">
        <v>9</v>
      </c>
      <c r="K35" s="1">
        <v>14</v>
      </c>
      <c r="L35" s="1">
        <v>3</v>
      </c>
      <c r="M35" s="1">
        <v>19</v>
      </c>
      <c r="N35" s="1">
        <v>4</v>
      </c>
      <c r="O35" s="1">
        <v>1</v>
      </c>
      <c r="P35" s="1">
        <f>COUNTIF(HR_Data[Employee Number],HR_Data[[#This Row],[Employee Number]])</f>
        <v>1</v>
      </c>
      <c r="Q35" s="1" t="str">
        <f>IF(HR_Data[[#This Row],[Years At Company]]&lt;=HR_Data[[#This Row],[Total Working Years]],"Valid","error")</f>
        <v>Valid</v>
      </c>
      <c r="R35" s="1" t="str" cm="1">
        <f t="array" ref="R35">_xlfn.IFS(HR_Data[[#This Row],[Age]]&lt;=30,"Young", HR_Data[[#This Row],[Age]]&lt;=45,"Mid-Age",HR_Data[[#This Row],[Age]]&gt;45,"Senior")</f>
        <v>Mid-Age</v>
      </c>
      <c r="S35" s="1" t="str" cm="1">
        <f t="array" ref="S35">_xlfn.IFS(HR_Data[[#This Row],[Monthly Income]]&lt;5000,"Low", HR_Data[[#This Row],[Monthly Income]]&lt;10000,"Medium",TRUE,"High")</f>
        <v>Low</v>
      </c>
      <c r="T35" s="1" t="str" cm="1">
        <f t="array" ref="T35">_xlfn.IFS(HR_Data[[#This Row],[Total Working Years]]&lt;=5,"Junior", HR_Data[[#This Row],[Total Working Years]]&lt;=15,"Mid-Level", TRUE, "Senior")</f>
        <v>Senior</v>
      </c>
    </row>
    <row r="36" spans="1:20" x14ac:dyDescent="0.25">
      <c r="A36" s="1">
        <v>45</v>
      </c>
      <c r="B36" s="1">
        <v>24</v>
      </c>
      <c r="C36" t="s">
        <v>4</v>
      </c>
      <c r="D36" t="s">
        <v>10</v>
      </c>
      <c r="E36" t="s">
        <v>15</v>
      </c>
      <c r="F36" t="s">
        <v>11</v>
      </c>
      <c r="G36" t="s">
        <v>12</v>
      </c>
      <c r="H36" s="1">
        <v>4</v>
      </c>
      <c r="I36" s="1">
        <v>2293</v>
      </c>
      <c r="J36" t="s">
        <v>4</v>
      </c>
      <c r="K36" s="1">
        <v>16</v>
      </c>
      <c r="L36" s="1">
        <v>3</v>
      </c>
      <c r="M36" s="1">
        <v>6</v>
      </c>
      <c r="N36" s="1">
        <v>2</v>
      </c>
      <c r="O36" s="1">
        <v>2</v>
      </c>
      <c r="P36" s="1">
        <f>COUNTIF(HR_Data[Employee Number],HR_Data[[#This Row],[Employee Number]])</f>
        <v>1</v>
      </c>
      <c r="Q36" s="1" t="str">
        <f>IF(HR_Data[[#This Row],[Years At Company]]&lt;=HR_Data[[#This Row],[Total Working Years]],"Valid","error")</f>
        <v>Valid</v>
      </c>
      <c r="R36" s="1" t="str" cm="1">
        <f t="array" ref="R36">_xlfn.IFS(HR_Data[[#This Row],[Age]]&lt;=30,"Young", HR_Data[[#This Row],[Age]]&lt;=45,"Mid-Age",HR_Data[[#This Row],[Age]]&gt;45,"Senior")</f>
        <v>Young</v>
      </c>
      <c r="S36" s="1" t="str" cm="1">
        <f t="array" ref="S36">_xlfn.IFS(HR_Data[[#This Row],[Monthly Income]]&lt;5000,"Low", HR_Data[[#This Row],[Monthly Income]]&lt;10000,"Medium",TRUE,"High")</f>
        <v>Low</v>
      </c>
      <c r="T36" s="1" t="str" cm="1">
        <f t="array" ref="T36">_xlfn.IFS(HR_Data[[#This Row],[Total Working Years]]&lt;=5,"Junior", HR_Data[[#This Row],[Total Working Years]]&lt;=15,"Mid-Level", TRUE, "Senior")</f>
        <v>Mid-Level</v>
      </c>
    </row>
    <row r="37" spans="1:20" x14ac:dyDescent="0.25">
      <c r="A37" s="1">
        <v>46</v>
      </c>
      <c r="B37" s="1">
        <v>43</v>
      </c>
      <c r="C37" t="s">
        <v>9</v>
      </c>
      <c r="D37" t="s">
        <v>10</v>
      </c>
      <c r="E37" t="s">
        <v>15</v>
      </c>
      <c r="F37" t="s">
        <v>7</v>
      </c>
      <c r="G37" t="s">
        <v>12</v>
      </c>
      <c r="H37" s="1">
        <v>3</v>
      </c>
      <c r="I37" s="1">
        <v>2645</v>
      </c>
      <c r="J37" t="s">
        <v>9</v>
      </c>
      <c r="K37" s="1">
        <v>12</v>
      </c>
      <c r="L37" s="1">
        <v>3</v>
      </c>
      <c r="M37" s="1">
        <v>6</v>
      </c>
      <c r="N37" s="1">
        <v>2</v>
      </c>
      <c r="O37" s="1">
        <v>5</v>
      </c>
      <c r="P37" s="1">
        <f>COUNTIF(HR_Data[Employee Number],HR_Data[[#This Row],[Employee Number]])</f>
        <v>1</v>
      </c>
      <c r="Q37" s="1" t="str">
        <f>IF(HR_Data[[#This Row],[Years At Company]]&lt;=HR_Data[[#This Row],[Total Working Years]],"Valid","error")</f>
        <v>Valid</v>
      </c>
      <c r="R37" s="1" t="str" cm="1">
        <f t="array" ref="R37">_xlfn.IFS(HR_Data[[#This Row],[Age]]&lt;=30,"Young", HR_Data[[#This Row],[Age]]&lt;=45,"Mid-Age",HR_Data[[#This Row],[Age]]&gt;45,"Senior")</f>
        <v>Mid-Age</v>
      </c>
      <c r="S37" s="1" t="str" cm="1">
        <f t="array" ref="S37">_xlfn.IFS(HR_Data[[#This Row],[Monthly Income]]&lt;5000,"Low", HR_Data[[#This Row],[Monthly Income]]&lt;10000,"Medium",TRUE,"High")</f>
        <v>Low</v>
      </c>
      <c r="T37" s="1" t="str" cm="1">
        <f t="array" ref="T37">_xlfn.IFS(HR_Data[[#This Row],[Total Working Years]]&lt;=5,"Junior", HR_Data[[#This Row],[Total Working Years]]&lt;=15,"Mid-Level", TRUE, "Senior")</f>
        <v>Mid-Level</v>
      </c>
    </row>
    <row r="38" spans="1:20" x14ac:dyDescent="0.25">
      <c r="A38" s="1">
        <v>47</v>
      </c>
      <c r="B38" s="1">
        <v>50</v>
      </c>
      <c r="C38" t="s">
        <v>4</v>
      </c>
      <c r="D38" t="s">
        <v>5</v>
      </c>
      <c r="E38" t="s">
        <v>21</v>
      </c>
      <c r="F38" t="s">
        <v>11</v>
      </c>
      <c r="G38" t="s">
        <v>19</v>
      </c>
      <c r="H38" s="1">
        <v>3</v>
      </c>
      <c r="I38" s="1">
        <v>2683</v>
      </c>
      <c r="J38" t="s">
        <v>4</v>
      </c>
      <c r="K38" s="1">
        <v>14</v>
      </c>
      <c r="L38" s="1">
        <v>3</v>
      </c>
      <c r="M38" s="1">
        <v>3</v>
      </c>
      <c r="N38" s="1">
        <v>3</v>
      </c>
      <c r="O38" s="1">
        <v>3</v>
      </c>
      <c r="P38" s="1">
        <f>COUNTIF(HR_Data[Employee Number],HR_Data[[#This Row],[Employee Number]])</f>
        <v>1</v>
      </c>
      <c r="Q38" s="1" t="str">
        <f>IF(HR_Data[[#This Row],[Years At Company]]&lt;=HR_Data[[#This Row],[Total Working Years]],"Valid","error")</f>
        <v>Valid</v>
      </c>
      <c r="R38" s="1" t="str" cm="1">
        <f t="array" ref="R38">_xlfn.IFS(HR_Data[[#This Row],[Age]]&lt;=30,"Young", HR_Data[[#This Row],[Age]]&lt;=45,"Mid-Age",HR_Data[[#This Row],[Age]]&gt;45,"Senior")</f>
        <v>Senior</v>
      </c>
      <c r="S38" s="1" t="str" cm="1">
        <f t="array" ref="S38">_xlfn.IFS(HR_Data[[#This Row],[Monthly Income]]&lt;5000,"Low", HR_Data[[#This Row],[Monthly Income]]&lt;10000,"Medium",TRUE,"High")</f>
        <v>Low</v>
      </c>
      <c r="T38" s="1" t="str" cm="1">
        <f t="array" ref="T38">_xlfn.IFS(HR_Data[[#This Row],[Total Working Years]]&lt;=5,"Junior", HR_Data[[#This Row],[Total Working Years]]&lt;=15,"Mid-Level", TRUE, "Senior")</f>
        <v>Junior</v>
      </c>
    </row>
    <row r="39" spans="1:20" x14ac:dyDescent="0.25">
      <c r="A39" s="1">
        <v>49</v>
      </c>
      <c r="B39" s="1">
        <v>35</v>
      </c>
      <c r="C39" t="s">
        <v>9</v>
      </c>
      <c r="D39" t="s">
        <v>5</v>
      </c>
      <c r="E39" t="s">
        <v>21</v>
      </c>
      <c r="F39" t="s">
        <v>7</v>
      </c>
      <c r="G39" t="s">
        <v>19</v>
      </c>
      <c r="H39" s="1">
        <v>4</v>
      </c>
      <c r="I39" s="1">
        <v>2014</v>
      </c>
      <c r="J39" t="s">
        <v>9</v>
      </c>
      <c r="K39" s="1">
        <v>13</v>
      </c>
      <c r="L39" s="1">
        <v>3</v>
      </c>
      <c r="M39" s="1">
        <v>2</v>
      </c>
      <c r="N39" s="1">
        <v>3</v>
      </c>
      <c r="O39" s="1">
        <v>2</v>
      </c>
      <c r="P39" s="1">
        <f>COUNTIF(HR_Data[Employee Number],HR_Data[[#This Row],[Employee Number]])</f>
        <v>1</v>
      </c>
      <c r="Q39" s="1" t="str">
        <f>IF(HR_Data[[#This Row],[Years At Company]]&lt;=HR_Data[[#This Row],[Total Working Years]],"Valid","error")</f>
        <v>Valid</v>
      </c>
      <c r="R39" s="1" t="str" cm="1">
        <f t="array" ref="R39">_xlfn.IFS(HR_Data[[#This Row],[Age]]&lt;=30,"Young", HR_Data[[#This Row],[Age]]&lt;=45,"Mid-Age",HR_Data[[#This Row],[Age]]&gt;45,"Senior")</f>
        <v>Mid-Age</v>
      </c>
      <c r="S39" s="1" t="str" cm="1">
        <f t="array" ref="S39">_xlfn.IFS(HR_Data[[#This Row],[Monthly Income]]&lt;5000,"Low", HR_Data[[#This Row],[Monthly Income]]&lt;10000,"Medium",TRUE,"High")</f>
        <v>Low</v>
      </c>
      <c r="T39" s="1" t="str" cm="1">
        <f t="array" ref="T39">_xlfn.IFS(HR_Data[[#This Row],[Total Working Years]]&lt;=5,"Junior", HR_Data[[#This Row],[Total Working Years]]&lt;=15,"Mid-Level", TRUE, "Senior")</f>
        <v>Junior</v>
      </c>
    </row>
    <row r="40" spans="1:20" x14ac:dyDescent="0.25">
      <c r="A40" s="1">
        <v>51</v>
      </c>
      <c r="B40" s="1">
        <v>36</v>
      </c>
      <c r="C40" t="s">
        <v>9</v>
      </c>
      <c r="D40" t="s">
        <v>10</v>
      </c>
      <c r="E40" t="s">
        <v>6</v>
      </c>
      <c r="F40" t="s">
        <v>7</v>
      </c>
      <c r="G40" t="s">
        <v>12</v>
      </c>
      <c r="H40" s="1">
        <v>1</v>
      </c>
      <c r="I40" s="1">
        <v>3419</v>
      </c>
      <c r="J40" t="s">
        <v>4</v>
      </c>
      <c r="K40" s="1">
        <v>14</v>
      </c>
      <c r="L40" s="1">
        <v>3</v>
      </c>
      <c r="M40" s="1">
        <v>6</v>
      </c>
      <c r="N40" s="1">
        <v>4</v>
      </c>
      <c r="O40" s="1">
        <v>1</v>
      </c>
      <c r="P40" s="1">
        <f>COUNTIF(HR_Data[Employee Number],HR_Data[[#This Row],[Employee Number]])</f>
        <v>1</v>
      </c>
      <c r="Q40" s="1" t="str">
        <f>IF(HR_Data[[#This Row],[Years At Company]]&lt;=HR_Data[[#This Row],[Total Working Years]],"Valid","error")</f>
        <v>Valid</v>
      </c>
      <c r="R40" s="1" t="str" cm="1">
        <f t="array" ref="R40">_xlfn.IFS(HR_Data[[#This Row],[Age]]&lt;=30,"Young", HR_Data[[#This Row],[Age]]&lt;=45,"Mid-Age",HR_Data[[#This Row],[Age]]&gt;45,"Senior")</f>
        <v>Mid-Age</v>
      </c>
      <c r="S40" s="1" t="str" cm="1">
        <f t="array" ref="S40">_xlfn.IFS(HR_Data[[#This Row],[Monthly Income]]&lt;5000,"Low", HR_Data[[#This Row],[Monthly Income]]&lt;10000,"Medium",TRUE,"High")</f>
        <v>Low</v>
      </c>
      <c r="T40" s="1" t="str" cm="1">
        <f t="array" ref="T40">_xlfn.IFS(HR_Data[[#This Row],[Total Working Years]]&lt;=5,"Junior", HR_Data[[#This Row],[Total Working Years]]&lt;=15,"Mid-Level", TRUE, "Senior")</f>
        <v>Mid-Level</v>
      </c>
    </row>
    <row r="41" spans="1:20" x14ac:dyDescent="0.25">
      <c r="A41" s="1">
        <v>52</v>
      </c>
      <c r="B41" s="1">
        <v>33</v>
      </c>
      <c r="C41" t="s">
        <v>9</v>
      </c>
      <c r="D41" t="s">
        <v>5</v>
      </c>
      <c r="E41" t="s">
        <v>6</v>
      </c>
      <c r="F41" t="s">
        <v>7</v>
      </c>
      <c r="G41" t="s">
        <v>8</v>
      </c>
      <c r="H41" s="1">
        <v>1</v>
      </c>
      <c r="I41" s="1">
        <v>5376</v>
      </c>
      <c r="J41" t="s">
        <v>9</v>
      </c>
      <c r="K41" s="1">
        <v>19</v>
      </c>
      <c r="L41" s="1">
        <v>3</v>
      </c>
      <c r="M41" s="1">
        <v>10</v>
      </c>
      <c r="N41" s="1">
        <v>3</v>
      </c>
      <c r="O41" s="1">
        <v>5</v>
      </c>
      <c r="P41" s="1">
        <f>COUNTIF(HR_Data[Employee Number],HR_Data[[#This Row],[Employee Number]])</f>
        <v>1</v>
      </c>
      <c r="Q41" s="1" t="str">
        <f>IF(HR_Data[[#This Row],[Years At Company]]&lt;=HR_Data[[#This Row],[Total Working Years]],"Valid","error")</f>
        <v>Valid</v>
      </c>
      <c r="R41" s="1" t="str" cm="1">
        <f t="array" ref="R41">_xlfn.IFS(HR_Data[[#This Row],[Age]]&lt;=30,"Young", HR_Data[[#This Row],[Age]]&lt;=45,"Mid-Age",HR_Data[[#This Row],[Age]]&gt;45,"Senior")</f>
        <v>Mid-Age</v>
      </c>
      <c r="S41" s="1" t="str" cm="1">
        <f t="array" ref="S41">_xlfn.IFS(HR_Data[[#This Row],[Monthly Income]]&lt;5000,"Low", HR_Data[[#This Row],[Monthly Income]]&lt;10000,"Medium",TRUE,"High")</f>
        <v>Medium</v>
      </c>
      <c r="T41" s="1" t="str" cm="1">
        <f t="array" ref="T41">_xlfn.IFS(HR_Data[[#This Row],[Total Working Years]]&lt;=5,"Junior", HR_Data[[#This Row],[Total Working Years]]&lt;=15,"Mid-Level", TRUE, "Senior")</f>
        <v>Mid-Level</v>
      </c>
    </row>
    <row r="42" spans="1:20" x14ac:dyDescent="0.25">
      <c r="A42" s="1">
        <v>53</v>
      </c>
      <c r="B42" s="1">
        <v>35</v>
      </c>
      <c r="C42" t="s">
        <v>9</v>
      </c>
      <c r="D42" t="s">
        <v>10</v>
      </c>
      <c r="E42" t="s">
        <v>13</v>
      </c>
      <c r="F42" t="s">
        <v>11</v>
      </c>
      <c r="G42" t="s">
        <v>14</v>
      </c>
      <c r="H42" s="1">
        <v>4</v>
      </c>
      <c r="I42" s="1">
        <v>1951</v>
      </c>
      <c r="J42" t="s">
        <v>9</v>
      </c>
      <c r="K42" s="1">
        <v>12</v>
      </c>
      <c r="L42" s="1">
        <v>3</v>
      </c>
      <c r="M42" s="1">
        <v>1</v>
      </c>
      <c r="N42" s="1">
        <v>3</v>
      </c>
      <c r="O42" s="1">
        <v>1</v>
      </c>
      <c r="P42" s="1">
        <f>COUNTIF(HR_Data[Employee Number],HR_Data[[#This Row],[Employee Number]])</f>
        <v>1</v>
      </c>
      <c r="Q42" s="1" t="str">
        <f>IF(HR_Data[[#This Row],[Years At Company]]&lt;=HR_Data[[#This Row],[Total Working Years]],"Valid","error")</f>
        <v>Valid</v>
      </c>
      <c r="R42" s="1" t="str" cm="1">
        <f t="array" ref="R42">_xlfn.IFS(HR_Data[[#This Row],[Age]]&lt;=30,"Young", HR_Data[[#This Row],[Age]]&lt;=45,"Mid-Age",HR_Data[[#This Row],[Age]]&gt;45,"Senior")</f>
        <v>Mid-Age</v>
      </c>
      <c r="S42" s="1" t="str" cm="1">
        <f t="array" ref="S42">_xlfn.IFS(HR_Data[[#This Row],[Monthly Income]]&lt;5000,"Low", HR_Data[[#This Row],[Monthly Income]]&lt;10000,"Medium",TRUE,"High")</f>
        <v>Low</v>
      </c>
      <c r="T42" s="1" t="str" cm="1">
        <f t="array" ref="T42">_xlfn.IFS(HR_Data[[#This Row],[Total Working Years]]&lt;=5,"Junior", HR_Data[[#This Row],[Total Working Years]]&lt;=15,"Mid-Level", TRUE, "Senior")</f>
        <v>Junior</v>
      </c>
    </row>
    <row r="43" spans="1:20" x14ac:dyDescent="0.25">
      <c r="A43" s="1">
        <v>54</v>
      </c>
      <c r="B43" s="1">
        <v>27</v>
      </c>
      <c r="C43" t="s">
        <v>9</v>
      </c>
      <c r="D43" t="s">
        <v>10</v>
      </c>
      <c r="E43" t="s">
        <v>6</v>
      </c>
      <c r="F43" t="s">
        <v>7</v>
      </c>
      <c r="G43" t="s">
        <v>14</v>
      </c>
      <c r="H43" s="1">
        <v>1</v>
      </c>
      <c r="I43" s="1">
        <v>2341</v>
      </c>
      <c r="J43" t="s">
        <v>9</v>
      </c>
      <c r="K43" s="1">
        <v>13</v>
      </c>
      <c r="L43" s="1">
        <v>3</v>
      </c>
      <c r="M43" s="1">
        <v>1</v>
      </c>
      <c r="N43" s="1">
        <v>3</v>
      </c>
      <c r="O43" s="1">
        <v>1</v>
      </c>
      <c r="P43" s="1">
        <f>COUNTIF(HR_Data[Employee Number],HR_Data[[#This Row],[Employee Number]])</f>
        <v>1</v>
      </c>
      <c r="Q43" s="1" t="str">
        <f>IF(HR_Data[[#This Row],[Years At Company]]&lt;=HR_Data[[#This Row],[Total Working Years]],"Valid","error")</f>
        <v>Valid</v>
      </c>
      <c r="R43" s="1" t="str" cm="1">
        <f t="array" ref="R43">_xlfn.IFS(HR_Data[[#This Row],[Age]]&lt;=30,"Young", HR_Data[[#This Row],[Age]]&lt;=45,"Mid-Age",HR_Data[[#This Row],[Age]]&gt;45,"Senior")</f>
        <v>Young</v>
      </c>
      <c r="S43" s="1" t="str" cm="1">
        <f t="array" ref="S43">_xlfn.IFS(HR_Data[[#This Row],[Monthly Income]]&lt;5000,"Low", HR_Data[[#This Row],[Monthly Income]]&lt;10000,"Medium",TRUE,"High")</f>
        <v>Low</v>
      </c>
      <c r="T43" s="1" t="str" cm="1">
        <f t="array" ref="T43">_xlfn.IFS(HR_Data[[#This Row],[Total Working Years]]&lt;=5,"Junior", HR_Data[[#This Row],[Total Working Years]]&lt;=15,"Mid-Level", TRUE, "Senior")</f>
        <v>Junior</v>
      </c>
    </row>
    <row r="44" spans="1:20" x14ac:dyDescent="0.25">
      <c r="A44" s="1">
        <v>55</v>
      </c>
      <c r="B44" s="1">
        <v>26</v>
      </c>
      <c r="C44" t="s">
        <v>4</v>
      </c>
      <c r="D44" t="s">
        <v>10</v>
      </c>
      <c r="E44" t="s">
        <v>6</v>
      </c>
      <c r="F44" t="s">
        <v>11</v>
      </c>
      <c r="G44" t="s">
        <v>14</v>
      </c>
      <c r="H44" s="1">
        <v>3</v>
      </c>
      <c r="I44" s="1">
        <v>2293</v>
      </c>
      <c r="J44" t="s">
        <v>9</v>
      </c>
      <c r="K44" s="1">
        <v>12</v>
      </c>
      <c r="L44" s="1">
        <v>3</v>
      </c>
      <c r="M44" s="1">
        <v>1</v>
      </c>
      <c r="N44" s="1">
        <v>2</v>
      </c>
      <c r="O44" s="1">
        <v>1</v>
      </c>
      <c r="P44" s="1">
        <f>COUNTIF(HR_Data[Employee Number],HR_Data[[#This Row],[Employee Number]])</f>
        <v>1</v>
      </c>
      <c r="Q44" s="1" t="str">
        <f>IF(HR_Data[[#This Row],[Years At Company]]&lt;=HR_Data[[#This Row],[Total Working Years]],"Valid","error")</f>
        <v>Valid</v>
      </c>
      <c r="R44" s="1" t="str" cm="1">
        <f t="array" ref="R44">_xlfn.IFS(HR_Data[[#This Row],[Age]]&lt;=30,"Young", HR_Data[[#This Row],[Age]]&lt;=45,"Mid-Age",HR_Data[[#This Row],[Age]]&gt;45,"Senior")</f>
        <v>Young</v>
      </c>
      <c r="S44" s="1" t="str" cm="1">
        <f t="array" ref="S44">_xlfn.IFS(HR_Data[[#This Row],[Monthly Income]]&lt;5000,"Low", HR_Data[[#This Row],[Monthly Income]]&lt;10000,"Medium",TRUE,"High")</f>
        <v>Low</v>
      </c>
      <c r="T44" s="1" t="str" cm="1">
        <f t="array" ref="T44">_xlfn.IFS(HR_Data[[#This Row],[Total Working Years]]&lt;=5,"Junior", HR_Data[[#This Row],[Total Working Years]]&lt;=15,"Mid-Level", TRUE, "Senior")</f>
        <v>Junior</v>
      </c>
    </row>
    <row r="45" spans="1:20" x14ac:dyDescent="0.25">
      <c r="A45" s="1">
        <v>56</v>
      </c>
      <c r="B45" s="1">
        <v>27</v>
      </c>
      <c r="C45" t="s">
        <v>9</v>
      </c>
      <c r="D45" t="s">
        <v>5</v>
      </c>
      <c r="E45" t="s">
        <v>6</v>
      </c>
      <c r="F45" t="s">
        <v>11</v>
      </c>
      <c r="G45" t="s">
        <v>8</v>
      </c>
      <c r="H45" s="1">
        <v>3</v>
      </c>
      <c r="I45" s="1">
        <v>8726</v>
      </c>
      <c r="J45" t="s">
        <v>9</v>
      </c>
      <c r="K45" s="1">
        <v>15</v>
      </c>
      <c r="L45" s="1">
        <v>3</v>
      </c>
      <c r="M45" s="1">
        <v>9</v>
      </c>
      <c r="N45" s="1">
        <v>3</v>
      </c>
      <c r="O45" s="1">
        <v>9</v>
      </c>
      <c r="P45" s="1">
        <f>COUNTIF(HR_Data[Employee Number],HR_Data[[#This Row],[Employee Number]])</f>
        <v>1</v>
      </c>
      <c r="Q45" s="1" t="str">
        <f>IF(HR_Data[[#This Row],[Years At Company]]&lt;=HR_Data[[#This Row],[Total Working Years]],"Valid","error")</f>
        <v>Valid</v>
      </c>
      <c r="R45" s="1" t="str" cm="1">
        <f t="array" ref="R45">_xlfn.IFS(HR_Data[[#This Row],[Age]]&lt;=30,"Young", HR_Data[[#This Row],[Age]]&lt;=45,"Mid-Age",HR_Data[[#This Row],[Age]]&gt;45,"Senior")</f>
        <v>Young</v>
      </c>
      <c r="S45" s="1" t="str" cm="1">
        <f t="array" ref="S45">_xlfn.IFS(HR_Data[[#This Row],[Monthly Income]]&lt;5000,"Low", HR_Data[[#This Row],[Monthly Income]]&lt;10000,"Medium",TRUE,"High")</f>
        <v>Medium</v>
      </c>
      <c r="T45" s="1" t="str" cm="1">
        <f t="array" ref="T45">_xlfn.IFS(HR_Data[[#This Row],[Total Working Years]]&lt;=5,"Junior", HR_Data[[#This Row],[Total Working Years]]&lt;=15,"Mid-Level", TRUE, "Senior")</f>
        <v>Mid-Level</v>
      </c>
    </row>
    <row r="46" spans="1:20" x14ac:dyDescent="0.25">
      <c r="A46" s="1">
        <v>57</v>
      </c>
      <c r="B46" s="1">
        <v>30</v>
      </c>
      <c r="C46" t="s">
        <v>9</v>
      </c>
      <c r="D46" t="s">
        <v>10</v>
      </c>
      <c r="E46" t="s">
        <v>15</v>
      </c>
      <c r="F46" t="s">
        <v>7</v>
      </c>
      <c r="G46" t="s">
        <v>14</v>
      </c>
      <c r="H46" s="1">
        <v>4</v>
      </c>
      <c r="I46" s="1">
        <v>4011</v>
      </c>
      <c r="J46" t="s">
        <v>9</v>
      </c>
      <c r="K46" s="1">
        <v>23</v>
      </c>
      <c r="L46" s="1">
        <v>4</v>
      </c>
      <c r="M46" s="1">
        <v>12</v>
      </c>
      <c r="N46" s="1">
        <v>3</v>
      </c>
      <c r="O46" s="1">
        <v>12</v>
      </c>
      <c r="P46" s="1">
        <f>COUNTIF(HR_Data[Employee Number],HR_Data[[#This Row],[Employee Number]])</f>
        <v>1</v>
      </c>
      <c r="Q46" s="1" t="str">
        <f>IF(HR_Data[[#This Row],[Years At Company]]&lt;=HR_Data[[#This Row],[Total Working Years]],"Valid","error")</f>
        <v>Valid</v>
      </c>
      <c r="R46" s="1" t="str" cm="1">
        <f t="array" ref="R46">_xlfn.IFS(HR_Data[[#This Row],[Age]]&lt;=30,"Young", HR_Data[[#This Row],[Age]]&lt;=45,"Mid-Age",HR_Data[[#This Row],[Age]]&gt;45,"Senior")</f>
        <v>Young</v>
      </c>
      <c r="S46" s="1" t="str" cm="1">
        <f t="array" ref="S46">_xlfn.IFS(HR_Data[[#This Row],[Monthly Income]]&lt;5000,"Low", HR_Data[[#This Row],[Monthly Income]]&lt;10000,"Medium",TRUE,"High")</f>
        <v>Low</v>
      </c>
      <c r="T46" s="1" t="str" cm="1">
        <f t="array" ref="T46">_xlfn.IFS(HR_Data[[#This Row],[Total Working Years]]&lt;=5,"Junior", HR_Data[[#This Row],[Total Working Years]]&lt;=15,"Mid-Level", TRUE, "Senior")</f>
        <v>Mid-Level</v>
      </c>
    </row>
    <row r="47" spans="1:20" x14ac:dyDescent="0.25">
      <c r="A47" s="1">
        <v>58</v>
      </c>
      <c r="B47" s="1">
        <v>41</v>
      </c>
      <c r="C47" t="s">
        <v>4</v>
      </c>
      <c r="D47" t="s">
        <v>10</v>
      </c>
      <c r="E47" t="s">
        <v>22</v>
      </c>
      <c r="F47" t="s">
        <v>7</v>
      </c>
      <c r="G47" t="s">
        <v>20</v>
      </c>
      <c r="H47" s="1">
        <v>3</v>
      </c>
      <c r="I47" s="1">
        <v>19545</v>
      </c>
      <c r="J47" t="s">
        <v>9</v>
      </c>
      <c r="K47" s="1">
        <v>12</v>
      </c>
      <c r="L47" s="1">
        <v>3</v>
      </c>
      <c r="M47" s="1">
        <v>23</v>
      </c>
      <c r="N47" s="1">
        <v>3</v>
      </c>
      <c r="O47" s="1">
        <v>22</v>
      </c>
      <c r="P47" s="1">
        <f>COUNTIF(HR_Data[Employee Number],HR_Data[[#This Row],[Employee Number]])</f>
        <v>1</v>
      </c>
      <c r="Q47" s="1" t="str">
        <f>IF(HR_Data[[#This Row],[Years At Company]]&lt;=HR_Data[[#This Row],[Total Working Years]],"Valid","error")</f>
        <v>Valid</v>
      </c>
      <c r="R47" s="1" t="str" cm="1">
        <f t="array" ref="R47">_xlfn.IFS(HR_Data[[#This Row],[Age]]&lt;=30,"Young", HR_Data[[#This Row],[Age]]&lt;=45,"Mid-Age",HR_Data[[#This Row],[Age]]&gt;45,"Senior")</f>
        <v>Mid-Age</v>
      </c>
      <c r="S47" s="1" t="str" cm="1">
        <f t="array" ref="S47">_xlfn.IFS(HR_Data[[#This Row],[Monthly Income]]&lt;5000,"Low", HR_Data[[#This Row],[Monthly Income]]&lt;10000,"Medium",TRUE,"High")</f>
        <v>High</v>
      </c>
      <c r="T47" s="1" t="str" cm="1">
        <f t="array" ref="T47">_xlfn.IFS(HR_Data[[#This Row],[Total Working Years]]&lt;=5,"Junior", HR_Data[[#This Row],[Total Working Years]]&lt;=15,"Mid-Level", TRUE, "Senior")</f>
        <v>Senior</v>
      </c>
    </row>
    <row r="48" spans="1:20" x14ac:dyDescent="0.25">
      <c r="A48" s="1">
        <v>60</v>
      </c>
      <c r="B48" s="1">
        <v>34</v>
      </c>
      <c r="C48" t="s">
        <v>9</v>
      </c>
      <c r="D48" t="s">
        <v>5</v>
      </c>
      <c r="E48" t="s">
        <v>21</v>
      </c>
      <c r="F48" t="s">
        <v>11</v>
      </c>
      <c r="G48" t="s">
        <v>8</v>
      </c>
      <c r="H48" s="1">
        <v>3</v>
      </c>
      <c r="I48" s="1">
        <v>4568</v>
      </c>
      <c r="J48" t="s">
        <v>9</v>
      </c>
      <c r="K48" s="1">
        <v>20</v>
      </c>
      <c r="L48" s="1">
        <v>4</v>
      </c>
      <c r="M48" s="1">
        <v>10</v>
      </c>
      <c r="N48" s="1">
        <v>3</v>
      </c>
      <c r="O48" s="1">
        <v>9</v>
      </c>
      <c r="P48" s="1">
        <f>COUNTIF(HR_Data[Employee Number],HR_Data[[#This Row],[Employee Number]])</f>
        <v>1</v>
      </c>
      <c r="Q48" s="1" t="str">
        <f>IF(HR_Data[[#This Row],[Years At Company]]&lt;=HR_Data[[#This Row],[Total Working Years]],"Valid","error")</f>
        <v>Valid</v>
      </c>
      <c r="R48" s="1" t="str" cm="1">
        <f t="array" ref="R48">_xlfn.IFS(HR_Data[[#This Row],[Age]]&lt;=30,"Young", HR_Data[[#This Row],[Age]]&lt;=45,"Mid-Age",HR_Data[[#This Row],[Age]]&gt;45,"Senior")</f>
        <v>Mid-Age</v>
      </c>
      <c r="S48" s="1" t="str" cm="1">
        <f t="array" ref="S48">_xlfn.IFS(HR_Data[[#This Row],[Monthly Income]]&lt;5000,"Low", HR_Data[[#This Row],[Monthly Income]]&lt;10000,"Medium",TRUE,"High")</f>
        <v>Low</v>
      </c>
      <c r="T48" s="1" t="str" cm="1">
        <f t="array" ref="T48">_xlfn.IFS(HR_Data[[#This Row],[Total Working Years]]&lt;=5,"Junior", HR_Data[[#This Row],[Total Working Years]]&lt;=15,"Mid-Level", TRUE, "Senior")</f>
        <v>Mid-Level</v>
      </c>
    </row>
    <row r="49" spans="1:20" x14ac:dyDescent="0.25">
      <c r="A49" s="1">
        <v>61</v>
      </c>
      <c r="B49" s="1">
        <v>37</v>
      </c>
      <c r="C49" t="s">
        <v>9</v>
      </c>
      <c r="D49" t="s">
        <v>10</v>
      </c>
      <c r="E49" t="s">
        <v>6</v>
      </c>
      <c r="F49" t="s">
        <v>11</v>
      </c>
      <c r="G49" t="s">
        <v>12</v>
      </c>
      <c r="H49" s="1">
        <v>2</v>
      </c>
      <c r="I49" s="1">
        <v>3022</v>
      </c>
      <c r="J49" t="s">
        <v>9</v>
      </c>
      <c r="K49" s="1">
        <v>21</v>
      </c>
      <c r="L49" s="1">
        <v>4</v>
      </c>
      <c r="M49" s="1">
        <v>8</v>
      </c>
      <c r="N49" s="1">
        <v>3</v>
      </c>
      <c r="O49" s="1">
        <v>1</v>
      </c>
      <c r="P49" s="1">
        <f>COUNTIF(HR_Data[Employee Number],HR_Data[[#This Row],[Employee Number]])</f>
        <v>1</v>
      </c>
      <c r="Q49" s="1" t="str">
        <f>IF(HR_Data[[#This Row],[Years At Company]]&lt;=HR_Data[[#This Row],[Total Working Years]],"Valid","error")</f>
        <v>Valid</v>
      </c>
      <c r="R49" s="1" t="str" cm="1">
        <f t="array" ref="R49">_xlfn.IFS(HR_Data[[#This Row],[Age]]&lt;=30,"Young", HR_Data[[#This Row],[Age]]&lt;=45,"Mid-Age",HR_Data[[#This Row],[Age]]&gt;45,"Senior")</f>
        <v>Mid-Age</v>
      </c>
      <c r="S49" s="1" t="str" cm="1">
        <f t="array" ref="S49">_xlfn.IFS(HR_Data[[#This Row],[Monthly Income]]&lt;5000,"Low", HR_Data[[#This Row],[Monthly Income]]&lt;10000,"Medium",TRUE,"High")</f>
        <v>Low</v>
      </c>
      <c r="T49" s="1" t="str" cm="1">
        <f t="array" ref="T49">_xlfn.IFS(HR_Data[[#This Row],[Total Working Years]]&lt;=5,"Junior", HR_Data[[#This Row],[Total Working Years]]&lt;=15,"Mid-Level", TRUE, "Senior")</f>
        <v>Mid-Level</v>
      </c>
    </row>
    <row r="50" spans="1:20" x14ac:dyDescent="0.25">
      <c r="A50" s="1">
        <v>62</v>
      </c>
      <c r="B50" s="1">
        <v>46</v>
      </c>
      <c r="C50" t="s">
        <v>9</v>
      </c>
      <c r="D50" t="s">
        <v>5</v>
      </c>
      <c r="E50" t="s">
        <v>21</v>
      </c>
      <c r="F50" t="s">
        <v>11</v>
      </c>
      <c r="G50" t="s">
        <v>8</v>
      </c>
      <c r="H50" s="1">
        <v>4</v>
      </c>
      <c r="I50" s="1">
        <v>5772</v>
      </c>
      <c r="J50" t="s">
        <v>4</v>
      </c>
      <c r="K50" s="1">
        <v>21</v>
      </c>
      <c r="L50" s="1">
        <v>4</v>
      </c>
      <c r="M50" s="1">
        <v>14</v>
      </c>
      <c r="N50" s="1">
        <v>3</v>
      </c>
      <c r="O50" s="1">
        <v>9</v>
      </c>
      <c r="P50" s="1">
        <f>COUNTIF(HR_Data[Employee Number],HR_Data[[#This Row],[Employee Number]])</f>
        <v>1</v>
      </c>
      <c r="Q50" s="1" t="str">
        <f>IF(HR_Data[[#This Row],[Years At Company]]&lt;=HR_Data[[#This Row],[Total Working Years]],"Valid","error")</f>
        <v>Valid</v>
      </c>
      <c r="R50" s="1" t="str" cm="1">
        <f t="array" ref="R50">_xlfn.IFS(HR_Data[[#This Row],[Age]]&lt;=30,"Young", HR_Data[[#This Row],[Age]]&lt;=45,"Mid-Age",HR_Data[[#This Row],[Age]]&gt;45,"Senior")</f>
        <v>Senior</v>
      </c>
      <c r="S50" s="1" t="str" cm="1">
        <f t="array" ref="S50">_xlfn.IFS(HR_Data[[#This Row],[Monthly Income]]&lt;5000,"Low", HR_Data[[#This Row],[Monthly Income]]&lt;10000,"Medium",TRUE,"High")</f>
        <v>Medium</v>
      </c>
      <c r="T50" s="1" t="str" cm="1">
        <f t="array" ref="T50">_xlfn.IFS(HR_Data[[#This Row],[Total Working Years]]&lt;=5,"Junior", HR_Data[[#This Row],[Total Working Years]]&lt;=15,"Mid-Level", TRUE, "Senior")</f>
        <v>Mid-Level</v>
      </c>
    </row>
    <row r="51" spans="1:20" x14ac:dyDescent="0.25">
      <c r="A51" s="1">
        <v>63</v>
      </c>
      <c r="B51" s="1">
        <v>35</v>
      </c>
      <c r="C51" t="s">
        <v>9</v>
      </c>
      <c r="D51" t="s">
        <v>10</v>
      </c>
      <c r="E51" t="s">
        <v>6</v>
      </c>
      <c r="F51" t="s">
        <v>11</v>
      </c>
      <c r="G51" t="s">
        <v>14</v>
      </c>
      <c r="H51" s="1">
        <v>4</v>
      </c>
      <c r="I51" s="1">
        <v>2269</v>
      </c>
      <c r="J51" t="s">
        <v>9</v>
      </c>
      <c r="K51" s="1">
        <v>19</v>
      </c>
      <c r="L51" s="1">
        <v>3</v>
      </c>
      <c r="M51" s="1">
        <v>1</v>
      </c>
      <c r="N51" s="1">
        <v>3</v>
      </c>
      <c r="O51" s="1">
        <v>1</v>
      </c>
      <c r="P51" s="1">
        <f>COUNTIF(HR_Data[Employee Number],HR_Data[[#This Row],[Employee Number]])</f>
        <v>1</v>
      </c>
      <c r="Q51" s="1" t="str">
        <f>IF(HR_Data[[#This Row],[Years At Company]]&lt;=HR_Data[[#This Row],[Total Working Years]],"Valid","error")</f>
        <v>Valid</v>
      </c>
      <c r="R51" s="1" t="str" cm="1">
        <f t="array" ref="R51">_xlfn.IFS(HR_Data[[#This Row],[Age]]&lt;=30,"Young", HR_Data[[#This Row],[Age]]&lt;=45,"Mid-Age",HR_Data[[#This Row],[Age]]&gt;45,"Senior")</f>
        <v>Mid-Age</v>
      </c>
      <c r="S51" s="1" t="str" cm="1">
        <f t="array" ref="S51">_xlfn.IFS(HR_Data[[#This Row],[Monthly Income]]&lt;5000,"Low", HR_Data[[#This Row],[Monthly Income]]&lt;10000,"Medium",TRUE,"High")</f>
        <v>Low</v>
      </c>
      <c r="T51" s="1" t="str" cm="1">
        <f t="array" ref="T51">_xlfn.IFS(HR_Data[[#This Row],[Total Working Years]]&lt;=5,"Junior", HR_Data[[#This Row],[Total Working Years]]&lt;=15,"Mid-Level", TRUE, "Senior")</f>
        <v>Junior</v>
      </c>
    </row>
    <row r="52" spans="1:20" x14ac:dyDescent="0.25">
      <c r="A52" s="1">
        <v>64</v>
      </c>
      <c r="B52" s="1">
        <v>48</v>
      </c>
      <c r="C52" t="s">
        <v>4</v>
      </c>
      <c r="D52" t="s">
        <v>10</v>
      </c>
      <c r="E52" t="s">
        <v>6</v>
      </c>
      <c r="F52" t="s">
        <v>11</v>
      </c>
      <c r="G52" t="s">
        <v>14</v>
      </c>
      <c r="H52" s="1">
        <v>3</v>
      </c>
      <c r="I52" s="1">
        <v>5381</v>
      </c>
      <c r="J52" t="s">
        <v>4</v>
      </c>
      <c r="K52" s="1">
        <v>13</v>
      </c>
      <c r="L52" s="1">
        <v>3</v>
      </c>
      <c r="M52" s="1">
        <v>23</v>
      </c>
      <c r="N52" s="1">
        <v>3</v>
      </c>
      <c r="O52" s="1">
        <v>1</v>
      </c>
      <c r="P52" s="1">
        <f>COUNTIF(HR_Data[Employee Number],HR_Data[[#This Row],[Employee Number]])</f>
        <v>1</v>
      </c>
      <c r="Q52" s="1" t="str">
        <f>IF(HR_Data[[#This Row],[Years At Company]]&lt;=HR_Data[[#This Row],[Total Working Years]],"Valid","error")</f>
        <v>Valid</v>
      </c>
      <c r="R52" s="1" t="str" cm="1">
        <f t="array" ref="R52">_xlfn.IFS(HR_Data[[#This Row],[Age]]&lt;=30,"Young", HR_Data[[#This Row],[Age]]&lt;=45,"Mid-Age",HR_Data[[#This Row],[Age]]&gt;45,"Senior")</f>
        <v>Senior</v>
      </c>
      <c r="S52" s="1" t="str" cm="1">
        <f t="array" ref="S52">_xlfn.IFS(HR_Data[[#This Row],[Monthly Income]]&lt;5000,"Low", HR_Data[[#This Row],[Monthly Income]]&lt;10000,"Medium",TRUE,"High")</f>
        <v>Medium</v>
      </c>
      <c r="T52" s="1" t="str" cm="1">
        <f t="array" ref="T52">_xlfn.IFS(HR_Data[[#This Row],[Total Working Years]]&lt;=5,"Junior", HR_Data[[#This Row],[Total Working Years]]&lt;=15,"Mid-Level", TRUE, "Senior")</f>
        <v>Senior</v>
      </c>
    </row>
    <row r="53" spans="1:20" x14ac:dyDescent="0.25">
      <c r="A53" s="1">
        <v>65</v>
      </c>
      <c r="B53" s="1">
        <v>28</v>
      </c>
      <c r="C53" t="s">
        <v>4</v>
      </c>
      <c r="D53" t="s">
        <v>10</v>
      </c>
      <c r="E53" t="s">
        <v>22</v>
      </c>
      <c r="F53" t="s">
        <v>11</v>
      </c>
      <c r="G53" t="s">
        <v>14</v>
      </c>
      <c r="H53" s="1">
        <v>3</v>
      </c>
      <c r="I53" s="1">
        <v>3441</v>
      </c>
      <c r="J53" t="s">
        <v>4</v>
      </c>
      <c r="K53" s="1">
        <v>13</v>
      </c>
      <c r="L53" s="1">
        <v>3</v>
      </c>
      <c r="M53" s="1">
        <v>2</v>
      </c>
      <c r="N53" s="1">
        <v>2</v>
      </c>
      <c r="O53" s="1">
        <v>2</v>
      </c>
      <c r="P53" s="1">
        <f>COUNTIF(HR_Data[Employee Number],HR_Data[[#This Row],[Employee Number]])</f>
        <v>1</v>
      </c>
      <c r="Q53" s="1" t="str">
        <f>IF(HR_Data[[#This Row],[Years At Company]]&lt;=HR_Data[[#This Row],[Total Working Years]],"Valid","error")</f>
        <v>Valid</v>
      </c>
      <c r="R53" s="1" t="str" cm="1">
        <f t="array" ref="R53">_xlfn.IFS(HR_Data[[#This Row],[Age]]&lt;=30,"Young", HR_Data[[#This Row],[Age]]&lt;=45,"Mid-Age",HR_Data[[#This Row],[Age]]&gt;45,"Senior")</f>
        <v>Young</v>
      </c>
      <c r="S53" s="1" t="str" cm="1">
        <f t="array" ref="S53">_xlfn.IFS(HR_Data[[#This Row],[Monthly Income]]&lt;5000,"Low", HR_Data[[#This Row],[Monthly Income]]&lt;10000,"Medium",TRUE,"High")</f>
        <v>Low</v>
      </c>
      <c r="T53" s="1" t="str" cm="1">
        <f t="array" ref="T53">_xlfn.IFS(HR_Data[[#This Row],[Total Working Years]]&lt;=5,"Junior", HR_Data[[#This Row],[Total Working Years]]&lt;=15,"Mid-Level", TRUE, "Senior")</f>
        <v>Junior</v>
      </c>
    </row>
    <row r="54" spans="1:20" x14ac:dyDescent="0.25">
      <c r="A54" s="1">
        <v>68</v>
      </c>
      <c r="B54" s="1">
        <v>44</v>
      </c>
      <c r="C54" t="s">
        <v>9</v>
      </c>
      <c r="D54" t="s">
        <v>5</v>
      </c>
      <c r="E54" t="s">
        <v>21</v>
      </c>
      <c r="F54" t="s">
        <v>7</v>
      </c>
      <c r="G54" t="s">
        <v>8</v>
      </c>
      <c r="H54" s="1">
        <v>1</v>
      </c>
      <c r="I54" s="1">
        <v>5454</v>
      </c>
      <c r="J54" t="s">
        <v>4</v>
      </c>
      <c r="K54" s="1">
        <v>21</v>
      </c>
      <c r="L54" s="1">
        <v>4</v>
      </c>
      <c r="M54" s="1">
        <v>9</v>
      </c>
      <c r="N54" s="1">
        <v>2</v>
      </c>
      <c r="O54" s="1">
        <v>4</v>
      </c>
      <c r="P54" s="1">
        <f>COUNTIF(HR_Data[Employee Number],HR_Data[[#This Row],[Employee Number]])</f>
        <v>1</v>
      </c>
      <c r="Q54" s="1" t="str">
        <f>IF(HR_Data[[#This Row],[Years At Company]]&lt;=HR_Data[[#This Row],[Total Working Years]],"Valid","error")</f>
        <v>Valid</v>
      </c>
      <c r="R54" s="1" t="str" cm="1">
        <f t="array" ref="R54">_xlfn.IFS(HR_Data[[#This Row],[Age]]&lt;=30,"Young", HR_Data[[#This Row],[Age]]&lt;=45,"Mid-Age",HR_Data[[#This Row],[Age]]&gt;45,"Senior")</f>
        <v>Mid-Age</v>
      </c>
      <c r="S54" s="1" t="str" cm="1">
        <f t="array" ref="S54">_xlfn.IFS(HR_Data[[#This Row],[Monthly Income]]&lt;5000,"Low", HR_Data[[#This Row],[Monthly Income]]&lt;10000,"Medium",TRUE,"High")</f>
        <v>Medium</v>
      </c>
      <c r="T54" s="1" t="str" cm="1">
        <f t="array" ref="T54">_xlfn.IFS(HR_Data[[#This Row],[Total Working Years]]&lt;=5,"Junior", HR_Data[[#This Row],[Total Working Years]]&lt;=15,"Mid-Level", TRUE, "Senior")</f>
        <v>Mid-Level</v>
      </c>
    </row>
    <row r="55" spans="1:20" x14ac:dyDescent="0.25">
      <c r="A55" s="1">
        <v>70</v>
      </c>
      <c r="B55" s="1">
        <v>35</v>
      </c>
      <c r="C55" t="s">
        <v>9</v>
      </c>
      <c r="D55" t="s">
        <v>10</v>
      </c>
      <c r="E55" t="s">
        <v>15</v>
      </c>
      <c r="F55" t="s">
        <v>11</v>
      </c>
      <c r="G55" t="s">
        <v>17</v>
      </c>
      <c r="H55" s="1">
        <v>1</v>
      </c>
      <c r="I55" s="1">
        <v>9884</v>
      </c>
      <c r="J55" t="s">
        <v>4</v>
      </c>
      <c r="K55" s="1">
        <v>13</v>
      </c>
      <c r="L55" s="1">
        <v>3</v>
      </c>
      <c r="M55" s="1">
        <v>10</v>
      </c>
      <c r="N55" s="1">
        <v>3</v>
      </c>
      <c r="O55" s="1">
        <v>4</v>
      </c>
      <c r="P55" s="1">
        <f>COUNTIF(HR_Data[Employee Number],HR_Data[[#This Row],[Employee Number]])</f>
        <v>1</v>
      </c>
      <c r="Q55" s="1" t="str">
        <f>IF(HR_Data[[#This Row],[Years At Company]]&lt;=HR_Data[[#This Row],[Total Working Years]],"Valid","error")</f>
        <v>Valid</v>
      </c>
      <c r="R55" s="1" t="str" cm="1">
        <f t="array" ref="R55">_xlfn.IFS(HR_Data[[#This Row],[Age]]&lt;=30,"Young", HR_Data[[#This Row],[Age]]&lt;=45,"Mid-Age",HR_Data[[#This Row],[Age]]&gt;45,"Senior")</f>
        <v>Mid-Age</v>
      </c>
      <c r="S55" s="1" t="str" cm="1">
        <f t="array" ref="S55">_xlfn.IFS(HR_Data[[#This Row],[Monthly Income]]&lt;5000,"Low", HR_Data[[#This Row],[Monthly Income]]&lt;10000,"Medium",TRUE,"High")</f>
        <v>Medium</v>
      </c>
      <c r="T55" s="1" t="str" cm="1">
        <f t="array" ref="T55">_xlfn.IFS(HR_Data[[#This Row],[Total Working Years]]&lt;=5,"Junior", HR_Data[[#This Row],[Total Working Years]]&lt;=15,"Mid-Level", TRUE, "Senior")</f>
        <v>Mid-Level</v>
      </c>
    </row>
    <row r="56" spans="1:20" x14ac:dyDescent="0.25">
      <c r="A56" s="1">
        <v>72</v>
      </c>
      <c r="B56" s="1">
        <v>26</v>
      </c>
      <c r="C56" t="s">
        <v>9</v>
      </c>
      <c r="D56" t="s">
        <v>5</v>
      </c>
      <c r="E56" t="s">
        <v>21</v>
      </c>
      <c r="F56" t="s">
        <v>7</v>
      </c>
      <c r="G56" t="s">
        <v>8</v>
      </c>
      <c r="H56" s="1">
        <v>4</v>
      </c>
      <c r="I56" s="1">
        <v>4157</v>
      </c>
      <c r="J56" t="s">
        <v>4</v>
      </c>
      <c r="K56" s="1">
        <v>19</v>
      </c>
      <c r="L56" s="1">
        <v>3</v>
      </c>
      <c r="M56" s="1">
        <v>5</v>
      </c>
      <c r="N56" s="1">
        <v>2</v>
      </c>
      <c r="O56" s="1">
        <v>2</v>
      </c>
      <c r="P56" s="1">
        <f>COUNTIF(HR_Data[Employee Number],HR_Data[[#This Row],[Employee Number]])</f>
        <v>1</v>
      </c>
      <c r="Q56" s="1" t="str">
        <f>IF(HR_Data[[#This Row],[Years At Company]]&lt;=HR_Data[[#This Row],[Total Working Years]],"Valid","error")</f>
        <v>Valid</v>
      </c>
      <c r="R56" s="1" t="str" cm="1">
        <f t="array" ref="R56">_xlfn.IFS(HR_Data[[#This Row],[Age]]&lt;=30,"Young", HR_Data[[#This Row],[Age]]&lt;=45,"Mid-Age",HR_Data[[#This Row],[Age]]&gt;45,"Senior")</f>
        <v>Young</v>
      </c>
      <c r="S56" s="1" t="str" cm="1">
        <f t="array" ref="S56">_xlfn.IFS(HR_Data[[#This Row],[Monthly Income]]&lt;5000,"Low", HR_Data[[#This Row],[Monthly Income]]&lt;10000,"Medium",TRUE,"High")</f>
        <v>Low</v>
      </c>
      <c r="T56" s="1" t="str" cm="1">
        <f t="array" ref="T56">_xlfn.IFS(HR_Data[[#This Row],[Total Working Years]]&lt;=5,"Junior", HR_Data[[#This Row],[Total Working Years]]&lt;=15,"Mid-Level", TRUE, "Senior")</f>
        <v>Junior</v>
      </c>
    </row>
    <row r="57" spans="1:20" x14ac:dyDescent="0.25">
      <c r="A57" s="1">
        <v>73</v>
      </c>
      <c r="B57" s="1">
        <v>33</v>
      </c>
      <c r="C57" t="s">
        <v>9</v>
      </c>
      <c r="D57" t="s">
        <v>10</v>
      </c>
      <c r="E57" t="s">
        <v>6</v>
      </c>
      <c r="F57" t="s">
        <v>7</v>
      </c>
      <c r="G57" t="s">
        <v>20</v>
      </c>
      <c r="H57" s="1">
        <v>4</v>
      </c>
      <c r="I57" s="1">
        <v>13458</v>
      </c>
      <c r="J57" t="s">
        <v>4</v>
      </c>
      <c r="K57" s="1">
        <v>12</v>
      </c>
      <c r="L57" s="1">
        <v>3</v>
      </c>
      <c r="M57" s="1">
        <v>15</v>
      </c>
      <c r="N57" s="1">
        <v>3</v>
      </c>
      <c r="O57" s="1">
        <v>15</v>
      </c>
      <c r="P57" s="1">
        <f>COUNTIF(HR_Data[Employee Number],HR_Data[[#This Row],[Employee Number]])</f>
        <v>1</v>
      </c>
      <c r="Q57" s="1" t="str">
        <f>IF(HR_Data[[#This Row],[Years At Company]]&lt;=HR_Data[[#This Row],[Total Working Years]],"Valid","error")</f>
        <v>Valid</v>
      </c>
      <c r="R57" s="1" t="str" cm="1">
        <f t="array" ref="R57">_xlfn.IFS(HR_Data[[#This Row],[Age]]&lt;=30,"Young", HR_Data[[#This Row],[Age]]&lt;=45,"Mid-Age",HR_Data[[#This Row],[Age]]&gt;45,"Senior")</f>
        <v>Mid-Age</v>
      </c>
      <c r="S57" s="1" t="str" cm="1">
        <f t="array" ref="S57">_xlfn.IFS(HR_Data[[#This Row],[Monthly Income]]&lt;5000,"Low", HR_Data[[#This Row],[Monthly Income]]&lt;10000,"Medium",TRUE,"High")</f>
        <v>High</v>
      </c>
      <c r="T57" s="1" t="str" cm="1">
        <f t="array" ref="T57">_xlfn.IFS(HR_Data[[#This Row],[Total Working Years]]&lt;=5,"Junior", HR_Data[[#This Row],[Total Working Years]]&lt;=15,"Mid-Level", TRUE, "Senior")</f>
        <v>Mid-Level</v>
      </c>
    </row>
    <row r="58" spans="1:20" x14ac:dyDescent="0.25">
      <c r="A58" s="1">
        <v>74</v>
      </c>
      <c r="B58" s="1">
        <v>35</v>
      </c>
      <c r="C58" t="s">
        <v>9</v>
      </c>
      <c r="D58" t="s">
        <v>5</v>
      </c>
      <c r="E58" t="s">
        <v>6</v>
      </c>
      <c r="F58" t="s">
        <v>11</v>
      </c>
      <c r="G58" t="s">
        <v>8</v>
      </c>
      <c r="H58" s="1">
        <v>1</v>
      </c>
      <c r="I58" s="1">
        <v>9069</v>
      </c>
      <c r="J58" t="s">
        <v>9</v>
      </c>
      <c r="K58" s="1">
        <v>22</v>
      </c>
      <c r="L58" s="1">
        <v>4</v>
      </c>
      <c r="M58" s="1">
        <v>9</v>
      </c>
      <c r="N58" s="1">
        <v>2</v>
      </c>
      <c r="O58" s="1">
        <v>9</v>
      </c>
      <c r="P58" s="1">
        <f>COUNTIF(HR_Data[Employee Number],HR_Data[[#This Row],[Employee Number]])</f>
        <v>1</v>
      </c>
      <c r="Q58" s="1" t="str">
        <f>IF(HR_Data[[#This Row],[Years At Company]]&lt;=HR_Data[[#This Row],[Total Working Years]],"Valid","error")</f>
        <v>Valid</v>
      </c>
      <c r="R58" s="1" t="str" cm="1">
        <f t="array" ref="R58">_xlfn.IFS(HR_Data[[#This Row],[Age]]&lt;=30,"Young", HR_Data[[#This Row],[Age]]&lt;=45,"Mid-Age",HR_Data[[#This Row],[Age]]&gt;45,"Senior")</f>
        <v>Mid-Age</v>
      </c>
      <c r="S58" s="1" t="str" cm="1">
        <f t="array" ref="S58">_xlfn.IFS(HR_Data[[#This Row],[Monthly Income]]&lt;5000,"Low", HR_Data[[#This Row],[Monthly Income]]&lt;10000,"Medium",TRUE,"High")</f>
        <v>Medium</v>
      </c>
      <c r="T58" s="1" t="str" cm="1">
        <f t="array" ref="T58">_xlfn.IFS(HR_Data[[#This Row],[Total Working Years]]&lt;=5,"Junior", HR_Data[[#This Row],[Total Working Years]]&lt;=15,"Mid-Level", TRUE, "Senior")</f>
        <v>Mid-Level</v>
      </c>
    </row>
    <row r="59" spans="1:20" x14ac:dyDescent="0.25">
      <c r="A59" s="1">
        <v>75</v>
      </c>
      <c r="B59" s="1">
        <v>35</v>
      </c>
      <c r="C59" t="s">
        <v>9</v>
      </c>
      <c r="D59" t="s">
        <v>10</v>
      </c>
      <c r="E59" t="s">
        <v>15</v>
      </c>
      <c r="F59" t="s">
        <v>7</v>
      </c>
      <c r="G59" t="s">
        <v>14</v>
      </c>
      <c r="H59" s="1">
        <v>1</v>
      </c>
      <c r="I59" s="1">
        <v>4014</v>
      </c>
      <c r="J59" t="s">
        <v>4</v>
      </c>
      <c r="K59" s="1">
        <v>15</v>
      </c>
      <c r="L59" s="1">
        <v>3</v>
      </c>
      <c r="M59" s="1">
        <v>4</v>
      </c>
      <c r="N59" s="1">
        <v>3</v>
      </c>
      <c r="O59" s="1">
        <v>2</v>
      </c>
      <c r="P59" s="1">
        <f>COUNTIF(HR_Data[Employee Number],HR_Data[[#This Row],[Employee Number]])</f>
        <v>1</v>
      </c>
      <c r="Q59" s="1" t="str">
        <f>IF(HR_Data[[#This Row],[Years At Company]]&lt;=HR_Data[[#This Row],[Total Working Years]],"Valid","error")</f>
        <v>Valid</v>
      </c>
      <c r="R59" s="1" t="str" cm="1">
        <f t="array" ref="R59">_xlfn.IFS(HR_Data[[#This Row],[Age]]&lt;=30,"Young", HR_Data[[#This Row],[Age]]&lt;=45,"Mid-Age",HR_Data[[#This Row],[Age]]&gt;45,"Senior")</f>
        <v>Mid-Age</v>
      </c>
      <c r="S59" s="1" t="str" cm="1">
        <f t="array" ref="S59">_xlfn.IFS(HR_Data[[#This Row],[Monthly Income]]&lt;5000,"Low", HR_Data[[#This Row],[Monthly Income]]&lt;10000,"Medium",TRUE,"High")</f>
        <v>Low</v>
      </c>
      <c r="T59" s="1" t="str" cm="1">
        <f t="array" ref="T59">_xlfn.IFS(HR_Data[[#This Row],[Total Working Years]]&lt;=5,"Junior", HR_Data[[#This Row],[Total Working Years]]&lt;=15,"Mid-Level", TRUE, "Senior")</f>
        <v>Junior</v>
      </c>
    </row>
    <row r="60" spans="1:20" x14ac:dyDescent="0.25">
      <c r="A60" s="1">
        <v>76</v>
      </c>
      <c r="B60" s="1">
        <v>31</v>
      </c>
      <c r="C60" t="s">
        <v>9</v>
      </c>
      <c r="D60" t="s">
        <v>10</v>
      </c>
      <c r="E60" t="s">
        <v>6</v>
      </c>
      <c r="F60" t="s">
        <v>11</v>
      </c>
      <c r="G60" t="s">
        <v>14</v>
      </c>
      <c r="H60" s="1">
        <v>4</v>
      </c>
      <c r="I60" s="1">
        <v>5915</v>
      </c>
      <c r="J60" t="s">
        <v>9</v>
      </c>
      <c r="K60" s="1">
        <v>22</v>
      </c>
      <c r="L60" s="1">
        <v>4</v>
      </c>
      <c r="M60" s="1">
        <v>10</v>
      </c>
      <c r="N60" s="1">
        <v>2</v>
      </c>
      <c r="O60" s="1">
        <v>7</v>
      </c>
      <c r="P60" s="1">
        <f>COUNTIF(HR_Data[Employee Number],HR_Data[[#This Row],[Employee Number]])</f>
        <v>1</v>
      </c>
      <c r="Q60" s="1" t="str">
        <f>IF(HR_Data[[#This Row],[Years At Company]]&lt;=HR_Data[[#This Row],[Total Working Years]],"Valid","error")</f>
        <v>Valid</v>
      </c>
      <c r="R60" s="1" t="str" cm="1">
        <f t="array" ref="R60">_xlfn.IFS(HR_Data[[#This Row],[Age]]&lt;=30,"Young", HR_Data[[#This Row],[Age]]&lt;=45,"Mid-Age",HR_Data[[#This Row],[Age]]&gt;45,"Senior")</f>
        <v>Mid-Age</v>
      </c>
      <c r="S60" s="1" t="str" cm="1">
        <f t="array" ref="S60">_xlfn.IFS(HR_Data[[#This Row],[Monthly Income]]&lt;5000,"Low", HR_Data[[#This Row],[Monthly Income]]&lt;10000,"Medium",TRUE,"High")</f>
        <v>Medium</v>
      </c>
      <c r="T60" s="1" t="str" cm="1">
        <f t="array" ref="T60">_xlfn.IFS(HR_Data[[#This Row],[Total Working Years]]&lt;=5,"Junior", HR_Data[[#This Row],[Total Working Years]]&lt;=15,"Mid-Level", TRUE, "Senior")</f>
        <v>Mid-Level</v>
      </c>
    </row>
    <row r="61" spans="1:20" x14ac:dyDescent="0.25">
      <c r="A61" s="1">
        <v>77</v>
      </c>
      <c r="B61" s="1">
        <v>37</v>
      </c>
      <c r="C61" t="s">
        <v>9</v>
      </c>
      <c r="D61" t="s">
        <v>10</v>
      </c>
      <c r="E61" t="s">
        <v>6</v>
      </c>
      <c r="F61" t="s">
        <v>11</v>
      </c>
      <c r="G61" t="s">
        <v>16</v>
      </c>
      <c r="H61" s="1">
        <v>3</v>
      </c>
      <c r="I61" s="1">
        <v>5993</v>
      </c>
      <c r="J61" t="s">
        <v>9</v>
      </c>
      <c r="K61" s="1">
        <v>18</v>
      </c>
      <c r="L61" s="1">
        <v>3</v>
      </c>
      <c r="M61" s="1">
        <v>7</v>
      </c>
      <c r="N61" s="1">
        <v>4</v>
      </c>
      <c r="O61" s="1">
        <v>7</v>
      </c>
      <c r="P61" s="1">
        <f>COUNTIF(HR_Data[Employee Number],HR_Data[[#This Row],[Employee Number]])</f>
        <v>1</v>
      </c>
      <c r="Q61" s="1" t="str">
        <f>IF(HR_Data[[#This Row],[Years At Company]]&lt;=HR_Data[[#This Row],[Total Working Years]],"Valid","error")</f>
        <v>Valid</v>
      </c>
      <c r="R61" s="1" t="str" cm="1">
        <f t="array" ref="R61">_xlfn.IFS(HR_Data[[#This Row],[Age]]&lt;=30,"Young", HR_Data[[#This Row],[Age]]&lt;=45,"Mid-Age",HR_Data[[#This Row],[Age]]&gt;45,"Senior")</f>
        <v>Mid-Age</v>
      </c>
      <c r="S61" s="1" t="str" cm="1">
        <f t="array" ref="S61">_xlfn.IFS(HR_Data[[#This Row],[Monthly Income]]&lt;5000,"Low", HR_Data[[#This Row],[Monthly Income]]&lt;10000,"Medium",TRUE,"High")</f>
        <v>Medium</v>
      </c>
      <c r="T61" s="1" t="str" cm="1">
        <f t="array" ref="T61">_xlfn.IFS(HR_Data[[#This Row],[Total Working Years]]&lt;=5,"Junior", HR_Data[[#This Row],[Total Working Years]]&lt;=15,"Mid-Level", TRUE, "Senior")</f>
        <v>Mid-Level</v>
      </c>
    </row>
    <row r="62" spans="1:20" x14ac:dyDescent="0.25">
      <c r="A62" s="1">
        <v>78</v>
      </c>
      <c r="B62" s="1">
        <v>32</v>
      </c>
      <c r="C62" t="s">
        <v>9</v>
      </c>
      <c r="D62" t="s">
        <v>10</v>
      </c>
      <c r="E62" t="s">
        <v>15</v>
      </c>
      <c r="F62" t="s">
        <v>11</v>
      </c>
      <c r="G62" t="s">
        <v>16</v>
      </c>
      <c r="H62" s="1">
        <v>4</v>
      </c>
      <c r="I62" s="1">
        <v>6162</v>
      </c>
      <c r="J62" t="s">
        <v>4</v>
      </c>
      <c r="K62" s="1">
        <v>22</v>
      </c>
      <c r="L62" s="1">
        <v>4</v>
      </c>
      <c r="M62" s="1">
        <v>9</v>
      </c>
      <c r="N62" s="1">
        <v>3</v>
      </c>
      <c r="O62" s="1">
        <v>9</v>
      </c>
      <c r="P62" s="1">
        <f>COUNTIF(HR_Data[Employee Number],HR_Data[[#This Row],[Employee Number]])</f>
        <v>1</v>
      </c>
      <c r="Q62" s="1" t="str">
        <f>IF(HR_Data[[#This Row],[Years At Company]]&lt;=HR_Data[[#This Row],[Total Working Years]],"Valid","error")</f>
        <v>Valid</v>
      </c>
      <c r="R62" s="1" t="str" cm="1">
        <f t="array" ref="R62">_xlfn.IFS(HR_Data[[#This Row],[Age]]&lt;=30,"Young", HR_Data[[#This Row],[Age]]&lt;=45,"Mid-Age",HR_Data[[#This Row],[Age]]&gt;45,"Senior")</f>
        <v>Mid-Age</v>
      </c>
      <c r="S62" s="1" t="str" cm="1">
        <f t="array" ref="S62">_xlfn.IFS(HR_Data[[#This Row],[Monthly Income]]&lt;5000,"Low", HR_Data[[#This Row],[Monthly Income]]&lt;10000,"Medium",TRUE,"High")</f>
        <v>Medium</v>
      </c>
      <c r="T62" s="1" t="str" cm="1">
        <f t="array" ref="T62">_xlfn.IFS(HR_Data[[#This Row],[Total Working Years]]&lt;=5,"Junior", HR_Data[[#This Row],[Total Working Years]]&lt;=15,"Mid-Level", TRUE, "Senior")</f>
        <v>Mid-Level</v>
      </c>
    </row>
    <row r="63" spans="1:20" x14ac:dyDescent="0.25">
      <c r="A63" s="1">
        <v>79</v>
      </c>
      <c r="B63" s="1">
        <v>38</v>
      </c>
      <c r="C63" t="s">
        <v>9</v>
      </c>
      <c r="D63" t="s">
        <v>10</v>
      </c>
      <c r="E63" t="s">
        <v>6</v>
      </c>
      <c r="F63" t="s">
        <v>7</v>
      </c>
      <c r="G63" t="s">
        <v>14</v>
      </c>
      <c r="H63" s="1">
        <v>4</v>
      </c>
      <c r="I63" s="1">
        <v>2406</v>
      </c>
      <c r="J63" t="s">
        <v>9</v>
      </c>
      <c r="K63" s="1">
        <v>11</v>
      </c>
      <c r="L63" s="1">
        <v>3</v>
      </c>
      <c r="M63" s="1">
        <v>10</v>
      </c>
      <c r="N63" s="1">
        <v>3</v>
      </c>
      <c r="O63" s="1">
        <v>10</v>
      </c>
      <c r="P63" s="1">
        <f>COUNTIF(HR_Data[Employee Number],HR_Data[[#This Row],[Employee Number]])</f>
        <v>1</v>
      </c>
      <c r="Q63" s="1" t="str">
        <f>IF(HR_Data[[#This Row],[Years At Company]]&lt;=HR_Data[[#This Row],[Total Working Years]],"Valid","error")</f>
        <v>Valid</v>
      </c>
      <c r="R63" s="1" t="str" cm="1">
        <f t="array" ref="R63">_xlfn.IFS(HR_Data[[#This Row],[Age]]&lt;=30,"Young", HR_Data[[#This Row],[Age]]&lt;=45,"Mid-Age",HR_Data[[#This Row],[Age]]&gt;45,"Senior")</f>
        <v>Mid-Age</v>
      </c>
      <c r="S63" s="1" t="str" cm="1">
        <f t="array" ref="S63">_xlfn.IFS(HR_Data[[#This Row],[Monthly Income]]&lt;5000,"Low", HR_Data[[#This Row],[Monthly Income]]&lt;10000,"Medium",TRUE,"High")</f>
        <v>Low</v>
      </c>
      <c r="T63" s="1" t="str" cm="1">
        <f t="array" ref="T63">_xlfn.IFS(HR_Data[[#This Row],[Total Working Years]]&lt;=5,"Junior", HR_Data[[#This Row],[Total Working Years]]&lt;=15,"Mid-Level", TRUE, "Senior")</f>
        <v>Mid-Level</v>
      </c>
    </row>
    <row r="64" spans="1:20" x14ac:dyDescent="0.25">
      <c r="A64" s="1">
        <v>80</v>
      </c>
      <c r="B64" s="1">
        <v>50</v>
      </c>
      <c r="C64" t="s">
        <v>9</v>
      </c>
      <c r="D64" t="s">
        <v>10</v>
      </c>
      <c r="E64" t="s">
        <v>15</v>
      </c>
      <c r="F64" t="s">
        <v>7</v>
      </c>
      <c r="G64" t="s">
        <v>20</v>
      </c>
      <c r="H64" s="1">
        <v>3</v>
      </c>
      <c r="I64" s="1">
        <v>18740</v>
      </c>
      <c r="J64" t="s">
        <v>4</v>
      </c>
      <c r="K64" s="1">
        <v>12</v>
      </c>
      <c r="L64" s="1">
        <v>3</v>
      </c>
      <c r="M64" s="1">
        <v>29</v>
      </c>
      <c r="N64" s="1">
        <v>2</v>
      </c>
      <c r="O64" s="1">
        <v>27</v>
      </c>
      <c r="P64" s="1">
        <f>COUNTIF(HR_Data[Employee Number],HR_Data[[#This Row],[Employee Number]])</f>
        <v>1</v>
      </c>
      <c r="Q64" s="1" t="str">
        <f>IF(HR_Data[[#This Row],[Years At Company]]&lt;=HR_Data[[#This Row],[Total Working Years]],"Valid","error")</f>
        <v>Valid</v>
      </c>
      <c r="R64" s="1" t="str" cm="1">
        <f t="array" ref="R64">_xlfn.IFS(HR_Data[[#This Row],[Age]]&lt;=30,"Young", HR_Data[[#This Row],[Age]]&lt;=45,"Mid-Age",HR_Data[[#This Row],[Age]]&gt;45,"Senior")</f>
        <v>Senior</v>
      </c>
      <c r="S64" s="1" t="str" cm="1">
        <f t="array" ref="S64">_xlfn.IFS(HR_Data[[#This Row],[Monthly Income]]&lt;5000,"Low", HR_Data[[#This Row],[Monthly Income]]&lt;10000,"Medium",TRUE,"High")</f>
        <v>High</v>
      </c>
      <c r="T64" s="1" t="str" cm="1">
        <f t="array" ref="T64">_xlfn.IFS(HR_Data[[#This Row],[Total Working Years]]&lt;=5,"Junior", HR_Data[[#This Row],[Total Working Years]]&lt;=15,"Mid-Level", TRUE, "Senior")</f>
        <v>Senior</v>
      </c>
    </row>
    <row r="65" spans="1:20" x14ac:dyDescent="0.25">
      <c r="A65" s="1">
        <v>81</v>
      </c>
      <c r="B65" s="1">
        <v>59</v>
      </c>
      <c r="C65" t="s">
        <v>9</v>
      </c>
      <c r="D65" t="s">
        <v>5</v>
      </c>
      <c r="E65" t="s">
        <v>6</v>
      </c>
      <c r="F65" t="s">
        <v>7</v>
      </c>
      <c r="G65" t="s">
        <v>8</v>
      </c>
      <c r="H65" s="1">
        <v>1</v>
      </c>
      <c r="I65" s="1">
        <v>7637</v>
      </c>
      <c r="J65" t="s">
        <v>9</v>
      </c>
      <c r="K65" s="1">
        <v>11</v>
      </c>
      <c r="L65" s="1">
        <v>3</v>
      </c>
      <c r="M65" s="1">
        <v>28</v>
      </c>
      <c r="N65" s="1">
        <v>2</v>
      </c>
      <c r="O65" s="1">
        <v>21</v>
      </c>
      <c r="P65" s="1">
        <f>COUNTIF(HR_Data[Employee Number],HR_Data[[#This Row],[Employee Number]])</f>
        <v>1</v>
      </c>
      <c r="Q65" s="1" t="str">
        <f>IF(HR_Data[[#This Row],[Years At Company]]&lt;=HR_Data[[#This Row],[Total Working Years]],"Valid","error")</f>
        <v>Valid</v>
      </c>
      <c r="R65" s="1" t="str" cm="1">
        <f t="array" ref="R65">_xlfn.IFS(HR_Data[[#This Row],[Age]]&lt;=30,"Young", HR_Data[[#This Row],[Age]]&lt;=45,"Mid-Age",HR_Data[[#This Row],[Age]]&gt;45,"Senior")</f>
        <v>Senior</v>
      </c>
      <c r="S65" s="1" t="str" cm="1">
        <f t="array" ref="S65">_xlfn.IFS(HR_Data[[#This Row],[Monthly Income]]&lt;5000,"Low", HR_Data[[#This Row],[Monthly Income]]&lt;10000,"Medium",TRUE,"High")</f>
        <v>Medium</v>
      </c>
      <c r="T65" s="1" t="str" cm="1">
        <f t="array" ref="T65">_xlfn.IFS(HR_Data[[#This Row],[Total Working Years]]&lt;=5,"Junior", HR_Data[[#This Row],[Total Working Years]]&lt;=15,"Mid-Level", TRUE, "Senior")</f>
        <v>Senior</v>
      </c>
    </row>
    <row r="66" spans="1:20" x14ac:dyDescent="0.25">
      <c r="A66" s="1">
        <v>83</v>
      </c>
      <c r="B66" s="1">
        <v>36</v>
      </c>
      <c r="C66" t="s">
        <v>9</v>
      </c>
      <c r="D66" t="s">
        <v>10</v>
      </c>
      <c r="E66" t="s">
        <v>22</v>
      </c>
      <c r="F66" t="s">
        <v>7</v>
      </c>
      <c r="G66" t="s">
        <v>17</v>
      </c>
      <c r="H66" s="1">
        <v>3</v>
      </c>
      <c r="I66" s="1">
        <v>10096</v>
      </c>
      <c r="J66" t="s">
        <v>9</v>
      </c>
      <c r="K66" s="1">
        <v>13</v>
      </c>
      <c r="L66" s="1">
        <v>3</v>
      </c>
      <c r="M66" s="1">
        <v>17</v>
      </c>
      <c r="N66" s="1">
        <v>3</v>
      </c>
      <c r="O66" s="1">
        <v>17</v>
      </c>
      <c r="P66" s="1">
        <f>COUNTIF(HR_Data[Employee Number],HR_Data[[#This Row],[Employee Number]])</f>
        <v>1</v>
      </c>
      <c r="Q66" s="1" t="str">
        <f>IF(HR_Data[[#This Row],[Years At Company]]&lt;=HR_Data[[#This Row],[Total Working Years]],"Valid","error")</f>
        <v>Valid</v>
      </c>
      <c r="R66" s="1" t="str" cm="1">
        <f t="array" ref="R66">_xlfn.IFS(HR_Data[[#This Row],[Age]]&lt;=30,"Young", HR_Data[[#This Row],[Age]]&lt;=45,"Mid-Age",HR_Data[[#This Row],[Age]]&gt;45,"Senior")</f>
        <v>Mid-Age</v>
      </c>
      <c r="S66" s="1" t="str" cm="1">
        <f t="array" ref="S66">_xlfn.IFS(HR_Data[[#This Row],[Monthly Income]]&lt;5000,"Low", HR_Data[[#This Row],[Monthly Income]]&lt;10000,"Medium",TRUE,"High")</f>
        <v>High</v>
      </c>
      <c r="T66" s="1" t="str" cm="1">
        <f t="array" ref="T66">_xlfn.IFS(HR_Data[[#This Row],[Total Working Years]]&lt;=5,"Junior", HR_Data[[#This Row],[Total Working Years]]&lt;=15,"Mid-Level", TRUE, "Senior")</f>
        <v>Senior</v>
      </c>
    </row>
    <row r="67" spans="1:20" x14ac:dyDescent="0.25">
      <c r="A67" s="1">
        <v>84</v>
      </c>
      <c r="B67" s="1">
        <v>55</v>
      </c>
      <c r="C67" t="s">
        <v>9</v>
      </c>
      <c r="D67" t="s">
        <v>10</v>
      </c>
      <c r="E67" t="s">
        <v>15</v>
      </c>
      <c r="F67" t="s">
        <v>7</v>
      </c>
      <c r="G67" t="s">
        <v>18</v>
      </c>
      <c r="H67" s="1">
        <v>3</v>
      </c>
      <c r="I67" s="1">
        <v>14756</v>
      </c>
      <c r="J67" t="s">
        <v>4</v>
      </c>
      <c r="K67" s="1">
        <v>14</v>
      </c>
      <c r="L67" s="1">
        <v>3</v>
      </c>
      <c r="M67" s="1">
        <v>21</v>
      </c>
      <c r="N67" s="1">
        <v>3</v>
      </c>
      <c r="O67" s="1">
        <v>5</v>
      </c>
      <c r="P67" s="1">
        <f>COUNTIF(HR_Data[Employee Number],HR_Data[[#This Row],[Employee Number]])</f>
        <v>1</v>
      </c>
      <c r="Q67" s="1" t="str">
        <f>IF(HR_Data[[#This Row],[Years At Company]]&lt;=HR_Data[[#This Row],[Total Working Years]],"Valid","error")</f>
        <v>Valid</v>
      </c>
      <c r="R67" s="1" t="str" cm="1">
        <f t="array" ref="R67">_xlfn.IFS(HR_Data[[#This Row],[Age]]&lt;=30,"Young", HR_Data[[#This Row],[Age]]&lt;=45,"Mid-Age",HR_Data[[#This Row],[Age]]&gt;45,"Senior")</f>
        <v>Senior</v>
      </c>
      <c r="S67" s="1" t="str" cm="1">
        <f t="array" ref="S67">_xlfn.IFS(HR_Data[[#This Row],[Monthly Income]]&lt;5000,"Low", HR_Data[[#This Row],[Monthly Income]]&lt;10000,"Medium",TRUE,"High")</f>
        <v>High</v>
      </c>
      <c r="T67" s="1" t="str" cm="1">
        <f t="array" ref="T67">_xlfn.IFS(HR_Data[[#This Row],[Total Working Years]]&lt;=5,"Junior", HR_Data[[#This Row],[Total Working Years]]&lt;=15,"Mid-Level", TRUE, "Senior")</f>
        <v>Senior</v>
      </c>
    </row>
    <row r="68" spans="1:20" x14ac:dyDescent="0.25">
      <c r="A68" s="1">
        <v>85</v>
      </c>
      <c r="B68" s="1">
        <v>36</v>
      </c>
      <c r="C68" t="s">
        <v>9</v>
      </c>
      <c r="D68" t="s">
        <v>10</v>
      </c>
      <c r="E68" t="s">
        <v>6</v>
      </c>
      <c r="F68" t="s">
        <v>11</v>
      </c>
      <c r="G68" t="s">
        <v>16</v>
      </c>
      <c r="H68" s="1">
        <v>2</v>
      </c>
      <c r="I68" s="1">
        <v>6499</v>
      </c>
      <c r="J68" t="s">
        <v>9</v>
      </c>
      <c r="K68" s="1">
        <v>13</v>
      </c>
      <c r="L68" s="1">
        <v>3</v>
      </c>
      <c r="M68" s="1">
        <v>6</v>
      </c>
      <c r="N68" s="1">
        <v>3</v>
      </c>
      <c r="O68" s="1">
        <v>6</v>
      </c>
      <c r="P68" s="1">
        <f>COUNTIF(HR_Data[Employee Number],HR_Data[[#This Row],[Employee Number]])</f>
        <v>1</v>
      </c>
      <c r="Q68" s="1" t="str">
        <f>IF(HR_Data[[#This Row],[Years At Company]]&lt;=HR_Data[[#This Row],[Total Working Years]],"Valid","error")</f>
        <v>Valid</v>
      </c>
      <c r="R68" s="1" t="str" cm="1">
        <f t="array" ref="R68">_xlfn.IFS(HR_Data[[#This Row],[Age]]&lt;=30,"Young", HR_Data[[#This Row],[Age]]&lt;=45,"Mid-Age",HR_Data[[#This Row],[Age]]&gt;45,"Senior")</f>
        <v>Mid-Age</v>
      </c>
      <c r="S68" s="1" t="str" cm="1">
        <f t="array" ref="S68">_xlfn.IFS(HR_Data[[#This Row],[Monthly Income]]&lt;5000,"Low", HR_Data[[#This Row],[Monthly Income]]&lt;10000,"Medium",TRUE,"High")</f>
        <v>Medium</v>
      </c>
      <c r="T68" s="1" t="str" cm="1">
        <f t="array" ref="T68">_xlfn.IFS(HR_Data[[#This Row],[Total Working Years]]&lt;=5,"Junior", HR_Data[[#This Row],[Total Working Years]]&lt;=15,"Mid-Level", TRUE, "Senior")</f>
        <v>Mid-Level</v>
      </c>
    </row>
    <row r="69" spans="1:20" x14ac:dyDescent="0.25">
      <c r="A69" s="1">
        <v>86</v>
      </c>
      <c r="B69" s="1">
        <v>45</v>
      </c>
      <c r="C69" t="s">
        <v>9</v>
      </c>
      <c r="D69" t="s">
        <v>10</v>
      </c>
      <c r="E69" t="s">
        <v>6</v>
      </c>
      <c r="F69" t="s">
        <v>11</v>
      </c>
      <c r="G69" t="s">
        <v>12</v>
      </c>
      <c r="H69" s="1">
        <v>1</v>
      </c>
      <c r="I69" s="1">
        <v>9724</v>
      </c>
      <c r="J69" t="s">
        <v>9</v>
      </c>
      <c r="K69" s="1">
        <v>17</v>
      </c>
      <c r="L69" s="1">
        <v>3</v>
      </c>
      <c r="M69" s="1">
        <v>25</v>
      </c>
      <c r="N69" s="1">
        <v>3</v>
      </c>
      <c r="O69" s="1">
        <v>1</v>
      </c>
      <c r="P69" s="1">
        <f>COUNTIF(HR_Data[Employee Number],HR_Data[[#This Row],[Employee Number]])</f>
        <v>1</v>
      </c>
      <c r="Q69" s="1" t="str">
        <f>IF(HR_Data[[#This Row],[Years At Company]]&lt;=HR_Data[[#This Row],[Total Working Years]],"Valid","error")</f>
        <v>Valid</v>
      </c>
      <c r="R69" s="1" t="str" cm="1">
        <f t="array" ref="R69">_xlfn.IFS(HR_Data[[#This Row],[Age]]&lt;=30,"Young", HR_Data[[#This Row],[Age]]&lt;=45,"Mid-Age",HR_Data[[#This Row],[Age]]&gt;45,"Senior")</f>
        <v>Mid-Age</v>
      </c>
      <c r="S69" s="1" t="str" cm="1">
        <f t="array" ref="S69">_xlfn.IFS(HR_Data[[#This Row],[Monthly Income]]&lt;5000,"Low", HR_Data[[#This Row],[Monthly Income]]&lt;10000,"Medium",TRUE,"High")</f>
        <v>Medium</v>
      </c>
      <c r="T69" s="1" t="str" cm="1">
        <f t="array" ref="T69">_xlfn.IFS(HR_Data[[#This Row],[Total Working Years]]&lt;=5,"Junior", HR_Data[[#This Row],[Total Working Years]]&lt;=15,"Mid-Level", TRUE, "Senior")</f>
        <v>Senior</v>
      </c>
    </row>
    <row r="70" spans="1:20" x14ac:dyDescent="0.25">
      <c r="A70" s="1">
        <v>88</v>
      </c>
      <c r="B70" s="1">
        <v>35</v>
      </c>
      <c r="C70" t="s">
        <v>9</v>
      </c>
      <c r="D70" t="s">
        <v>10</v>
      </c>
      <c r="E70" t="s">
        <v>15</v>
      </c>
      <c r="F70" t="s">
        <v>11</v>
      </c>
      <c r="G70" t="s">
        <v>12</v>
      </c>
      <c r="H70" s="1">
        <v>1</v>
      </c>
      <c r="I70" s="1">
        <v>2194</v>
      </c>
      <c r="J70" t="s">
        <v>9</v>
      </c>
      <c r="K70" s="1">
        <v>13</v>
      </c>
      <c r="L70" s="1">
        <v>3</v>
      </c>
      <c r="M70" s="1">
        <v>5</v>
      </c>
      <c r="N70" s="1">
        <v>2</v>
      </c>
      <c r="O70" s="1">
        <v>3</v>
      </c>
      <c r="P70" s="1">
        <f>COUNTIF(HR_Data[Employee Number],HR_Data[[#This Row],[Employee Number]])</f>
        <v>1</v>
      </c>
      <c r="Q70" s="1" t="str">
        <f>IF(HR_Data[[#This Row],[Years At Company]]&lt;=HR_Data[[#This Row],[Total Working Years]],"Valid","error")</f>
        <v>Valid</v>
      </c>
      <c r="R70" s="1" t="str" cm="1">
        <f t="array" ref="R70">_xlfn.IFS(HR_Data[[#This Row],[Age]]&lt;=30,"Young", HR_Data[[#This Row],[Age]]&lt;=45,"Mid-Age",HR_Data[[#This Row],[Age]]&gt;45,"Senior")</f>
        <v>Mid-Age</v>
      </c>
      <c r="S70" s="1" t="str" cm="1">
        <f t="array" ref="S70">_xlfn.IFS(HR_Data[[#This Row],[Monthly Income]]&lt;5000,"Low", HR_Data[[#This Row],[Monthly Income]]&lt;10000,"Medium",TRUE,"High")</f>
        <v>Low</v>
      </c>
      <c r="T70" s="1" t="str" cm="1">
        <f t="array" ref="T70">_xlfn.IFS(HR_Data[[#This Row],[Total Working Years]]&lt;=5,"Junior", HR_Data[[#This Row],[Total Working Years]]&lt;=15,"Mid-Level", TRUE, "Senior")</f>
        <v>Junior</v>
      </c>
    </row>
    <row r="71" spans="1:20" x14ac:dyDescent="0.25">
      <c r="A71" s="1">
        <v>90</v>
      </c>
      <c r="B71" s="1">
        <v>36</v>
      </c>
      <c r="C71" t="s">
        <v>4</v>
      </c>
      <c r="D71" t="s">
        <v>10</v>
      </c>
      <c r="E71" t="s">
        <v>15</v>
      </c>
      <c r="F71" t="s">
        <v>11</v>
      </c>
      <c r="G71" t="s">
        <v>12</v>
      </c>
      <c r="H71" s="1">
        <v>3</v>
      </c>
      <c r="I71" s="1">
        <v>3388</v>
      </c>
      <c r="J71" t="s">
        <v>4</v>
      </c>
      <c r="K71" s="1">
        <v>17</v>
      </c>
      <c r="L71" s="1">
        <v>3</v>
      </c>
      <c r="M71" s="1">
        <v>2</v>
      </c>
      <c r="N71" s="1">
        <v>2</v>
      </c>
      <c r="O71" s="1">
        <v>1</v>
      </c>
      <c r="P71" s="1">
        <f>COUNTIF(HR_Data[Employee Number],HR_Data[[#This Row],[Employee Number]])</f>
        <v>1</v>
      </c>
      <c r="Q71" s="1" t="str">
        <f>IF(HR_Data[[#This Row],[Years At Company]]&lt;=HR_Data[[#This Row],[Total Working Years]],"Valid","error")</f>
        <v>Valid</v>
      </c>
      <c r="R71" s="1" t="str" cm="1">
        <f t="array" ref="R71">_xlfn.IFS(HR_Data[[#This Row],[Age]]&lt;=30,"Young", HR_Data[[#This Row],[Age]]&lt;=45,"Mid-Age",HR_Data[[#This Row],[Age]]&gt;45,"Senior")</f>
        <v>Mid-Age</v>
      </c>
      <c r="S71" s="1" t="str" cm="1">
        <f t="array" ref="S71">_xlfn.IFS(HR_Data[[#This Row],[Monthly Income]]&lt;5000,"Low", HR_Data[[#This Row],[Monthly Income]]&lt;10000,"Medium",TRUE,"High")</f>
        <v>Low</v>
      </c>
      <c r="T71" s="1" t="str" cm="1">
        <f t="array" ref="T71">_xlfn.IFS(HR_Data[[#This Row],[Total Working Years]]&lt;=5,"Junior", HR_Data[[#This Row],[Total Working Years]]&lt;=15,"Mid-Level", TRUE, "Senior")</f>
        <v>Junior</v>
      </c>
    </row>
    <row r="72" spans="1:20" x14ac:dyDescent="0.25">
      <c r="A72" s="1">
        <v>91</v>
      </c>
      <c r="B72" s="1">
        <v>59</v>
      </c>
      <c r="C72" t="s">
        <v>9</v>
      </c>
      <c r="D72" t="s">
        <v>5</v>
      </c>
      <c r="E72" t="s">
        <v>6</v>
      </c>
      <c r="F72" t="s">
        <v>7</v>
      </c>
      <c r="G72" t="s">
        <v>8</v>
      </c>
      <c r="H72" s="1">
        <v>3</v>
      </c>
      <c r="I72" s="1">
        <v>5473</v>
      </c>
      <c r="J72" t="s">
        <v>9</v>
      </c>
      <c r="K72" s="1">
        <v>11</v>
      </c>
      <c r="L72" s="1">
        <v>3</v>
      </c>
      <c r="M72" s="1">
        <v>20</v>
      </c>
      <c r="N72" s="1">
        <v>2</v>
      </c>
      <c r="O72" s="1">
        <v>4</v>
      </c>
      <c r="P72" s="1">
        <f>COUNTIF(HR_Data[Employee Number],HR_Data[[#This Row],[Employee Number]])</f>
        <v>1</v>
      </c>
      <c r="Q72" s="1" t="str">
        <f>IF(HR_Data[[#This Row],[Years At Company]]&lt;=HR_Data[[#This Row],[Total Working Years]],"Valid","error")</f>
        <v>Valid</v>
      </c>
      <c r="R72" s="1" t="str" cm="1">
        <f t="array" ref="R72">_xlfn.IFS(HR_Data[[#This Row],[Age]]&lt;=30,"Young", HR_Data[[#This Row],[Age]]&lt;=45,"Mid-Age",HR_Data[[#This Row],[Age]]&gt;45,"Senior")</f>
        <v>Senior</v>
      </c>
      <c r="S72" s="1" t="str" cm="1">
        <f t="array" ref="S72">_xlfn.IFS(HR_Data[[#This Row],[Monthly Income]]&lt;5000,"Low", HR_Data[[#This Row],[Monthly Income]]&lt;10000,"Medium",TRUE,"High")</f>
        <v>Medium</v>
      </c>
      <c r="T72" s="1" t="str" cm="1">
        <f t="array" ref="T72">_xlfn.IFS(HR_Data[[#This Row],[Total Working Years]]&lt;=5,"Junior", HR_Data[[#This Row],[Total Working Years]]&lt;=15,"Mid-Level", TRUE, "Senior")</f>
        <v>Senior</v>
      </c>
    </row>
    <row r="73" spans="1:20" x14ac:dyDescent="0.25">
      <c r="A73" s="1">
        <v>94</v>
      </c>
      <c r="B73" s="1">
        <v>29</v>
      </c>
      <c r="C73" t="s">
        <v>9</v>
      </c>
      <c r="D73" t="s">
        <v>10</v>
      </c>
      <c r="E73" t="s">
        <v>6</v>
      </c>
      <c r="F73" t="s">
        <v>11</v>
      </c>
      <c r="G73" t="s">
        <v>12</v>
      </c>
      <c r="H73" s="1">
        <v>2</v>
      </c>
      <c r="I73" s="1">
        <v>2703</v>
      </c>
      <c r="J73" t="s">
        <v>9</v>
      </c>
      <c r="K73" s="1">
        <v>23</v>
      </c>
      <c r="L73" s="1">
        <v>4</v>
      </c>
      <c r="M73" s="1">
        <v>6</v>
      </c>
      <c r="N73" s="1">
        <v>3</v>
      </c>
      <c r="O73" s="1">
        <v>5</v>
      </c>
      <c r="P73" s="1">
        <f>COUNTIF(HR_Data[Employee Number],HR_Data[[#This Row],[Employee Number]])</f>
        <v>1</v>
      </c>
      <c r="Q73" s="1" t="str">
        <f>IF(HR_Data[[#This Row],[Years At Company]]&lt;=HR_Data[[#This Row],[Total Working Years]],"Valid","error")</f>
        <v>Valid</v>
      </c>
      <c r="R73" s="1" t="str" cm="1">
        <f t="array" ref="R73">_xlfn.IFS(HR_Data[[#This Row],[Age]]&lt;=30,"Young", HR_Data[[#This Row],[Age]]&lt;=45,"Mid-Age",HR_Data[[#This Row],[Age]]&gt;45,"Senior")</f>
        <v>Young</v>
      </c>
      <c r="S73" s="1" t="str" cm="1">
        <f t="array" ref="S73">_xlfn.IFS(HR_Data[[#This Row],[Monthly Income]]&lt;5000,"Low", HR_Data[[#This Row],[Monthly Income]]&lt;10000,"Medium",TRUE,"High")</f>
        <v>Low</v>
      </c>
      <c r="T73" s="1" t="str" cm="1">
        <f t="array" ref="T73">_xlfn.IFS(HR_Data[[#This Row],[Total Working Years]]&lt;=5,"Junior", HR_Data[[#This Row],[Total Working Years]]&lt;=15,"Mid-Level", TRUE, "Senior")</f>
        <v>Mid-Level</v>
      </c>
    </row>
    <row r="74" spans="1:20" x14ac:dyDescent="0.25">
      <c r="A74" s="1">
        <v>95</v>
      </c>
      <c r="B74" s="1">
        <v>31</v>
      </c>
      <c r="C74" t="s">
        <v>9</v>
      </c>
      <c r="D74" t="s">
        <v>10</v>
      </c>
      <c r="E74" t="s">
        <v>15</v>
      </c>
      <c r="F74" t="s">
        <v>11</v>
      </c>
      <c r="G74" t="s">
        <v>12</v>
      </c>
      <c r="H74" s="1">
        <v>2</v>
      </c>
      <c r="I74" s="1">
        <v>2501</v>
      </c>
      <c r="J74" t="s">
        <v>9</v>
      </c>
      <c r="K74" s="1">
        <v>17</v>
      </c>
      <c r="L74" s="1">
        <v>3</v>
      </c>
      <c r="M74" s="1">
        <v>1</v>
      </c>
      <c r="N74" s="1">
        <v>3</v>
      </c>
      <c r="O74" s="1">
        <v>1</v>
      </c>
      <c r="P74" s="1">
        <f>COUNTIF(HR_Data[Employee Number],HR_Data[[#This Row],[Employee Number]])</f>
        <v>1</v>
      </c>
      <c r="Q74" s="1" t="str">
        <f>IF(HR_Data[[#This Row],[Years At Company]]&lt;=HR_Data[[#This Row],[Total Working Years]],"Valid","error")</f>
        <v>Valid</v>
      </c>
      <c r="R74" s="1" t="str" cm="1">
        <f t="array" ref="R74">_xlfn.IFS(HR_Data[[#This Row],[Age]]&lt;=30,"Young", HR_Data[[#This Row],[Age]]&lt;=45,"Mid-Age",HR_Data[[#This Row],[Age]]&gt;45,"Senior")</f>
        <v>Mid-Age</v>
      </c>
      <c r="S74" s="1" t="str" cm="1">
        <f t="array" ref="S74">_xlfn.IFS(HR_Data[[#This Row],[Monthly Income]]&lt;5000,"Low", HR_Data[[#This Row],[Monthly Income]]&lt;10000,"Medium",TRUE,"High")</f>
        <v>Low</v>
      </c>
      <c r="T74" s="1" t="str" cm="1">
        <f t="array" ref="T74">_xlfn.IFS(HR_Data[[#This Row],[Total Working Years]]&lt;=5,"Junior", HR_Data[[#This Row],[Total Working Years]]&lt;=15,"Mid-Level", TRUE, "Senior")</f>
        <v>Junior</v>
      </c>
    </row>
    <row r="75" spans="1:20" x14ac:dyDescent="0.25">
      <c r="A75" s="1">
        <v>96</v>
      </c>
      <c r="B75" s="1">
        <v>32</v>
      </c>
      <c r="C75" t="s">
        <v>9</v>
      </c>
      <c r="D75" t="s">
        <v>10</v>
      </c>
      <c r="E75" t="s">
        <v>6</v>
      </c>
      <c r="F75" t="s">
        <v>11</v>
      </c>
      <c r="G75" t="s">
        <v>12</v>
      </c>
      <c r="H75" s="1">
        <v>2</v>
      </c>
      <c r="I75" s="1">
        <v>6220</v>
      </c>
      <c r="J75" t="s">
        <v>9</v>
      </c>
      <c r="K75" s="1">
        <v>17</v>
      </c>
      <c r="L75" s="1">
        <v>3</v>
      </c>
      <c r="M75" s="1">
        <v>10</v>
      </c>
      <c r="N75" s="1">
        <v>3</v>
      </c>
      <c r="O75" s="1">
        <v>10</v>
      </c>
      <c r="P75" s="1">
        <f>COUNTIF(HR_Data[Employee Number],HR_Data[[#This Row],[Employee Number]])</f>
        <v>1</v>
      </c>
      <c r="Q75" s="1" t="str">
        <f>IF(HR_Data[[#This Row],[Years At Company]]&lt;=HR_Data[[#This Row],[Total Working Years]],"Valid","error")</f>
        <v>Valid</v>
      </c>
      <c r="R75" s="1" t="str" cm="1">
        <f t="array" ref="R75">_xlfn.IFS(HR_Data[[#This Row],[Age]]&lt;=30,"Young", HR_Data[[#This Row],[Age]]&lt;=45,"Mid-Age",HR_Data[[#This Row],[Age]]&gt;45,"Senior")</f>
        <v>Mid-Age</v>
      </c>
      <c r="S75" s="1" t="str" cm="1">
        <f t="array" ref="S75">_xlfn.IFS(HR_Data[[#This Row],[Monthly Income]]&lt;5000,"Low", HR_Data[[#This Row],[Monthly Income]]&lt;10000,"Medium",TRUE,"High")</f>
        <v>Medium</v>
      </c>
      <c r="T75" s="1" t="str" cm="1">
        <f t="array" ref="T75">_xlfn.IFS(HR_Data[[#This Row],[Total Working Years]]&lt;=5,"Junior", HR_Data[[#This Row],[Total Working Years]]&lt;=15,"Mid-Level", TRUE, "Senior")</f>
        <v>Mid-Level</v>
      </c>
    </row>
    <row r="76" spans="1:20" x14ac:dyDescent="0.25">
      <c r="A76" s="1">
        <v>97</v>
      </c>
      <c r="B76" s="1">
        <v>36</v>
      </c>
      <c r="C76" t="s">
        <v>9</v>
      </c>
      <c r="D76" t="s">
        <v>10</v>
      </c>
      <c r="E76" t="s">
        <v>6</v>
      </c>
      <c r="F76" t="s">
        <v>7</v>
      </c>
      <c r="G76" t="s">
        <v>14</v>
      </c>
      <c r="H76" s="1">
        <v>4</v>
      </c>
      <c r="I76" s="1">
        <v>3038</v>
      </c>
      <c r="J76" t="s">
        <v>9</v>
      </c>
      <c r="K76" s="1">
        <v>12</v>
      </c>
      <c r="L76" s="1">
        <v>3</v>
      </c>
      <c r="M76" s="1">
        <v>5</v>
      </c>
      <c r="N76" s="1">
        <v>3</v>
      </c>
      <c r="O76" s="1">
        <v>1</v>
      </c>
      <c r="P76" s="1">
        <f>COUNTIF(HR_Data[Employee Number],HR_Data[[#This Row],[Employee Number]])</f>
        <v>1</v>
      </c>
      <c r="Q76" s="1" t="str">
        <f>IF(HR_Data[[#This Row],[Years At Company]]&lt;=HR_Data[[#This Row],[Total Working Years]],"Valid","error")</f>
        <v>Valid</v>
      </c>
      <c r="R76" s="1" t="str" cm="1">
        <f t="array" ref="R76">_xlfn.IFS(HR_Data[[#This Row],[Age]]&lt;=30,"Young", HR_Data[[#This Row],[Age]]&lt;=45,"Mid-Age",HR_Data[[#This Row],[Age]]&gt;45,"Senior")</f>
        <v>Mid-Age</v>
      </c>
      <c r="S76" s="1" t="str" cm="1">
        <f t="array" ref="S76">_xlfn.IFS(HR_Data[[#This Row],[Monthly Income]]&lt;5000,"Low", HR_Data[[#This Row],[Monthly Income]]&lt;10000,"Medium",TRUE,"High")</f>
        <v>Low</v>
      </c>
      <c r="T76" s="1" t="str" cm="1">
        <f t="array" ref="T76">_xlfn.IFS(HR_Data[[#This Row],[Total Working Years]]&lt;=5,"Junior", HR_Data[[#This Row],[Total Working Years]]&lt;=15,"Mid-Level", TRUE, "Senior")</f>
        <v>Junior</v>
      </c>
    </row>
    <row r="77" spans="1:20" x14ac:dyDescent="0.25">
      <c r="A77" s="1">
        <v>98</v>
      </c>
      <c r="B77" s="1">
        <v>31</v>
      </c>
      <c r="C77" t="s">
        <v>9</v>
      </c>
      <c r="D77" t="s">
        <v>10</v>
      </c>
      <c r="E77" t="s">
        <v>6</v>
      </c>
      <c r="F77" t="s">
        <v>7</v>
      </c>
      <c r="G77" t="s">
        <v>16</v>
      </c>
      <c r="H77" s="1">
        <v>4</v>
      </c>
      <c r="I77" s="1">
        <v>4424</v>
      </c>
      <c r="J77" t="s">
        <v>9</v>
      </c>
      <c r="K77" s="1">
        <v>23</v>
      </c>
      <c r="L77" s="1">
        <v>4</v>
      </c>
      <c r="M77" s="1">
        <v>11</v>
      </c>
      <c r="N77" s="1">
        <v>3</v>
      </c>
      <c r="O77" s="1">
        <v>11</v>
      </c>
      <c r="P77" s="1">
        <f>COUNTIF(HR_Data[Employee Number],HR_Data[[#This Row],[Employee Number]])</f>
        <v>1</v>
      </c>
      <c r="Q77" s="1" t="str">
        <f>IF(HR_Data[[#This Row],[Years At Company]]&lt;=HR_Data[[#This Row],[Total Working Years]],"Valid","error")</f>
        <v>Valid</v>
      </c>
      <c r="R77" s="1" t="str" cm="1">
        <f t="array" ref="R77">_xlfn.IFS(HR_Data[[#This Row],[Age]]&lt;=30,"Young", HR_Data[[#This Row],[Age]]&lt;=45,"Mid-Age",HR_Data[[#This Row],[Age]]&gt;45,"Senior")</f>
        <v>Mid-Age</v>
      </c>
      <c r="S77" s="1" t="str" cm="1">
        <f t="array" ref="S77">_xlfn.IFS(HR_Data[[#This Row],[Monthly Income]]&lt;5000,"Low", HR_Data[[#This Row],[Monthly Income]]&lt;10000,"Medium",TRUE,"High")</f>
        <v>Low</v>
      </c>
      <c r="T77" s="1" t="str" cm="1">
        <f t="array" ref="T77">_xlfn.IFS(HR_Data[[#This Row],[Total Working Years]]&lt;=5,"Junior", HR_Data[[#This Row],[Total Working Years]]&lt;=15,"Mid-Level", TRUE, "Senior")</f>
        <v>Mid-Level</v>
      </c>
    </row>
    <row r="78" spans="1:20" x14ac:dyDescent="0.25">
      <c r="A78" s="1">
        <v>100</v>
      </c>
      <c r="B78" s="1">
        <v>35</v>
      </c>
      <c r="C78" t="s">
        <v>9</v>
      </c>
      <c r="D78" t="s">
        <v>5</v>
      </c>
      <c r="E78" t="s">
        <v>21</v>
      </c>
      <c r="F78" t="s">
        <v>11</v>
      </c>
      <c r="G78" t="s">
        <v>8</v>
      </c>
      <c r="H78" s="1">
        <v>1</v>
      </c>
      <c r="I78" s="1">
        <v>4312</v>
      </c>
      <c r="J78" t="s">
        <v>9</v>
      </c>
      <c r="K78" s="1">
        <v>14</v>
      </c>
      <c r="L78" s="1">
        <v>3</v>
      </c>
      <c r="M78" s="1">
        <v>16</v>
      </c>
      <c r="N78" s="1">
        <v>3</v>
      </c>
      <c r="O78" s="1">
        <v>15</v>
      </c>
      <c r="P78" s="1">
        <f>COUNTIF(HR_Data[Employee Number],HR_Data[[#This Row],[Employee Number]])</f>
        <v>1</v>
      </c>
      <c r="Q78" s="1" t="str">
        <f>IF(HR_Data[[#This Row],[Years At Company]]&lt;=HR_Data[[#This Row],[Total Working Years]],"Valid","error")</f>
        <v>Valid</v>
      </c>
      <c r="R78" s="1" t="str" cm="1">
        <f t="array" ref="R78">_xlfn.IFS(HR_Data[[#This Row],[Age]]&lt;=30,"Young", HR_Data[[#This Row],[Age]]&lt;=45,"Mid-Age",HR_Data[[#This Row],[Age]]&gt;45,"Senior")</f>
        <v>Mid-Age</v>
      </c>
      <c r="S78" s="1" t="str" cm="1">
        <f t="array" ref="S78">_xlfn.IFS(HR_Data[[#This Row],[Monthly Income]]&lt;5000,"Low", HR_Data[[#This Row],[Monthly Income]]&lt;10000,"Medium",TRUE,"High")</f>
        <v>Low</v>
      </c>
      <c r="T78" s="1" t="str" cm="1">
        <f t="array" ref="T78">_xlfn.IFS(HR_Data[[#This Row],[Total Working Years]]&lt;=5,"Junior", HR_Data[[#This Row],[Total Working Years]]&lt;=15,"Mid-Level", TRUE, "Senior")</f>
        <v>Senior</v>
      </c>
    </row>
    <row r="79" spans="1:20" x14ac:dyDescent="0.25">
      <c r="A79" s="1">
        <v>101</v>
      </c>
      <c r="B79" s="1">
        <v>45</v>
      </c>
      <c r="C79" t="s">
        <v>9</v>
      </c>
      <c r="D79" t="s">
        <v>10</v>
      </c>
      <c r="E79" t="s">
        <v>13</v>
      </c>
      <c r="F79" t="s">
        <v>11</v>
      </c>
      <c r="G79" t="s">
        <v>20</v>
      </c>
      <c r="H79" s="1">
        <v>1</v>
      </c>
      <c r="I79" s="1">
        <v>13245</v>
      </c>
      <c r="J79" t="s">
        <v>4</v>
      </c>
      <c r="K79" s="1">
        <v>14</v>
      </c>
      <c r="L79" s="1">
        <v>3</v>
      </c>
      <c r="M79" s="1">
        <v>17</v>
      </c>
      <c r="N79" s="1">
        <v>4</v>
      </c>
      <c r="O79" s="1">
        <v>0</v>
      </c>
      <c r="P79" s="1">
        <f>COUNTIF(HR_Data[Employee Number],HR_Data[[#This Row],[Employee Number]])</f>
        <v>1</v>
      </c>
      <c r="Q79" s="1" t="str">
        <f>IF(HR_Data[[#This Row],[Years At Company]]&lt;=HR_Data[[#This Row],[Total Working Years]],"Valid","error")</f>
        <v>Valid</v>
      </c>
      <c r="R79" s="1" t="str" cm="1">
        <f t="array" ref="R79">_xlfn.IFS(HR_Data[[#This Row],[Age]]&lt;=30,"Young", HR_Data[[#This Row],[Age]]&lt;=45,"Mid-Age",HR_Data[[#This Row],[Age]]&gt;45,"Senior")</f>
        <v>Mid-Age</v>
      </c>
      <c r="S79" s="1" t="str" cm="1">
        <f t="array" ref="S79">_xlfn.IFS(HR_Data[[#This Row],[Monthly Income]]&lt;5000,"Low", HR_Data[[#This Row],[Monthly Income]]&lt;10000,"Medium",TRUE,"High")</f>
        <v>High</v>
      </c>
      <c r="T79" s="1" t="str" cm="1">
        <f t="array" ref="T79">_xlfn.IFS(HR_Data[[#This Row],[Total Working Years]]&lt;=5,"Junior", HR_Data[[#This Row],[Total Working Years]]&lt;=15,"Mid-Level", TRUE, "Senior")</f>
        <v>Senior</v>
      </c>
    </row>
    <row r="80" spans="1:20" x14ac:dyDescent="0.25">
      <c r="A80" s="1">
        <v>102</v>
      </c>
      <c r="B80" s="1">
        <v>37</v>
      </c>
      <c r="C80" t="s">
        <v>9</v>
      </c>
      <c r="D80" t="s">
        <v>10</v>
      </c>
      <c r="E80" t="s">
        <v>15</v>
      </c>
      <c r="F80" t="s">
        <v>11</v>
      </c>
      <c r="G80" t="s">
        <v>20</v>
      </c>
      <c r="H80" s="1">
        <v>3</v>
      </c>
      <c r="I80" s="1">
        <v>13664</v>
      </c>
      <c r="J80" t="s">
        <v>9</v>
      </c>
      <c r="K80" s="1">
        <v>13</v>
      </c>
      <c r="L80" s="1">
        <v>3</v>
      </c>
      <c r="M80" s="1">
        <v>16</v>
      </c>
      <c r="N80" s="1">
        <v>4</v>
      </c>
      <c r="O80" s="1">
        <v>5</v>
      </c>
      <c r="P80" s="1">
        <f>COUNTIF(HR_Data[Employee Number],HR_Data[[#This Row],[Employee Number]])</f>
        <v>1</v>
      </c>
      <c r="Q80" s="1" t="str">
        <f>IF(HR_Data[[#This Row],[Years At Company]]&lt;=HR_Data[[#This Row],[Total Working Years]],"Valid","error")</f>
        <v>Valid</v>
      </c>
      <c r="R80" s="1" t="str" cm="1">
        <f t="array" ref="R80">_xlfn.IFS(HR_Data[[#This Row],[Age]]&lt;=30,"Young", HR_Data[[#This Row],[Age]]&lt;=45,"Mid-Age",HR_Data[[#This Row],[Age]]&gt;45,"Senior")</f>
        <v>Mid-Age</v>
      </c>
      <c r="S80" s="1" t="str" cm="1">
        <f t="array" ref="S80">_xlfn.IFS(HR_Data[[#This Row],[Monthly Income]]&lt;5000,"Low", HR_Data[[#This Row],[Monthly Income]]&lt;10000,"Medium",TRUE,"High")</f>
        <v>High</v>
      </c>
      <c r="T80" s="1" t="str" cm="1">
        <f t="array" ref="T80">_xlfn.IFS(HR_Data[[#This Row],[Total Working Years]]&lt;=5,"Junior", HR_Data[[#This Row],[Total Working Years]]&lt;=15,"Mid-Level", TRUE, "Senior")</f>
        <v>Senior</v>
      </c>
    </row>
    <row r="81" spans="1:20" x14ac:dyDescent="0.25">
      <c r="A81" s="1">
        <v>103</v>
      </c>
      <c r="B81" s="1">
        <v>46</v>
      </c>
      <c r="C81" t="s">
        <v>9</v>
      </c>
      <c r="D81" t="s">
        <v>23</v>
      </c>
      <c r="E81" t="s">
        <v>15</v>
      </c>
      <c r="F81" t="s">
        <v>11</v>
      </c>
      <c r="G81" t="s">
        <v>23</v>
      </c>
      <c r="H81" s="1">
        <v>2</v>
      </c>
      <c r="I81" s="1">
        <v>5021</v>
      </c>
      <c r="J81" t="s">
        <v>4</v>
      </c>
      <c r="K81" s="1">
        <v>22</v>
      </c>
      <c r="L81" s="1">
        <v>4</v>
      </c>
      <c r="M81" s="1">
        <v>16</v>
      </c>
      <c r="N81" s="1">
        <v>3</v>
      </c>
      <c r="O81" s="1">
        <v>4</v>
      </c>
      <c r="P81" s="1">
        <f>COUNTIF(HR_Data[Employee Number],HR_Data[[#This Row],[Employee Number]])</f>
        <v>1</v>
      </c>
      <c r="Q81" s="1" t="str">
        <f>IF(HR_Data[[#This Row],[Years At Company]]&lt;=HR_Data[[#This Row],[Total Working Years]],"Valid","error")</f>
        <v>Valid</v>
      </c>
      <c r="R81" s="1" t="str" cm="1">
        <f t="array" ref="R81">_xlfn.IFS(HR_Data[[#This Row],[Age]]&lt;=30,"Young", HR_Data[[#This Row],[Age]]&lt;=45,"Mid-Age",HR_Data[[#This Row],[Age]]&gt;45,"Senior")</f>
        <v>Senior</v>
      </c>
      <c r="S81" s="1" t="str" cm="1">
        <f t="array" ref="S81">_xlfn.IFS(HR_Data[[#This Row],[Monthly Income]]&lt;5000,"Low", HR_Data[[#This Row],[Monthly Income]]&lt;10000,"Medium",TRUE,"High")</f>
        <v>Medium</v>
      </c>
      <c r="T81" s="1" t="str" cm="1">
        <f t="array" ref="T81">_xlfn.IFS(HR_Data[[#This Row],[Total Working Years]]&lt;=5,"Junior", HR_Data[[#This Row],[Total Working Years]]&lt;=15,"Mid-Level", TRUE, "Senior")</f>
        <v>Senior</v>
      </c>
    </row>
    <row r="82" spans="1:20" x14ac:dyDescent="0.25">
      <c r="A82" s="1">
        <v>104</v>
      </c>
      <c r="B82" s="1">
        <v>30</v>
      </c>
      <c r="C82" t="s">
        <v>9</v>
      </c>
      <c r="D82" t="s">
        <v>10</v>
      </c>
      <c r="E82" t="s">
        <v>6</v>
      </c>
      <c r="F82" t="s">
        <v>11</v>
      </c>
      <c r="G82" t="s">
        <v>14</v>
      </c>
      <c r="H82" s="1">
        <v>4</v>
      </c>
      <c r="I82" s="1">
        <v>5126</v>
      </c>
      <c r="J82" t="s">
        <v>4</v>
      </c>
      <c r="K82" s="1">
        <v>12</v>
      </c>
      <c r="L82" s="1">
        <v>3</v>
      </c>
      <c r="M82" s="1">
        <v>10</v>
      </c>
      <c r="N82" s="1">
        <v>2</v>
      </c>
      <c r="O82" s="1">
        <v>10</v>
      </c>
      <c r="P82" s="1">
        <f>COUNTIF(HR_Data[Employee Number],HR_Data[[#This Row],[Employee Number]])</f>
        <v>1</v>
      </c>
      <c r="Q82" s="1" t="str">
        <f>IF(HR_Data[[#This Row],[Years At Company]]&lt;=HR_Data[[#This Row],[Total Working Years]],"Valid","error")</f>
        <v>Valid</v>
      </c>
      <c r="R82" s="1" t="str" cm="1">
        <f t="array" ref="R82">_xlfn.IFS(HR_Data[[#This Row],[Age]]&lt;=30,"Young", HR_Data[[#This Row],[Age]]&lt;=45,"Mid-Age",HR_Data[[#This Row],[Age]]&gt;45,"Senior")</f>
        <v>Young</v>
      </c>
      <c r="S82" s="1" t="str" cm="1">
        <f t="array" ref="S82">_xlfn.IFS(HR_Data[[#This Row],[Monthly Income]]&lt;5000,"Low", HR_Data[[#This Row],[Monthly Income]]&lt;10000,"Medium",TRUE,"High")</f>
        <v>Medium</v>
      </c>
      <c r="T82" s="1" t="str" cm="1">
        <f t="array" ref="T82">_xlfn.IFS(HR_Data[[#This Row],[Total Working Years]]&lt;=5,"Junior", HR_Data[[#This Row],[Total Working Years]]&lt;=15,"Mid-Level", TRUE, "Senior")</f>
        <v>Mid-Level</v>
      </c>
    </row>
    <row r="83" spans="1:20" x14ac:dyDescent="0.25">
      <c r="A83" s="1">
        <v>105</v>
      </c>
      <c r="B83" s="1">
        <v>35</v>
      </c>
      <c r="C83" t="s">
        <v>9</v>
      </c>
      <c r="D83" t="s">
        <v>10</v>
      </c>
      <c r="E83" t="s">
        <v>15</v>
      </c>
      <c r="F83" t="s">
        <v>11</v>
      </c>
      <c r="G83" t="s">
        <v>12</v>
      </c>
      <c r="H83" s="1">
        <v>3</v>
      </c>
      <c r="I83" s="1">
        <v>2859</v>
      </c>
      <c r="J83" t="s">
        <v>9</v>
      </c>
      <c r="K83" s="1">
        <v>18</v>
      </c>
      <c r="L83" s="1">
        <v>3</v>
      </c>
      <c r="M83" s="1">
        <v>6</v>
      </c>
      <c r="N83" s="1">
        <v>3</v>
      </c>
      <c r="O83" s="1">
        <v>6</v>
      </c>
      <c r="P83" s="1">
        <f>COUNTIF(HR_Data[Employee Number],HR_Data[[#This Row],[Employee Number]])</f>
        <v>1</v>
      </c>
      <c r="Q83" s="1" t="str">
        <f>IF(HR_Data[[#This Row],[Years At Company]]&lt;=HR_Data[[#This Row],[Total Working Years]],"Valid","error")</f>
        <v>Valid</v>
      </c>
      <c r="R83" s="1" t="str" cm="1">
        <f t="array" ref="R83">_xlfn.IFS(HR_Data[[#This Row],[Age]]&lt;=30,"Young", HR_Data[[#This Row],[Age]]&lt;=45,"Mid-Age",HR_Data[[#This Row],[Age]]&gt;45,"Senior")</f>
        <v>Mid-Age</v>
      </c>
      <c r="S83" s="1" t="str" cm="1">
        <f t="array" ref="S83">_xlfn.IFS(HR_Data[[#This Row],[Monthly Income]]&lt;5000,"Low", HR_Data[[#This Row],[Monthly Income]]&lt;10000,"Medium",TRUE,"High")</f>
        <v>Low</v>
      </c>
      <c r="T83" s="1" t="str" cm="1">
        <f t="array" ref="T83">_xlfn.IFS(HR_Data[[#This Row],[Total Working Years]]&lt;=5,"Junior", HR_Data[[#This Row],[Total Working Years]]&lt;=15,"Mid-Level", TRUE, "Senior")</f>
        <v>Mid-Level</v>
      </c>
    </row>
    <row r="84" spans="1:20" x14ac:dyDescent="0.25">
      <c r="A84" s="1">
        <v>106</v>
      </c>
      <c r="B84" s="1">
        <v>55</v>
      </c>
      <c r="C84" t="s">
        <v>9</v>
      </c>
      <c r="D84" t="s">
        <v>5</v>
      </c>
      <c r="E84" t="s">
        <v>6</v>
      </c>
      <c r="F84" t="s">
        <v>11</v>
      </c>
      <c r="G84" t="s">
        <v>8</v>
      </c>
      <c r="H84" s="1">
        <v>4</v>
      </c>
      <c r="I84" s="1">
        <v>10239</v>
      </c>
      <c r="J84" t="s">
        <v>9</v>
      </c>
      <c r="K84" s="1">
        <v>14</v>
      </c>
      <c r="L84" s="1">
        <v>3</v>
      </c>
      <c r="M84" s="1">
        <v>24</v>
      </c>
      <c r="N84" s="1">
        <v>3</v>
      </c>
      <c r="O84" s="1">
        <v>1</v>
      </c>
      <c r="P84" s="1">
        <f>COUNTIF(HR_Data[Employee Number],HR_Data[[#This Row],[Employee Number]])</f>
        <v>1</v>
      </c>
      <c r="Q84" s="1" t="str">
        <f>IF(HR_Data[[#This Row],[Years At Company]]&lt;=HR_Data[[#This Row],[Total Working Years]],"Valid","error")</f>
        <v>Valid</v>
      </c>
      <c r="R84" s="1" t="str" cm="1">
        <f t="array" ref="R84">_xlfn.IFS(HR_Data[[#This Row],[Age]]&lt;=30,"Young", HR_Data[[#This Row],[Age]]&lt;=45,"Mid-Age",HR_Data[[#This Row],[Age]]&gt;45,"Senior")</f>
        <v>Senior</v>
      </c>
      <c r="S84" s="1" t="str" cm="1">
        <f t="array" ref="S84">_xlfn.IFS(HR_Data[[#This Row],[Monthly Income]]&lt;5000,"Low", HR_Data[[#This Row],[Monthly Income]]&lt;10000,"Medium",TRUE,"High")</f>
        <v>High</v>
      </c>
      <c r="T84" s="1" t="str" cm="1">
        <f t="array" ref="T84">_xlfn.IFS(HR_Data[[#This Row],[Total Working Years]]&lt;=5,"Junior", HR_Data[[#This Row],[Total Working Years]]&lt;=15,"Mid-Level", TRUE, "Senior")</f>
        <v>Senior</v>
      </c>
    </row>
    <row r="85" spans="1:20" x14ac:dyDescent="0.25">
      <c r="A85" s="1">
        <v>107</v>
      </c>
      <c r="B85" s="1">
        <v>38</v>
      </c>
      <c r="C85" t="s">
        <v>9</v>
      </c>
      <c r="D85" t="s">
        <v>10</v>
      </c>
      <c r="E85" t="s">
        <v>15</v>
      </c>
      <c r="F85" t="s">
        <v>7</v>
      </c>
      <c r="G85" t="s">
        <v>12</v>
      </c>
      <c r="H85" s="1">
        <v>4</v>
      </c>
      <c r="I85" s="1">
        <v>5329</v>
      </c>
      <c r="J85" t="s">
        <v>4</v>
      </c>
      <c r="K85" s="1">
        <v>12</v>
      </c>
      <c r="L85" s="1">
        <v>3</v>
      </c>
      <c r="M85" s="1">
        <v>17</v>
      </c>
      <c r="N85" s="1">
        <v>3</v>
      </c>
      <c r="O85" s="1">
        <v>13</v>
      </c>
      <c r="P85" s="1">
        <f>COUNTIF(HR_Data[Employee Number],HR_Data[[#This Row],[Employee Number]])</f>
        <v>1</v>
      </c>
      <c r="Q85" s="1" t="str">
        <f>IF(HR_Data[[#This Row],[Years At Company]]&lt;=HR_Data[[#This Row],[Total Working Years]],"Valid","error")</f>
        <v>Valid</v>
      </c>
      <c r="R85" s="1" t="str" cm="1">
        <f t="array" ref="R85">_xlfn.IFS(HR_Data[[#This Row],[Age]]&lt;=30,"Young", HR_Data[[#This Row],[Age]]&lt;=45,"Mid-Age",HR_Data[[#This Row],[Age]]&gt;45,"Senior")</f>
        <v>Mid-Age</v>
      </c>
      <c r="S85" s="1" t="str" cm="1">
        <f t="array" ref="S85">_xlfn.IFS(HR_Data[[#This Row],[Monthly Income]]&lt;5000,"Low", HR_Data[[#This Row],[Monthly Income]]&lt;10000,"Medium",TRUE,"High")</f>
        <v>Medium</v>
      </c>
      <c r="T85" s="1" t="str" cm="1">
        <f t="array" ref="T85">_xlfn.IFS(HR_Data[[#This Row],[Total Working Years]]&lt;=5,"Junior", HR_Data[[#This Row],[Total Working Years]]&lt;=15,"Mid-Level", TRUE, "Senior")</f>
        <v>Senior</v>
      </c>
    </row>
    <row r="86" spans="1:20" x14ac:dyDescent="0.25">
      <c r="A86" s="1">
        <v>110</v>
      </c>
      <c r="B86" s="1">
        <v>34</v>
      </c>
      <c r="C86" t="s">
        <v>9</v>
      </c>
      <c r="D86" t="s">
        <v>10</v>
      </c>
      <c r="E86" t="s">
        <v>15</v>
      </c>
      <c r="F86" t="s">
        <v>11</v>
      </c>
      <c r="G86" t="s">
        <v>16</v>
      </c>
      <c r="H86" s="1">
        <v>2</v>
      </c>
      <c r="I86" s="1">
        <v>4325</v>
      </c>
      <c r="J86" t="s">
        <v>9</v>
      </c>
      <c r="K86" s="1">
        <v>15</v>
      </c>
      <c r="L86" s="1">
        <v>3</v>
      </c>
      <c r="M86" s="1">
        <v>5</v>
      </c>
      <c r="N86" s="1">
        <v>3</v>
      </c>
      <c r="O86" s="1">
        <v>5</v>
      </c>
      <c r="P86" s="1">
        <f>COUNTIF(HR_Data[Employee Number],HR_Data[[#This Row],[Employee Number]])</f>
        <v>1</v>
      </c>
      <c r="Q86" s="1" t="str">
        <f>IF(HR_Data[[#This Row],[Years At Company]]&lt;=HR_Data[[#This Row],[Total Working Years]],"Valid","error")</f>
        <v>Valid</v>
      </c>
      <c r="R86" s="1" t="str" cm="1">
        <f t="array" ref="R86">_xlfn.IFS(HR_Data[[#This Row],[Age]]&lt;=30,"Young", HR_Data[[#This Row],[Age]]&lt;=45,"Mid-Age",HR_Data[[#This Row],[Age]]&gt;45,"Senior")</f>
        <v>Mid-Age</v>
      </c>
      <c r="S86" s="1" t="str" cm="1">
        <f t="array" ref="S86">_xlfn.IFS(HR_Data[[#This Row],[Monthly Income]]&lt;5000,"Low", HR_Data[[#This Row],[Monthly Income]]&lt;10000,"Medium",TRUE,"High")</f>
        <v>Low</v>
      </c>
      <c r="T86" s="1" t="str" cm="1">
        <f t="array" ref="T86">_xlfn.IFS(HR_Data[[#This Row],[Total Working Years]]&lt;=5,"Junior", HR_Data[[#This Row],[Total Working Years]]&lt;=15,"Mid-Level", TRUE, "Senior")</f>
        <v>Junior</v>
      </c>
    </row>
    <row r="87" spans="1:20" x14ac:dyDescent="0.25">
      <c r="A87" s="1">
        <v>112</v>
      </c>
      <c r="B87" s="1">
        <v>56</v>
      </c>
      <c r="C87" t="s">
        <v>9</v>
      </c>
      <c r="D87" t="s">
        <v>10</v>
      </c>
      <c r="E87" t="s">
        <v>6</v>
      </c>
      <c r="F87" t="s">
        <v>11</v>
      </c>
      <c r="G87" t="s">
        <v>16</v>
      </c>
      <c r="H87" s="1">
        <v>4</v>
      </c>
      <c r="I87" s="1">
        <v>7260</v>
      </c>
      <c r="J87" t="s">
        <v>9</v>
      </c>
      <c r="K87" s="1">
        <v>11</v>
      </c>
      <c r="L87" s="1">
        <v>3</v>
      </c>
      <c r="M87" s="1">
        <v>37</v>
      </c>
      <c r="N87" s="1">
        <v>2</v>
      </c>
      <c r="O87" s="1">
        <v>6</v>
      </c>
      <c r="P87" s="1">
        <f>COUNTIF(HR_Data[Employee Number],HR_Data[[#This Row],[Employee Number]])</f>
        <v>1</v>
      </c>
      <c r="Q87" s="1" t="str">
        <f>IF(HR_Data[[#This Row],[Years At Company]]&lt;=HR_Data[[#This Row],[Total Working Years]],"Valid","error")</f>
        <v>Valid</v>
      </c>
      <c r="R87" s="1" t="str" cm="1">
        <f t="array" ref="R87">_xlfn.IFS(HR_Data[[#This Row],[Age]]&lt;=30,"Young", HR_Data[[#This Row],[Age]]&lt;=45,"Mid-Age",HR_Data[[#This Row],[Age]]&gt;45,"Senior")</f>
        <v>Senior</v>
      </c>
      <c r="S87" s="1" t="str" cm="1">
        <f t="array" ref="S87">_xlfn.IFS(HR_Data[[#This Row],[Monthly Income]]&lt;5000,"Low", HR_Data[[#This Row],[Monthly Income]]&lt;10000,"Medium",TRUE,"High")</f>
        <v>Medium</v>
      </c>
      <c r="T87" s="1" t="str" cm="1">
        <f t="array" ref="T87">_xlfn.IFS(HR_Data[[#This Row],[Total Working Years]]&lt;=5,"Junior", HR_Data[[#This Row],[Total Working Years]]&lt;=15,"Mid-Level", TRUE, "Senior")</f>
        <v>Senior</v>
      </c>
    </row>
    <row r="88" spans="1:20" x14ac:dyDescent="0.25">
      <c r="A88" s="1">
        <v>113</v>
      </c>
      <c r="B88" s="1">
        <v>23</v>
      </c>
      <c r="C88" t="s">
        <v>9</v>
      </c>
      <c r="D88" t="s">
        <v>5</v>
      </c>
      <c r="E88" t="s">
        <v>22</v>
      </c>
      <c r="F88" t="s">
        <v>11</v>
      </c>
      <c r="G88" t="s">
        <v>19</v>
      </c>
      <c r="H88" s="1">
        <v>1</v>
      </c>
      <c r="I88" s="1">
        <v>2322</v>
      </c>
      <c r="J88" t="s">
        <v>9</v>
      </c>
      <c r="K88" s="1">
        <v>13</v>
      </c>
      <c r="L88" s="1">
        <v>3</v>
      </c>
      <c r="M88" s="1">
        <v>3</v>
      </c>
      <c r="N88" s="1">
        <v>3</v>
      </c>
      <c r="O88" s="1">
        <v>0</v>
      </c>
      <c r="P88" s="1">
        <f>COUNTIF(HR_Data[Employee Number],HR_Data[[#This Row],[Employee Number]])</f>
        <v>1</v>
      </c>
      <c r="Q88" s="1" t="str">
        <f>IF(HR_Data[[#This Row],[Years At Company]]&lt;=HR_Data[[#This Row],[Total Working Years]],"Valid","error")</f>
        <v>Valid</v>
      </c>
      <c r="R88" s="1" t="str" cm="1">
        <f t="array" ref="R88">_xlfn.IFS(HR_Data[[#This Row],[Age]]&lt;=30,"Young", HR_Data[[#This Row],[Age]]&lt;=45,"Mid-Age",HR_Data[[#This Row],[Age]]&gt;45,"Senior")</f>
        <v>Young</v>
      </c>
      <c r="S88" s="1" t="str" cm="1">
        <f t="array" ref="S88">_xlfn.IFS(HR_Data[[#This Row],[Monthly Income]]&lt;5000,"Low", HR_Data[[#This Row],[Monthly Income]]&lt;10000,"Medium",TRUE,"High")</f>
        <v>Low</v>
      </c>
      <c r="T88" s="1" t="str" cm="1">
        <f t="array" ref="T88">_xlfn.IFS(HR_Data[[#This Row],[Total Working Years]]&lt;=5,"Junior", HR_Data[[#This Row],[Total Working Years]]&lt;=15,"Mid-Level", TRUE, "Senior")</f>
        <v>Junior</v>
      </c>
    </row>
    <row r="89" spans="1:20" x14ac:dyDescent="0.25">
      <c r="A89" s="1">
        <v>116</v>
      </c>
      <c r="B89" s="1">
        <v>51</v>
      </c>
      <c r="C89" t="s">
        <v>9</v>
      </c>
      <c r="D89" t="s">
        <v>10</v>
      </c>
      <c r="E89" t="s">
        <v>6</v>
      </c>
      <c r="F89" t="s">
        <v>11</v>
      </c>
      <c r="G89" t="s">
        <v>14</v>
      </c>
      <c r="H89" s="1">
        <v>4</v>
      </c>
      <c r="I89" s="1">
        <v>2075</v>
      </c>
      <c r="J89" t="s">
        <v>9</v>
      </c>
      <c r="K89" s="1">
        <v>23</v>
      </c>
      <c r="L89" s="1">
        <v>4</v>
      </c>
      <c r="M89" s="1">
        <v>10</v>
      </c>
      <c r="N89" s="1">
        <v>3</v>
      </c>
      <c r="O89" s="1">
        <v>4</v>
      </c>
      <c r="P89" s="1">
        <f>COUNTIF(HR_Data[Employee Number],HR_Data[[#This Row],[Employee Number]])</f>
        <v>1</v>
      </c>
      <c r="Q89" s="1" t="str">
        <f>IF(HR_Data[[#This Row],[Years At Company]]&lt;=HR_Data[[#This Row],[Total Working Years]],"Valid","error")</f>
        <v>Valid</v>
      </c>
      <c r="R89" s="1" t="str" cm="1">
        <f t="array" ref="R89">_xlfn.IFS(HR_Data[[#This Row],[Age]]&lt;=30,"Young", HR_Data[[#This Row],[Age]]&lt;=45,"Mid-Age",HR_Data[[#This Row],[Age]]&gt;45,"Senior")</f>
        <v>Senior</v>
      </c>
      <c r="S89" s="1" t="str" cm="1">
        <f t="array" ref="S89">_xlfn.IFS(HR_Data[[#This Row],[Monthly Income]]&lt;5000,"Low", HR_Data[[#This Row],[Monthly Income]]&lt;10000,"Medium",TRUE,"High")</f>
        <v>Low</v>
      </c>
      <c r="T89" s="1" t="str" cm="1">
        <f t="array" ref="T89">_xlfn.IFS(HR_Data[[#This Row],[Total Working Years]]&lt;=5,"Junior", HR_Data[[#This Row],[Total Working Years]]&lt;=15,"Mid-Level", TRUE, "Senior")</f>
        <v>Mid-Level</v>
      </c>
    </row>
    <row r="90" spans="1:20" x14ac:dyDescent="0.25">
      <c r="A90" s="1">
        <v>117</v>
      </c>
      <c r="B90" s="1">
        <v>30</v>
      </c>
      <c r="C90" t="s">
        <v>9</v>
      </c>
      <c r="D90" t="s">
        <v>10</v>
      </c>
      <c r="E90" t="s">
        <v>6</v>
      </c>
      <c r="F90" t="s">
        <v>11</v>
      </c>
      <c r="G90" t="s">
        <v>17</v>
      </c>
      <c r="H90" s="1">
        <v>4</v>
      </c>
      <c r="I90" s="1">
        <v>4152</v>
      </c>
      <c r="J90" t="s">
        <v>9</v>
      </c>
      <c r="K90" s="1">
        <v>19</v>
      </c>
      <c r="L90" s="1">
        <v>3</v>
      </c>
      <c r="M90" s="1">
        <v>11</v>
      </c>
      <c r="N90" s="1">
        <v>3</v>
      </c>
      <c r="O90" s="1">
        <v>11</v>
      </c>
      <c r="P90" s="1">
        <f>COUNTIF(HR_Data[Employee Number],HR_Data[[#This Row],[Employee Number]])</f>
        <v>1</v>
      </c>
      <c r="Q90" s="1" t="str">
        <f>IF(HR_Data[[#This Row],[Years At Company]]&lt;=HR_Data[[#This Row],[Total Working Years]],"Valid","error")</f>
        <v>Valid</v>
      </c>
      <c r="R90" s="1" t="str" cm="1">
        <f t="array" ref="R90">_xlfn.IFS(HR_Data[[#This Row],[Age]]&lt;=30,"Young", HR_Data[[#This Row],[Age]]&lt;=45,"Mid-Age",HR_Data[[#This Row],[Age]]&gt;45,"Senior")</f>
        <v>Young</v>
      </c>
      <c r="S90" s="1" t="str" cm="1">
        <f t="array" ref="S90">_xlfn.IFS(HR_Data[[#This Row],[Monthly Income]]&lt;5000,"Low", HR_Data[[#This Row],[Monthly Income]]&lt;10000,"Medium",TRUE,"High")</f>
        <v>Low</v>
      </c>
      <c r="T90" s="1" t="str" cm="1">
        <f t="array" ref="T90">_xlfn.IFS(HR_Data[[#This Row],[Total Working Years]]&lt;=5,"Junior", HR_Data[[#This Row],[Total Working Years]]&lt;=15,"Mid-Level", TRUE, "Senior")</f>
        <v>Mid-Level</v>
      </c>
    </row>
    <row r="91" spans="1:20" x14ac:dyDescent="0.25">
      <c r="A91" s="1">
        <v>118</v>
      </c>
      <c r="B91" s="1">
        <v>46</v>
      </c>
      <c r="C91" t="s">
        <v>4</v>
      </c>
      <c r="D91" t="s">
        <v>5</v>
      </c>
      <c r="E91" t="s">
        <v>15</v>
      </c>
      <c r="F91" t="s">
        <v>11</v>
      </c>
      <c r="G91" t="s">
        <v>8</v>
      </c>
      <c r="H91" s="1">
        <v>4</v>
      </c>
      <c r="I91" s="1">
        <v>9619</v>
      </c>
      <c r="J91" t="s">
        <v>9</v>
      </c>
      <c r="K91" s="1">
        <v>16</v>
      </c>
      <c r="L91" s="1">
        <v>3</v>
      </c>
      <c r="M91" s="1">
        <v>9</v>
      </c>
      <c r="N91" s="1">
        <v>3</v>
      </c>
      <c r="O91" s="1">
        <v>9</v>
      </c>
      <c r="P91" s="1">
        <f>COUNTIF(HR_Data[Employee Number],HR_Data[[#This Row],[Employee Number]])</f>
        <v>1</v>
      </c>
      <c r="Q91" s="1" t="str">
        <f>IF(HR_Data[[#This Row],[Years At Company]]&lt;=HR_Data[[#This Row],[Total Working Years]],"Valid","error")</f>
        <v>Valid</v>
      </c>
      <c r="R91" s="1" t="str" cm="1">
        <f t="array" ref="R91">_xlfn.IFS(HR_Data[[#This Row],[Age]]&lt;=30,"Young", HR_Data[[#This Row],[Age]]&lt;=45,"Mid-Age",HR_Data[[#This Row],[Age]]&gt;45,"Senior")</f>
        <v>Senior</v>
      </c>
      <c r="S91" s="1" t="str" cm="1">
        <f t="array" ref="S91">_xlfn.IFS(HR_Data[[#This Row],[Monthly Income]]&lt;5000,"Low", HR_Data[[#This Row],[Monthly Income]]&lt;10000,"Medium",TRUE,"High")</f>
        <v>Medium</v>
      </c>
      <c r="T91" s="1" t="str" cm="1">
        <f t="array" ref="T91">_xlfn.IFS(HR_Data[[#This Row],[Total Working Years]]&lt;=5,"Junior", HR_Data[[#This Row],[Total Working Years]]&lt;=15,"Mid-Level", TRUE, "Senior")</f>
        <v>Mid-Level</v>
      </c>
    </row>
    <row r="92" spans="1:20" x14ac:dyDescent="0.25">
      <c r="A92" s="1">
        <v>119</v>
      </c>
      <c r="B92" s="1">
        <v>40</v>
      </c>
      <c r="C92" t="s">
        <v>9</v>
      </c>
      <c r="D92" t="s">
        <v>10</v>
      </c>
      <c r="E92" t="s">
        <v>6</v>
      </c>
      <c r="F92" t="s">
        <v>11</v>
      </c>
      <c r="G92" t="s">
        <v>17</v>
      </c>
      <c r="H92" s="1">
        <v>2</v>
      </c>
      <c r="I92" s="1">
        <v>13503</v>
      </c>
      <c r="J92" t="s">
        <v>9</v>
      </c>
      <c r="K92" s="1">
        <v>22</v>
      </c>
      <c r="L92" s="1">
        <v>4</v>
      </c>
      <c r="M92" s="1">
        <v>22</v>
      </c>
      <c r="N92" s="1">
        <v>2</v>
      </c>
      <c r="O92" s="1">
        <v>22</v>
      </c>
      <c r="P92" s="1">
        <f>COUNTIF(HR_Data[Employee Number],HR_Data[[#This Row],[Employee Number]])</f>
        <v>1</v>
      </c>
      <c r="Q92" s="1" t="str">
        <f>IF(HR_Data[[#This Row],[Years At Company]]&lt;=HR_Data[[#This Row],[Total Working Years]],"Valid","error")</f>
        <v>Valid</v>
      </c>
      <c r="R92" s="1" t="str" cm="1">
        <f t="array" ref="R92">_xlfn.IFS(HR_Data[[#This Row],[Age]]&lt;=30,"Young", HR_Data[[#This Row],[Age]]&lt;=45,"Mid-Age",HR_Data[[#This Row],[Age]]&gt;45,"Senior")</f>
        <v>Mid-Age</v>
      </c>
      <c r="S92" s="1" t="str" cm="1">
        <f t="array" ref="S92">_xlfn.IFS(HR_Data[[#This Row],[Monthly Income]]&lt;5000,"Low", HR_Data[[#This Row],[Monthly Income]]&lt;10000,"Medium",TRUE,"High")</f>
        <v>High</v>
      </c>
      <c r="T92" s="1" t="str" cm="1">
        <f t="array" ref="T92">_xlfn.IFS(HR_Data[[#This Row],[Total Working Years]]&lt;=5,"Junior", HR_Data[[#This Row],[Total Working Years]]&lt;=15,"Mid-Level", TRUE, "Senior")</f>
        <v>Senior</v>
      </c>
    </row>
    <row r="93" spans="1:20" x14ac:dyDescent="0.25">
      <c r="A93" s="1">
        <v>120</v>
      </c>
      <c r="B93" s="1">
        <v>51</v>
      </c>
      <c r="C93" t="s">
        <v>9</v>
      </c>
      <c r="D93" t="s">
        <v>5</v>
      </c>
      <c r="E93" t="s">
        <v>21</v>
      </c>
      <c r="F93" t="s">
        <v>11</v>
      </c>
      <c r="G93" t="s">
        <v>8</v>
      </c>
      <c r="H93" s="1">
        <v>4</v>
      </c>
      <c r="I93" s="1">
        <v>5441</v>
      </c>
      <c r="J93" t="s">
        <v>4</v>
      </c>
      <c r="K93" s="1">
        <v>22</v>
      </c>
      <c r="L93" s="1">
        <v>4</v>
      </c>
      <c r="M93" s="1">
        <v>11</v>
      </c>
      <c r="N93" s="1">
        <v>1</v>
      </c>
      <c r="O93" s="1">
        <v>10</v>
      </c>
      <c r="P93" s="1">
        <f>COUNTIF(HR_Data[Employee Number],HR_Data[[#This Row],[Employee Number]])</f>
        <v>1</v>
      </c>
      <c r="Q93" s="1" t="str">
        <f>IF(HR_Data[[#This Row],[Years At Company]]&lt;=HR_Data[[#This Row],[Total Working Years]],"Valid","error")</f>
        <v>Valid</v>
      </c>
      <c r="R93" s="1" t="str" cm="1">
        <f t="array" ref="R93">_xlfn.IFS(HR_Data[[#This Row],[Age]]&lt;=30,"Young", HR_Data[[#This Row],[Age]]&lt;=45,"Mid-Age",HR_Data[[#This Row],[Age]]&gt;45,"Senior")</f>
        <v>Senior</v>
      </c>
      <c r="S93" s="1" t="str" cm="1">
        <f t="array" ref="S93">_xlfn.IFS(HR_Data[[#This Row],[Monthly Income]]&lt;5000,"Low", HR_Data[[#This Row],[Monthly Income]]&lt;10000,"Medium",TRUE,"High")</f>
        <v>Medium</v>
      </c>
      <c r="T93" s="1" t="str" cm="1">
        <f t="array" ref="T93">_xlfn.IFS(HR_Data[[#This Row],[Total Working Years]]&lt;=5,"Junior", HR_Data[[#This Row],[Total Working Years]]&lt;=15,"Mid-Level", TRUE, "Senior")</f>
        <v>Mid-Level</v>
      </c>
    </row>
    <row r="94" spans="1:20" x14ac:dyDescent="0.25">
      <c r="A94" s="1">
        <v>121</v>
      </c>
      <c r="B94" s="1">
        <v>30</v>
      </c>
      <c r="C94" t="s">
        <v>9</v>
      </c>
      <c r="D94" t="s">
        <v>5</v>
      </c>
      <c r="E94" t="s">
        <v>15</v>
      </c>
      <c r="F94" t="s">
        <v>7</v>
      </c>
      <c r="G94" t="s">
        <v>8</v>
      </c>
      <c r="H94" s="1">
        <v>2</v>
      </c>
      <c r="I94" s="1">
        <v>5209</v>
      </c>
      <c r="J94" t="s">
        <v>4</v>
      </c>
      <c r="K94" s="1">
        <v>12</v>
      </c>
      <c r="L94" s="1">
        <v>3</v>
      </c>
      <c r="M94" s="1">
        <v>11</v>
      </c>
      <c r="N94" s="1">
        <v>2</v>
      </c>
      <c r="O94" s="1">
        <v>11</v>
      </c>
      <c r="P94" s="1">
        <f>COUNTIF(HR_Data[Employee Number],HR_Data[[#This Row],[Employee Number]])</f>
        <v>1</v>
      </c>
      <c r="Q94" s="1" t="str">
        <f>IF(HR_Data[[#This Row],[Years At Company]]&lt;=HR_Data[[#This Row],[Total Working Years]],"Valid","error")</f>
        <v>Valid</v>
      </c>
      <c r="R94" s="1" t="str" cm="1">
        <f t="array" ref="R94">_xlfn.IFS(HR_Data[[#This Row],[Age]]&lt;=30,"Young", HR_Data[[#This Row],[Age]]&lt;=45,"Mid-Age",HR_Data[[#This Row],[Age]]&gt;45,"Senior")</f>
        <v>Young</v>
      </c>
      <c r="S94" s="1" t="str" cm="1">
        <f t="array" ref="S94">_xlfn.IFS(HR_Data[[#This Row],[Monthly Income]]&lt;5000,"Low", HR_Data[[#This Row],[Monthly Income]]&lt;10000,"Medium",TRUE,"High")</f>
        <v>Medium</v>
      </c>
      <c r="T94" s="1" t="str" cm="1">
        <f t="array" ref="T94">_xlfn.IFS(HR_Data[[#This Row],[Total Working Years]]&lt;=5,"Junior", HR_Data[[#This Row],[Total Working Years]]&lt;=15,"Mid-Level", TRUE, "Senior")</f>
        <v>Mid-Level</v>
      </c>
    </row>
    <row r="95" spans="1:20" x14ac:dyDescent="0.25">
      <c r="A95" s="1">
        <v>124</v>
      </c>
      <c r="B95" s="1">
        <v>46</v>
      </c>
      <c r="C95" t="s">
        <v>9</v>
      </c>
      <c r="D95" t="s">
        <v>10</v>
      </c>
      <c r="E95" t="s">
        <v>15</v>
      </c>
      <c r="F95" t="s">
        <v>11</v>
      </c>
      <c r="G95" t="s">
        <v>17</v>
      </c>
      <c r="H95" s="1">
        <v>1</v>
      </c>
      <c r="I95" s="1">
        <v>10673</v>
      </c>
      <c r="J95" t="s">
        <v>4</v>
      </c>
      <c r="K95" s="1">
        <v>13</v>
      </c>
      <c r="L95" s="1">
        <v>3</v>
      </c>
      <c r="M95" s="1">
        <v>21</v>
      </c>
      <c r="N95" s="1">
        <v>2</v>
      </c>
      <c r="O95" s="1">
        <v>10</v>
      </c>
      <c r="P95" s="1">
        <f>COUNTIF(HR_Data[Employee Number],HR_Data[[#This Row],[Employee Number]])</f>
        <v>1</v>
      </c>
      <c r="Q95" s="1" t="str">
        <f>IF(HR_Data[[#This Row],[Years At Company]]&lt;=HR_Data[[#This Row],[Total Working Years]],"Valid","error")</f>
        <v>Valid</v>
      </c>
      <c r="R95" s="1" t="str" cm="1">
        <f t="array" ref="R95">_xlfn.IFS(HR_Data[[#This Row],[Age]]&lt;=30,"Young", HR_Data[[#This Row],[Age]]&lt;=45,"Mid-Age",HR_Data[[#This Row],[Age]]&gt;45,"Senior")</f>
        <v>Senior</v>
      </c>
      <c r="S95" s="1" t="str" cm="1">
        <f t="array" ref="S95">_xlfn.IFS(HR_Data[[#This Row],[Monthly Income]]&lt;5000,"Low", HR_Data[[#This Row],[Monthly Income]]&lt;10000,"Medium",TRUE,"High")</f>
        <v>High</v>
      </c>
      <c r="T95" s="1" t="str" cm="1">
        <f t="array" ref="T95">_xlfn.IFS(HR_Data[[#This Row],[Total Working Years]]&lt;=5,"Junior", HR_Data[[#This Row],[Total Working Years]]&lt;=15,"Mid-Level", TRUE, "Senior")</f>
        <v>Senior</v>
      </c>
    </row>
    <row r="96" spans="1:20" x14ac:dyDescent="0.25">
      <c r="A96" s="1">
        <v>125</v>
      </c>
      <c r="B96" s="1">
        <v>32</v>
      </c>
      <c r="C96" t="s">
        <v>9</v>
      </c>
      <c r="D96" t="s">
        <v>5</v>
      </c>
      <c r="E96" t="s">
        <v>15</v>
      </c>
      <c r="F96" t="s">
        <v>11</v>
      </c>
      <c r="G96" t="s">
        <v>8</v>
      </c>
      <c r="H96" s="1">
        <v>3</v>
      </c>
      <c r="I96" s="1">
        <v>5010</v>
      </c>
      <c r="J96" t="s">
        <v>9</v>
      </c>
      <c r="K96" s="1">
        <v>16</v>
      </c>
      <c r="L96" s="1">
        <v>3</v>
      </c>
      <c r="M96" s="1">
        <v>12</v>
      </c>
      <c r="N96" s="1">
        <v>3</v>
      </c>
      <c r="O96" s="1">
        <v>11</v>
      </c>
      <c r="P96" s="1">
        <f>COUNTIF(HR_Data[Employee Number],HR_Data[[#This Row],[Employee Number]])</f>
        <v>1</v>
      </c>
      <c r="Q96" s="1" t="str">
        <f>IF(HR_Data[[#This Row],[Years At Company]]&lt;=HR_Data[[#This Row],[Total Working Years]],"Valid","error")</f>
        <v>Valid</v>
      </c>
      <c r="R96" s="1" t="str" cm="1">
        <f t="array" ref="R96">_xlfn.IFS(HR_Data[[#This Row],[Age]]&lt;=30,"Young", HR_Data[[#This Row],[Age]]&lt;=45,"Mid-Age",HR_Data[[#This Row],[Age]]&gt;45,"Senior")</f>
        <v>Mid-Age</v>
      </c>
      <c r="S96" s="1" t="str" cm="1">
        <f t="array" ref="S96">_xlfn.IFS(HR_Data[[#This Row],[Monthly Income]]&lt;5000,"Low", HR_Data[[#This Row],[Monthly Income]]&lt;10000,"Medium",TRUE,"High")</f>
        <v>Medium</v>
      </c>
      <c r="T96" s="1" t="str" cm="1">
        <f t="array" ref="T96">_xlfn.IFS(HR_Data[[#This Row],[Total Working Years]]&lt;=5,"Junior", HR_Data[[#This Row],[Total Working Years]]&lt;=15,"Mid-Level", TRUE, "Senior")</f>
        <v>Mid-Level</v>
      </c>
    </row>
    <row r="97" spans="1:20" x14ac:dyDescent="0.25">
      <c r="A97" s="1">
        <v>126</v>
      </c>
      <c r="B97" s="1">
        <v>54</v>
      </c>
      <c r="C97" t="s">
        <v>9</v>
      </c>
      <c r="D97" t="s">
        <v>10</v>
      </c>
      <c r="E97" t="s">
        <v>22</v>
      </c>
      <c r="F97" t="s">
        <v>7</v>
      </c>
      <c r="G97" t="s">
        <v>20</v>
      </c>
      <c r="H97" s="1">
        <v>3</v>
      </c>
      <c r="I97" s="1">
        <v>13549</v>
      </c>
      <c r="J97" t="s">
        <v>9</v>
      </c>
      <c r="K97" s="1">
        <v>12</v>
      </c>
      <c r="L97" s="1">
        <v>3</v>
      </c>
      <c r="M97" s="1">
        <v>16</v>
      </c>
      <c r="N97" s="1">
        <v>1</v>
      </c>
      <c r="O97" s="1">
        <v>4</v>
      </c>
      <c r="P97" s="1">
        <f>COUNTIF(HR_Data[Employee Number],HR_Data[[#This Row],[Employee Number]])</f>
        <v>1</v>
      </c>
      <c r="Q97" s="1" t="str">
        <f>IF(HR_Data[[#This Row],[Years At Company]]&lt;=HR_Data[[#This Row],[Total Working Years]],"Valid","error")</f>
        <v>Valid</v>
      </c>
      <c r="R97" s="1" t="str" cm="1">
        <f t="array" ref="R97">_xlfn.IFS(HR_Data[[#This Row],[Age]]&lt;=30,"Young", HR_Data[[#This Row],[Age]]&lt;=45,"Mid-Age",HR_Data[[#This Row],[Age]]&gt;45,"Senior")</f>
        <v>Senior</v>
      </c>
      <c r="S97" s="1" t="str" cm="1">
        <f t="array" ref="S97">_xlfn.IFS(HR_Data[[#This Row],[Monthly Income]]&lt;5000,"Low", HR_Data[[#This Row],[Monthly Income]]&lt;10000,"Medium",TRUE,"High")</f>
        <v>High</v>
      </c>
      <c r="T97" s="1" t="str" cm="1">
        <f t="array" ref="T97">_xlfn.IFS(HR_Data[[#This Row],[Total Working Years]]&lt;=5,"Junior", HR_Data[[#This Row],[Total Working Years]]&lt;=15,"Mid-Level", TRUE, "Senior")</f>
        <v>Senior</v>
      </c>
    </row>
    <row r="98" spans="1:20" x14ac:dyDescent="0.25">
      <c r="A98" s="1">
        <v>128</v>
      </c>
      <c r="B98" s="1">
        <v>24</v>
      </c>
      <c r="C98" t="s">
        <v>9</v>
      </c>
      <c r="D98" t="s">
        <v>5</v>
      </c>
      <c r="E98" t="s">
        <v>13</v>
      </c>
      <c r="F98" t="s">
        <v>7</v>
      </c>
      <c r="G98" t="s">
        <v>8</v>
      </c>
      <c r="H98" s="1">
        <v>3</v>
      </c>
      <c r="I98" s="1">
        <v>4999</v>
      </c>
      <c r="J98" t="s">
        <v>9</v>
      </c>
      <c r="K98" s="1">
        <v>21</v>
      </c>
      <c r="L98" s="1">
        <v>4</v>
      </c>
      <c r="M98" s="1">
        <v>4</v>
      </c>
      <c r="N98" s="1">
        <v>2</v>
      </c>
      <c r="O98" s="1">
        <v>3</v>
      </c>
      <c r="P98" s="1">
        <f>COUNTIF(HR_Data[Employee Number],HR_Data[[#This Row],[Employee Number]])</f>
        <v>1</v>
      </c>
      <c r="Q98" s="1" t="str">
        <f>IF(HR_Data[[#This Row],[Years At Company]]&lt;=HR_Data[[#This Row],[Total Working Years]],"Valid","error")</f>
        <v>Valid</v>
      </c>
      <c r="R98" s="1" t="str" cm="1">
        <f t="array" ref="R98">_xlfn.IFS(HR_Data[[#This Row],[Age]]&lt;=30,"Young", HR_Data[[#This Row],[Age]]&lt;=45,"Mid-Age",HR_Data[[#This Row],[Age]]&gt;45,"Senior")</f>
        <v>Young</v>
      </c>
      <c r="S98" s="1" t="str" cm="1">
        <f t="array" ref="S98">_xlfn.IFS(HR_Data[[#This Row],[Monthly Income]]&lt;5000,"Low", HR_Data[[#This Row],[Monthly Income]]&lt;10000,"Medium",TRUE,"High")</f>
        <v>Low</v>
      </c>
      <c r="T98" s="1" t="str" cm="1">
        <f t="array" ref="T98">_xlfn.IFS(HR_Data[[#This Row],[Total Working Years]]&lt;=5,"Junior", HR_Data[[#This Row],[Total Working Years]]&lt;=15,"Mid-Level", TRUE, "Senior")</f>
        <v>Junior</v>
      </c>
    </row>
    <row r="99" spans="1:20" x14ac:dyDescent="0.25">
      <c r="A99" s="1">
        <v>129</v>
      </c>
      <c r="B99" s="1">
        <v>28</v>
      </c>
      <c r="C99" t="s">
        <v>9</v>
      </c>
      <c r="D99" t="s">
        <v>5</v>
      </c>
      <c r="E99" t="s">
        <v>15</v>
      </c>
      <c r="F99" t="s">
        <v>11</v>
      </c>
      <c r="G99" t="s">
        <v>8</v>
      </c>
      <c r="H99" s="1">
        <v>3</v>
      </c>
      <c r="I99" s="1">
        <v>4221</v>
      </c>
      <c r="J99" t="s">
        <v>9</v>
      </c>
      <c r="K99" s="1">
        <v>15</v>
      </c>
      <c r="L99" s="1">
        <v>3</v>
      </c>
      <c r="M99" s="1">
        <v>5</v>
      </c>
      <c r="N99" s="1">
        <v>4</v>
      </c>
      <c r="O99" s="1">
        <v>5</v>
      </c>
      <c r="P99" s="1">
        <f>COUNTIF(HR_Data[Employee Number],HR_Data[[#This Row],[Employee Number]])</f>
        <v>1</v>
      </c>
      <c r="Q99" s="1" t="str">
        <f>IF(HR_Data[[#This Row],[Years At Company]]&lt;=HR_Data[[#This Row],[Total Working Years]],"Valid","error")</f>
        <v>Valid</v>
      </c>
      <c r="R99" s="1" t="str" cm="1">
        <f t="array" ref="R99">_xlfn.IFS(HR_Data[[#This Row],[Age]]&lt;=30,"Young", HR_Data[[#This Row],[Age]]&lt;=45,"Mid-Age",HR_Data[[#This Row],[Age]]&gt;45,"Senior")</f>
        <v>Young</v>
      </c>
      <c r="S99" s="1" t="str" cm="1">
        <f t="array" ref="S99">_xlfn.IFS(HR_Data[[#This Row],[Monthly Income]]&lt;5000,"Low", HR_Data[[#This Row],[Monthly Income]]&lt;10000,"Medium",TRUE,"High")</f>
        <v>Low</v>
      </c>
      <c r="T99" s="1" t="str" cm="1">
        <f t="array" ref="T99">_xlfn.IFS(HR_Data[[#This Row],[Total Working Years]]&lt;=5,"Junior", HR_Data[[#This Row],[Total Working Years]]&lt;=15,"Mid-Level", TRUE, "Senior")</f>
        <v>Junior</v>
      </c>
    </row>
    <row r="100" spans="1:20" x14ac:dyDescent="0.25">
      <c r="A100" s="1">
        <v>131</v>
      </c>
      <c r="B100" s="1">
        <v>58</v>
      </c>
      <c r="C100" t="s">
        <v>9</v>
      </c>
      <c r="D100" t="s">
        <v>5</v>
      </c>
      <c r="E100" t="s">
        <v>15</v>
      </c>
      <c r="F100" t="s">
        <v>11</v>
      </c>
      <c r="G100" t="s">
        <v>8</v>
      </c>
      <c r="H100" s="1">
        <v>3</v>
      </c>
      <c r="I100" s="1">
        <v>13872</v>
      </c>
      <c r="J100" t="s">
        <v>9</v>
      </c>
      <c r="K100" s="1">
        <v>13</v>
      </c>
      <c r="L100" s="1">
        <v>3</v>
      </c>
      <c r="M100" s="1">
        <v>38</v>
      </c>
      <c r="N100" s="1">
        <v>2</v>
      </c>
      <c r="O100" s="1">
        <v>37</v>
      </c>
      <c r="P100" s="1">
        <f>COUNTIF(HR_Data[Employee Number],HR_Data[[#This Row],[Employee Number]])</f>
        <v>1</v>
      </c>
      <c r="Q100" s="1" t="str">
        <f>IF(HR_Data[[#This Row],[Years At Company]]&lt;=HR_Data[[#This Row],[Total Working Years]],"Valid","error")</f>
        <v>Valid</v>
      </c>
      <c r="R100" s="1" t="str" cm="1">
        <f t="array" ref="R100">_xlfn.IFS(HR_Data[[#This Row],[Age]]&lt;=30,"Young", HR_Data[[#This Row],[Age]]&lt;=45,"Mid-Age",HR_Data[[#This Row],[Age]]&gt;45,"Senior")</f>
        <v>Senior</v>
      </c>
      <c r="S100" s="1" t="str" cm="1">
        <f t="array" ref="S100">_xlfn.IFS(HR_Data[[#This Row],[Monthly Income]]&lt;5000,"Low", HR_Data[[#This Row],[Monthly Income]]&lt;10000,"Medium",TRUE,"High")</f>
        <v>High</v>
      </c>
      <c r="T100" s="1" t="str" cm="1">
        <f t="array" ref="T100">_xlfn.IFS(HR_Data[[#This Row],[Total Working Years]]&lt;=5,"Junior", HR_Data[[#This Row],[Total Working Years]]&lt;=15,"Mid-Level", TRUE, "Senior")</f>
        <v>Senior</v>
      </c>
    </row>
    <row r="101" spans="1:20" x14ac:dyDescent="0.25">
      <c r="A101" s="1">
        <v>132</v>
      </c>
      <c r="B101" s="1">
        <v>44</v>
      </c>
      <c r="C101" t="s">
        <v>9</v>
      </c>
      <c r="D101" t="s">
        <v>10</v>
      </c>
      <c r="E101" t="s">
        <v>15</v>
      </c>
      <c r="F101" t="s">
        <v>11</v>
      </c>
      <c r="G101" t="s">
        <v>14</v>
      </c>
      <c r="H101" s="1">
        <v>2</v>
      </c>
      <c r="I101" s="1">
        <v>2042</v>
      </c>
      <c r="J101" t="s">
        <v>9</v>
      </c>
      <c r="K101" s="1">
        <v>12</v>
      </c>
      <c r="L101" s="1">
        <v>3</v>
      </c>
      <c r="M101" s="1">
        <v>17</v>
      </c>
      <c r="N101" s="1">
        <v>4</v>
      </c>
      <c r="O101" s="1">
        <v>3</v>
      </c>
      <c r="P101" s="1">
        <f>COUNTIF(HR_Data[Employee Number],HR_Data[[#This Row],[Employee Number]])</f>
        <v>1</v>
      </c>
      <c r="Q101" s="1" t="str">
        <f>IF(HR_Data[[#This Row],[Years At Company]]&lt;=HR_Data[[#This Row],[Total Working Years]],"Valid","error")</f>
        <v>Valid</v>
      </c>
      <c r="R101" s="1" t="str" cm="1">
        <f t="array" ref="R101">_xlfn.IFS(HR_Data[[#This Row],[Age]]&lt;=30,"Young", HR_Data[[#This Row],[Age]]&lt;=45,"Mid-Age",HR_Data[[#This Row],[Age]]&gt;45,"Senior")</f>
        <v>Mid-Age</v>
      </c>
      <c r="S101" s="1" t="str" cm="1">
        <f t="array" ref="S101">_xlfn.IFS(HR_Data[[#This Row],[Monthly Income]]&lt;5000,"Low", HR_Data[[#This Row],[Monthly Income]]&lt;10000,"Medium",TRUE,"High")</f>
        <v>Low</v>
      </c>
      <c r="T101" s="1" t="str" cm="1">
        <f t="array" ref="T101">_xlfn.IFS(HR_Data[[#This Row],[Total Working Years]]&lt;=5,"Junior", HR_Data[[#This Row],[Total Working Years]]&lt;=15,"Mid-Level", TRUE, "Senior")</f>
        <v>Senior</v>
      </c>
    </row>
    <row r="102" spans="1:20" x14ac:dyDescent="0.25">
      <c r="A102" s="1">
        <v>133</v>
      </c>
      <c r="B102" s="1">
        <v>37</v>
      </c>
      <c r="C102" t="s">
        <v>4</v>
      </c>
      <c r="D102" t="s">
        <v>23</v>
      </c>
      <c r="E102" t="s">
        <v>23</v>
      </c>
      <c r="F102" t="s">
        <v>11</v>
      </c>
      <c r="G102" t="s">
        <v>23</v>
      </c>
      <c r="H102" s="1">
        <v>1</v>
      </c>
      <c r="I102" s="1">
        <v>2073</v>
      </c>
      <c r="J102" t="s">
        <v>4</v>
      </c>
      <c r="K102" s="1">
        <v>22</v>
      </c>
      <c r="L102" s="1">
        <v>4</v>
      </c>
      <c r="M102" s="1">
        <v>7</v>
      </c>
      <c r="N102" s="1">
        <v>3</v>
      </c>
      <c r="O102" s="1">
        <v>3</v>
      </c>
      <c r="P102" s="1">
        <f>COUNTIF(HR_Data[Employee Number],HR_Data[[#This Row],[Employee Number]])</f>
        <v>1</v>
      </c>
      <c r="Q102" s="1" t="str">
        <f>IF(HR_Data[[#This Row],[Years At Company]]&lt;=HR_Data[[#This Row],[Total Working Years]],"Valid","error")</f>
        <v>Valid</v>
      </c>
      <c r="R102" s="1" t="str" cm="1">
        <f t="array" ref="R102">_xlfn.IFS(HR_Data[[#This Row],[Age]]&lt;=30,"Young", HR_Data[[#This Row],[Age]]&lt;=45,"Mid-Age",HR_Data[[#This Row],[Age]]&gt;45,"Senior")</f>
        <v>Mid-Age</v>
      </c>
      <c r="S102" s="1" t="str" cm="1">
        <f t="array" ref="S102">_xlfn.IFS(HR_Data[[#This Row],[Monthly Income]]&lt;5000,"Low", HR_Data[[#This Row],[Monthly Income]]&lt;10000,"Medium",TRUE,"High")</f>
        <v>Low</v>
      </c>
      <c r="T102" s="1" t="str" cm="1">
        <f t="array" ref="T102">_xlfn.IFS(HR_Data[[#This Row],[Total Working Years]]&lt;=5,"Junior", HR_Data[[#This Row],[Total Working Years]]&lt;=15,"Mid-Level", TRUE, "Senior")</f>
        <v>Mid-Level</v>
      </c>
    </row>
    <row r="103" spans="1:20" x14ac:dyDescent="0.25">
      <c r="A103" s="1">
        <v>134</v>
      </c>
      <c r="B103" s="1">
        <v>32</v>
      </c>
      <c r="C103" t="s">
        <v>9</v>
      </c>
      <c r="D103" t="s">
        <v>10</v>
      </c>
      <c r="E103" t="s">
        <v>6</v>
      </c>
      <c r="F103" t="s">
        <v>11</v>
      </c>
      <c r="G103" t="s">
        <v>12</v>
      </c>
      <c r="H103" s="1">
        <v>1</v>
      </c>
      <c r="I103" s="1">
        <v>2956</v>
      </c>
      <c r="J103" t="s">
        <v>9</v>
      </c>
      <c r="K103" s="1">
        <v>13</v>
      </c>
      <c r="L103" s="1">
        <v>3</v>
      </c>
      <c r="M103" s="1">
        <v>1</v>
      </c>
      <c r="N103" s="1">
        <v>3</v>
      </c>
      <c r="O103" s="1">
        <v>1</v>
      </c>
      <c r="P103" s="1">
        <f>COUNTIF(HR_Data[Employee Number],HR_Data[[#This Row],[Employee Number]])</f>
        <v>1</v>
      </c>
      <c r="Q103" s="1" t="str">
        <f>IF(HR_Data[[#This Row],[Years At Company]]&lt;=HR_Data[[#This Row],[Total Working Years]],"Valid","error")</f>
        <v>Valid</v>
      </c>
      <c r="R103" s="1" t="str" cm="1">
        <f t="array" ref="R103">_xlfn.IFS(HR_Data[[#This Row],[Age]]&lt;=30,"Young", HR_Data[[#This Row],[Age]]&lt;=45,"Mid-Age",HR_Data[[#This Row],[Age]]&gt;45,"Senior")</f>
        <v>Mid-Age</v>
      </c>
      <c r="S103" s="1" t="str" cm="1">
        <f t="array" ref="S103">_xlfn.IFS(HR_Data[[#This Row],[Monthly Income]]&lt;5000,"Low", HR_Data[[#This Row],[Monthly Income]]&lt;10000,"Medium",TRUE,"High")</f>
        <v>Low</v>
      </c>
      <c r="T103" s="1" t="str" cm="1">
        <f t="array" ref="T103">_xlfn.IFS(HR_Data[[#This Row],[Total Working Years]]&lt;=5,"Junior", HR_Data[[#This Row],[Total Working Years]]&lt;=15,"Mid-Level", TRUE, "Senior")</f>
        <v>Junior</v>
      </c>
    </row>
    <row r="104" spans="1:20" x14ac:dyDescent="0.25">
      <c r="A104" s="1">
        <v>137</v>
      </c>
      <c r="B104" s="1">
        <v>20</v>
      </c>
      <c r="C104" t="s">
        <v>4</v>
      </c>
      <c r="D104" t="s">
        <v>10</v>
      </c>
      <c r="E104" t="s">
        <v>6</v>
      </c>
      <c r="F104" t="s">
        <v>7</v>
      </c>
      <c r="G104" t="s">
        <v>14</v>
      </c>
      <c r="H104" s="1">
        <v>4</v>
      </c>
      <c r="I104" s="1">
        <v>2926</v>
      </c>
      <c r="J104" t="s">
        <v>4</v>
      </c>
      <c r="K104" s="1">
        <v>18</v>
      </c>
      <c r="L104" s="1">
        <v>3</v>
      </c>
      <c r="M104" s="1">
        <v>1</v>
      </c>
      <c r="N104" s="1">
        <v>3</v>
      </c>
      <c r="O104" s="1">
        <v>1</v>
      </c>
      <c r="P104" s="1">
        <f>COUNTIF(HR_Data[Employee Number],HR_Data[[#This Row],[Employee Number]])</f>
        <v>1</v>
      </c>
      <c r="Q104" s="1" t="str">
        <f>IF(HR_Data[[#This Row],[Years At Company]]&lt;=HR_Data[[#This Row],[Total Working Years]],"Valid","error")</f>
        <v>Valid</v>
      </c>
      <c r="R104" s="1" t="str" cm="1">
        <f t="array" ref="R104">_xlfn.IFS(HR_Data[[#This Row],[Age]]&lt;=30,"Young", HR_Data[[#This Row],[Age]]&lt;=45,"Mid-Age",HR_Data[[#This Row],[Age]]&gt;45,"Senior")</f>
        <v>Young</v>
      </c>
      <c r="S104" s="1" t="str" cm="1">
        <f t="array" ref="S104">_xlfn.IFS(HR_Data[[#This Row],[Monthly Income]]&lt;5000,"Low", HR_Data[[#This Row],[Monthly Income]]&lt;10000,"Medium",TRUE,"High")</f>
        <v>Low</v>
      </c>
      <c r="T104" s="1" t="str" cm="1">
        <f t="array" ref="T104">_xlfn.IFS(HR_Data[[#This Row],[Total Working Years]]&lt;=5,"Junior", HR_Data[[#This Row],[Total Working Years]]&lt;=15,"Mid-Level", TRUE, "Senior")</f>
        <v>Junior</v>
      </c>
    </row>
    <row r="105" spans="1:20" x14ac:dyDescent="0.25">
      <c r="A105" s="1">
        <v>138</v>
      </c>
      <c r="B105" s="1">
        <v>34</v>
      </c>
      <c r="C105" t="s">
        <v>9</v>
      </c>
      <c r="D105" t="s">
        <v>10</v>
      </c>
      <c r="E105" t="s">
        <v>13</v>
      </c>
      <c r="F105" t="s">
        <v>7</v>
      </c>
      <c r="G105" t="s">
        <v>12</v>
      </c>
      <c r="H105" s="1">
        <v>3</v>
      </c>
      <c r="I105" s="1">
        <v>4809</v>
      </c>
      <c r="J105" t="s">
        <v>9</v>
      </c>
      <c r="K105" s="1">
        <v>14</v>
      </c>
      <c r="L105" s="1">
        <v>3</v>
      </c>
      <c r="M105" s="1">
        <v>16</v>
      </c>
      <c r="N105" s="1">
        <v>3</v>
      </c>
      <c r="O105" s="1">
        <v>16</v>
      </c>
      <c r="P105" s="1">
        <f>COUNTIF(HR_Data[Employee Number],HR_Data[[#This Row],[Employee Number]])</f>
        <v>1</v>
      </c>
      <c r="Q105" s="1" t="str">
        <f>IF(HR_Data[[#This Row],[Years At Company]]&lt;=HR_Data[[#This Row],[Total Working Years]],"Valid","error")</f>
        <v>Valid</v>
      </c>
      <c r="R105" s="1" t="str" cm="1">
        <f t="array" ref="R105">_xlfn.IFS(HR_Data[[#This Row],[Age]]&lt;=30,"Young", HR_Data[[#This Row],[Age]]&lt;=45,"Mid-Age",HR_Data[[#This Row],[Age]]&gt;45,"Senior")</f>
        <v>Mid-Age</v>
      </c>
      <c r="S105" s="1" t="str" cm="1">
        <f t="array" ref="S105">_xlfn.IFS(HR_Data[[#This Row],[Monthly Income]]&lt;5000,"Low", HR_Data[[#This Row],[Monthly Income]]&lt;10000,"Medium",TRUE,"High")</f>
        <v>Low</v>
      </c>
      <c r="T105" s="1" t="str" cm="1">
        <f t="array" ref="T105">_xlfn.IFS(HR_Data[[#This Row],[Total Working Years]]&lt;=5,"Junior", HR_Data[[#This Row],[Total Working Years]]&lt;=15,"Mid-Level", TRUE, "Senior")</f>
        <v>Senior</v>
      </c>
    </row>
    <row r="106" spans="1:20" x14ac:dyDescent="0.25">
      <c r="A106" s="1">
        <v>139</v>
      </c>
      <c r="B106" s="1">
        <v>37</v>
      </c>
      <c r="C106" t="s">
        <v>9</v>
      </c>
      <c r="D106" t="s">
        <v>10</v>
      </c>
      <c r="E106" t="s">
        <v>6</v>
      </c>
      <c r="F106" t="s">
        <v>11</v>
      </c>
      <c r="G106" t="s">
        <v>17</v>
      </c>
      <c r="H106" s="1">
        <v>4</v>
      </c>
      <c r="I106" s="1">
        <v>5163</v>
      </c>
      <c r="J106" t="s">
        <v>9</v>
      </c>
      <c r="K106" s="1">
        <v>14</v>
      </c>
      <c r="L106" s="1">
        <v>3</v>
      </c>
      <c r="M106" s="1">
        <v>17</v>
      </c>
      <c r="N106" s="1">
        <v>4</v>
      </c>
      <c r="O106" s="1">
        <v>1</v>
      </c>
      <c r="P106" s="1">
        <f>COUNTIF(HR_Data[Employee Number],HR_Data[[#This Row],[Employee Number]])</f>
        <v>1</v>
      </c>
      <c r="Q106" s="1" t="str">
        <f>IF(HR_Data[[#This Row],[Years At Company]]&lt;=HR_Data[[#This Row],[Total Working Years]],"Valid","error")</f>
        <v>Valid</v>
      </c>
      <c r="R106" s="1" t="str" cm="1">
        <f t="array" ref="R106">_xlfn.IFS(HR_Data[[#This Row],[Age]]&lt;=30,"Young", HR_Data[[#This Row],[Age]]&lt;=45,"Mid-Age",HR_Data[[#This Row],[Age]]&gt;45,"Senior")</f>
        <v>Mid-Age</v>
      </c>
      <c r="S106" s="1" t="str" cm="1">
        <f t="array" ref="S106">_xlfn.IFS(HR_Data[[#This Row],[Monthly Income]]&lt;5000,"Low", HR_Data[[#This Row],[Monthly Income]]&lt;10000,"Medium",TRUE,"High")</f>
        <v>Medium</v>
      </c>
      <c r="T106" s="1" t="str" cm="1">
        <f t="array" ref="T106">_xlfn.IFS(HR_Data[[#This Row],[Total Working Years]]&lt;=5,"Junior", HR_Data[[#This Row],[Total Working Years]]&lt;=15,"Mid-Level", TRUE, "Senior")</f>
        <v>Senior</v>
      </c>
    </row>
    <row r="107" spans="1:20" x14ac:dyDescent="0.25">
      <c r="A107" s="1">
        <v>140</v>
      </c>
      <c r="B107" s="1">
        <v>59</v>
      </c>
      <c r="C107" t="s">
        <v>9</v>
      </c>
      <c r="D107" t="s">
        <v>23</v>
      </c>
      <c r="E107" t="s">
        <v>23</v>
      </c>
      <c r="F107" t="s">
        <v>7</v>
      </c>
      <c r="G107" t="s">
        <v>18</v>
      </c>
      <c r="H107" s="1">
        <v>4</v>
      </c>
      <c r="I107" s="1">
        <v>18844</v>
      </c>
      <c r="J107" t="s">
        <v>9</v>
      </c>
      <c r="K107" s="1">
        <v>21</v>
      </c>
      <c r="L107" s="1">
        <v>4</v>
      </c>
      <c r="M107" s="1">
        <v>30</v>
      </c>
      <c r="N107" s="1">
        <v>3</v>
      </c>
      <c r="O107" s="1">
        <v>3</v>
      </c>
      <c r="P107" s="1">
        <f>COUNTIF(HR_Data[Employee Number],HR_Data[[#This Row],[Employee Number]])</f>
        <v>1</v>
      </c>
      <c r="Q107" s="1" t="str">
        <f>IF(HR_Data[[#This Row],[Years At Company]]&lt;=HR_Data[[#This Row],[Total Working Years]],"Valid","error")</f>
        <v>Valid</v>
      </c>
      <c r="R107" s="1" t="str" cm="1">
        <f t="array" ref="R107">_xlfn.IFS(HR_Data[[#This Row],[Age]]&lt;=30,"Young", HR_Data[[#This Row],[Age]]&lt;=45,"Mid-Age",HR_Data[[#This Row],[Age]]&gt;45,"Senior")</f>
        <v>Senior</v>
      </c>
      <c r="S107" s="1" t="str" cm="1">
        <f t="array" ref="S107">_xlfn.IFS(HR_Data[[#This Row],[Monthly Income]]&lt;5000,"Low", HR_Data[[#This Row],[Monthly Income]]&lt;10000,"Medium",TRUE,"High")</f>
        <v>High</v>
      </c>
      <c r="T107" s="1" t="str" cm="1">
        <f t="array" ref="T107">_xlfn.IFS(HR_Data[[#This Row],[Total Working Years]]&lt;=5,"Junior", HR_Data[[#This Row],[Total Working Years]]&lt;=15,"Mid-Level", TRUE, "Senior")</f>
        <v>Senior</v>
      </c>
    </row>
    <row r="108" spans="1:20" x14ac:dyDescent="0.25">
      <c r="A108" s="1">
        <v>141</v>
      </c>
      <c r="B108" s="1">
        <v>50</v>
      </c>
      <c r="C108" t="s">
        <v>9</v>
      </c>
      <c r="D108" t="s">
        <v>10</v>
      </c>
      <c r="E108" t="s">
        <v>6</v>
      </c>
      <c r="F108" t="s">
        <v>7</v>
      </c>
      <c r="G108" t="s">
        <v>20</v>
      </c>
      <c r="H108" s="1">
        <v>2</v>
      </c>
      <c r="I108" s="1">
        <v>18172</v>
      </c>
      <c r="J108" t="s">
        <v>4</v>
      </c>
      <c r="K108" s="1">
        <v>19</v>
      </c>
      <c r="L108" s="1">
        <v>3</v>
      </c>
      <c r="M108" s="1">
        <v>28</v>
      </c>
      <c r="N108" s="1">
        <v>2</v>
      </c>
      <c r="O108" s="1">
        <v>8</v>
      </c>
      <c r="P108" s="1">
        <f>COUNTIF(HR_Data[Employee Number],HR_Data[[#This Row],[Employee Number]])</f>
        <v>1</v>
      </c>
      <c r="Q108" s="1" t="str">
        <f>IF(HR_Data[[#This Row],[Years At Company]]&lt;=HR_Data[[#This Row],[Total Working Years]],"Valid","error")</f>
        <v>Valid</v>
      </c>
      <c r="R108" s="1" t="str" cm="1">
        <f t="array" ref="R108">_xlfn.IFS(HR_Data[[#This Row],[Age]]&lt;=30,"Young", HR_Data[[#This Row],[Age]]&lt;=45,"Mid-Age",HR_Data[[#This Row],[Age]]&gt;45,"Senior")</f>
        <v>Senior</v>
      </c>
      <c r="S108" s="1" t="str" cm="1">
        <f t="array" ref="S108">_xlfn.IFS(HR_Data[[#This Row],[Monthly Income]]&lt;5000,"Low", HR_Data[[#This Row],[Monthly Income]]&lt;10000,"Medium",TRUE,"High")</f>
        <v>High</v>
      </c>
      <c r="T108" s="1" t="str" cm="1">
        <f t="array" ref="T108">_xlfn.IFS(HR_Data[[#This Row],[Total Working Years]]&lt;=5,"Junior", HR_Data[[#This Row],[Total Working Years]]&lt;=15,"Mid-Level", TRUE, "Senior")</f>
        <v>Senior</v>
      </c>
    </row>
    <row r="109" spans="1:20" x14ac:dyDescent="0.25">
      <c r="A109" s="1">
        <v>142</v>
      </c>
      <c r="B109" s="1">
        <v>25</v>
      </c>
      <c r="C109" t="s">
        <v>4</v>
      </c>
      <c r="D109" t="s">
        <v>5</v>
      </c>
      <c r="E109" t="s">
        <v>21</v>
      </c>
      <c r="F109" t="s">
        <v>11</v>
      </c>
      <c r="G109" t="s">
        <v>8</v>
      </c>
      <c r="H109" s="1">
        <v>3</v>
      </c>
      <c r="I109" s="1">
        <v>5744</v>
      </c>
      <c r="J109" t="s">
        <v>4</v>
      </c>
      <c r="K109" s="1">
        <v>11</v>
      </c>
      <c r="L109" s="1">
        <v>3</v>
      </c>
      <c r="M109" s="1">
        <v>6</v>
      </c>
      <c r="N109" s="1">
        <v>3</v>
      </c>
      <c r="O109" s="1">
        <v>6</v>
      </c>
      <c r="P109" s="1">
        <f>COUNTIF(HR_Data[Employee Number],HR_Data[[#This Row],[Employee Number]])</f>
        <v>1</v>
      </c>
      <c r="Q109" s="1" t="str">
        <f>IF(HR_Data[[#This Row],[Years At Company]]&lt;=HR_Data[[#This Row],[Total Working Years]],"Valid","error")</f>
        <v>Valid</v>
      </c>
      <c r="R109" s="1" t="str" cm="1">
        <f t="array" ref="R109">_xlfn.IFS(HR_Data[[#This Row],[Age]]&lt;=30,"Young", HR_Data[[#This Row],[Age]]&lt;=45,"Mid-Age",HR_Data[[#This Row],[Age]]&gt;45,"Senior")</f>
        <v>Young</v>
      </c>
      <c r="S109" s="1" t="str" cm="1">
        <f t="array" ref="S109">_xlfn.IFS(HR_Data[[#This Row],[Monthly Income]]&lt;5000,"Low", HR_Data[[#This Row],[Monthly Income]]&lt;10000,"Medium",TRUE,"High")</f>
        <v>Medium</v>
      </c>
      <c r="T109" s="1" t="str" cm="1">
        <f t="array" ref="T109">_xlfn.IFS(HR_Data[[#This Row],[Total Working Years]]&lt;=5,"Junior", HR_Data[[#This Row],[Total Working Years]]&lt;=15,"Mid-Level", TRUE, "Senior")</f>
        <v>Mid-Level</v>
      </c>
    </row>
    <row r="110" spans="1:20" x14ac:dyDescent="0.25">
      <c r="A110" s="1">
        <v>143</v>
      </c>
      <c r="B110" s="1">
        <v>25</v>
      </c>
      <c r="C110" t="s">
        <v>9</v>
      </c>
      <c r="D110" t="s">
        <v>10</v>
      </c>
      <c r="E110" t="s">
        <v>15</v>
      </c>
      <c r="F110" t="s">
        <v>11</v>
      </c>
      <c r="G110" t="s">
        <v>12</v>
      </c>
      <c r="H110" s="1">
        <v>4</v>
      </c>
      <c r="I110" s="1">
        <v>2889</v>
      </c>
      <c r="J110" t="s">
        <v>9</v>
      </c>
      <c r="K110" s="1">
        <v>11</v>
      </c>
      <c r="L110" s="1">
        <v>3</v>
      </c>
      <c r="M110" s="1">
        <v>2</v>
      </c>
      <c r="N110" s="1">
        <v>3</v>
      </c>
      <c r="O110" s="1">
        <v>2</v>
      </c>
      <c r="P110" s="1">
        <f>COUNTIF(HR_Data[Employee Number],HR_Data[[#This Row],[Employee Number]])</f>
        <v>1</v>
      </c>
      <c r="Q110" s="1" t="str">
        <f>IF(HR_Data[[#This Row],[Years At Company]]&lt;=HR_Data[[#This Row],[Total Working Years]],"Valid","error")</f>
        <v>Valid</v>
      </c>
      <c r="R110" s="1" t="str" cm="1">
        <f t="array" ref="R110">_xlfn.IFS(HR_Data[[#This Row],[Age]]&lt;=30,"Young", HR_Data[[#This Row],[Age]]&lt;=45,"Mid-Age",HR_Data[[#This Row],[Age]]&gt;45,"Senior")</f>
        <v>Young</v>
      </c>
      <c r="S110" s="1" t="str" cm="1">
        <f t="array" ref="S110">_xlfn.IFS(HR_Data[[#This Row],[Monthly Income]]&lt;5000,"Low", HR_Data[[#This Row],[Monthly Income]]&lt;10000,"Medium",TRUE,"High")</f>
        <v>Low</v>
      </c>
      <c r="T110" s="1" t="str" cm="1">
        <f t="array" ref="T110">_xlfn.IFS(HR_Data[[#This Row],[Total Working Years]]&lt;=5,"Junior", HR_Data[[#This Row],[Total Working Years]]&lt;=15,"Mid-Level", TRUE, "Senior")</f>
        <v>Junior</v>
      </c>
    </row>
    <row r="111" spans="1:20" x14ac:dyDescent="0.25">
      <c r="A111" s="1">
        <v>144</v>
      </c>
      <c r="B111" s="1">
        <v>22</v>
      </c>
      <c r="C111" t="s">
        <v>9</v>
      </c>
      <c r="D111" t="s">
        <v>10</v>
      </c>
      <c r="E111" t="s">
        <v>15</v>
      </c>
      <c r="F111" t="s">
        <v>7</v>
      </c>
      <c r="G111" t="s">
        <v>14</v>
      </c>
      <c r="H111" s="1">
        <v>4</v>
      </c>
      <c r="I111" s="1">
        <v>2871</v>
      </c>
      <c r="J111" t="s">
        <v>9</v>
      </c>
      <c r="K111" s="1">
        <v>15</v>
      </c>
      <c r="L111" s="1">
        <v>3</v>
      </c>
      <c r="M111" s="1">
        <v>1</v>
      </c>
      <c r="N111" s="1">
        <v>3</v>
      </c>
      <c r="O111" s="1">
        <v>0</v>
      </c>
      <c r="P111" s="1">
        <f>COUNTIF(HR_Data[Employee Number],HR_Data[[#This Row],[Employee Number]])</f>
        <v>1</v>
      </c>
      <c r="Q111" s="1" t="str">
        <f>IF(HR_Data[[#This Row],[Years At Company]]&lt;=HR_Data[[#This Row],[Total Working Years]],"Valid","error")</f>
        <v>Valid</v>
      </c>
      <c r="R111" s="1" t="str" cm="1">
        <f t="array" ref="R111">_xlfn.IFS(HR_Data[[#This Row],[Age]]&lt;=30,"Young", HR_Data[[#This Row],[Age]]&lt;=45,"Mid-Age",HR_Data[[#This Row],[Age]]&gt;45,"Senior")</f>
        <v>Young</v>
      </c>
      <c r="S111" s="1" t="str" cm="1">
        <f t="array" ref="S111">_xlfn.IFS(HR_Data[[#This Row],[Monthly Income]]&lt;5000,"Low", HR_Data[[#This Row],[Monthly Income]]&lt;10000,"Medium",TRUE,"High")</f>
        <v>Low</v>
      </c>
      <c r="T111" s="1" t="str" cm="1">
        <f t="array" ref="T111">_xlfn.IFS(HR_Data[[#This Row],[Total Working Years]]&lt;=5,"Junior", HR_Data[[#This Row],[Total Working Years]]&lt;=15,"Mid-Level", TRUE, "Senior")</f>
        <v>Junior</v>
      </c>
    </row>
    <row r="112" spans="1:20" x14ac:dyDescent="0.25">
      <c r="A112" s="1">
        <v>145</v>
      </c>
      <c r="B112" s="1">
        <v>51</v>
      </c>
      <c r="C112" t="s">
        <v>9</v>
      </c>
      <c r="D112" t="s">
        <v>10</v>
      </c>
      <c r="E112" t="s">
        <v>15</v>
      </c>
      <c r="F112" t="s">
        <v>7</v>
      </c>
      <c r="G112" t="s">
        <v>17</v>
      </c>
      <c r="H112" s="1">
        <v>1</v>
      </c>
      <c r="I112" s="1">
        <v>7484</v>
      </c>
      <c r="J112" t="s">
        <v>9</v>
      </c>
      <c r="K112" s="1">
        <v>20</v>
      </c>
      <c r="L112" s="1">
        <v>4</v>
      </c>
      <c r="M112" s="1">
        <v>23</v>
      </c>
      <c r="N112" s="1">
        <v>2</v>
      </c>
      <c r="O112" s="1">
        <v>13</v>
      </c>
      <c r="P112" s="1">
        <f>COUNTIF(HR_Data[Employee Number],HR_Data[[#This Row],[Employee Number]])</f>
        <v>1</v>
      </c>
      <c r="Q112" s="1" t="str">
        <f>IF(HR_Data[[#This Row],[Years At Company]]&lt;=HR_Data[[#This Row],[Total Working Years]],"Valid","error")</f>
        <v>Valid</v>
      </c>
      <c r="R112" s="1" t="str" cm="1">
        <f t="array" ref="R112">_xlfn.IFS(HR_Data[[#This Row],[Age]]&lt;=30,"Young", HR_Data[[#This Row],[Age]]&lt;=45,"Mid-Age",HR_Data[[#This Row],[Age]]&gt;45,"Senior")</f>
        <v>Senior</v>
      </c>
      <c r="S112" s="1" t="str" cm="1">
        <f t="array" ref="S112">_xlfn.IFS(HR_Data[[#This Row],[Monthly Income]]&lt;5000,"Low", HR_Data[[#This Row],[Monthly Income]]&lt;10000,"Medium",TRUE,"High")</f>
        <v>Medium</v>
      </c>
      <c r="T112" s="1" t="str" cm="1">
        <f t="array" ref="T112">_xlfn.IFS(HR_Data[[#This Row],[Total Working Years]]&lt;=5,"Junior", HR_Data[[#This Row],[Total Working Years]]&lt;=15,"Mid-Level", TRUE, "Senior")</f>
        <v>Senior</v>
      </c>
    </row>
    <row r="113" spans="1:20" x14ac:dyDescent="0.25">
      <c r="A113" s="1">
        <v>147</v>
      </c>
      <c r="B113" s="1">
        <v>34</v>
      </c>
      <c r="C113" t="s">
        <v>4</v>
      </c>
      <c r="D113" t="s">
        <v>10</v>
      </c>
      <c r="E113" t="s">
        <v>6</v>
      </c>
      <c r="F113" t="s">
        <v>11</v>
      </c>
      <c r="G113" t="s">
        <v>14</v>
      </c>
      <c r="H113" s="1">
        <v>3</v>
      </c>
      <c r="I113" s="1">
        <v>6074</v>
      </c>
      <c r="J113" t="s">
        <v>4</v>
      </c>
      <c r="K113" s="1">
        <v>24</v>
      </c>
      <c r="L113" s="1">
        <v>4</v>
      </c>
      <c r="M113" s="1">
        <v>9</v>
      </c>
      <c r="N113" s="1">
        <v>3</v>
      </c>
      <c r="O113" s="1">
        <v>9</v>
      </c>
      <c r="P113" s="1">
        <f>COUNTIF(HR_Data[Employee Number],HR_Data[[#This Row],[Employee Number]])</f>
        <v>1</v>
      </c>
      <c r="Q113" s="1" t="str">
        <f>IF(HR_Data[[#This Row],[Years At Company]]&lt;=HR_Data[[#This Row],[Total Working Years]],"Valid","error")</f>
        <v>Valid</v>
      </c>
      <c r="R113" s="1" t="str" cm="1">
        <f t="array" ref="R113">_xlfn.IFS(HR_Data[[#This Row],[Age]]&lt;=30,"Young", HR_Data[[#This Row],[Age]]&lt;=45,"Mid-Age",HR_Data[[#This Row],[Age]]&gt;45,"Senior")</f>
        <v>Mid-Age</v>
      </c>
      <c r="S113" s="1" t="str" cm="1">
        <f t="array" ref="S113">_xlfn.IFS(HR_Data[[#This Row],[Monthly Income]]&lt;5000,"Low", HR_Data[[#This Row],[Monthly Income]]&lt;10000,"Medium",TRUE,"High")</f>
        <v>Medium</v>
      </c>
      <c r="T113" s="1" t="str" cm="1">
        <f t="array" ref="T113">_xlfn.IFS(HR_Data[[#This Row],[Total Working Years]]&lt;=5,"Junior", HR_Data[[#This Row],[Total Working Years]]&lt;=15,"Mid-Level", TRUE, "Senior")</f>
        <v>Mid-Level</v>
      </c>
    </row>
    <row r="114" spans="1:20" x14ac:dyDescent="0.25">
      <c r="A114" s="1">
        <v>148</v>
      </c>
      <c r="B114" s="1">
        <v>54</v>
      </c>
      <c r="C114" t="s">
        <v>9</v>
      </c>
      <c r="D114" t="s">
        <v>23</v>
      </c>
      <c r="E114" t="s">
        <v>23</v>
      </c>
      <c r="F114" t="s">
        <v>7</v>
      </c>
      <c r="G114" t="s">
        <v>18</v>
      </c>
      <c r="H114" s="1">
        <v>4</v>
      </c>
      <c r="I114" s="1">
        <v>17328</v>
      </c>
      <c r="J114" t="s">
        <v>4</v>
      </c>
      <c r="K114" s="1">
        <v>12</v>
      </c>
      <c r="L114" s="1">
        <v>3</v>
      </c>
      <c r="M114" s="1">
        <v>23</v>
      </c>
      <c r="N114" s="1">
        <v>3</v>
      </c>
      <c r="O114" s="1">
        <v>5</v>
      </c>
      <c r="P114" s="1">
        <f>COUNTIF(HR_Data[Employee Number],HR_Data[[#This Row],[Employee Number]])</f>
        <v>1</v>
      </c>
      <c r="Q114" s="1" t="str">
        <f>IF(HR_Data[[#This Row],[Years At Company]]&lt;=HR_Data[[#This Row],[Total Working Years]],"Valid","error")</f>
        <v>Valid</v>
      </c>
      <c r="R114" s="1" t="str" cm="1">
        <f t="array" ref="R114">_xlfn.IFS(HR_Data[[#This Row],[Age]]&lt;=30,"Young", HR_Data[[#This Row],[Age]]&lt;=45,"Mid-Age",HR_Data[[#This Row],[Age]]&gt;45,"Senior")</f>
        <v>Senior</v>
      </c>
      <c r="S114" s="1" t="str" cm="1">
        <f t="array" ref="S114">_xlfn.IFS(HR_Data[[#This Row],[Monthly Income]]&lt;5000,"Low", HR_Data[[#This Row],[Monthly Income]]&lt;10000,"Medium",TRUE,"High")</f>
        <v>High</v>
      </c>
      <c r="T114" s="1" t="str" cm="1">
        <f t="array" ref="T114">_xlfn.IFS(HR_Data[[#This Row],[Total Working Years]]&lt;=5,"Junior", HR_Data[[#This Row],[Total Working Years]]&lt;=15,"Mid-Level", TRUE, "Senior")</f>
        <v>Senior</v>
      </c>
    </row>
    <row r="115" spans="1:20" x14ac:dyDescent="0.25">
      <c r="A115" s="1">
        <v>150</v>
      </c>
      <c r="B115" s="1">
        <v>24</v>
      </c>
      <c r="C115" t="s">
        <v>9</v>
      </c>
      <c r="D115" t="s">
        <v>10</v>
      </c>
      <c r="E115" t="s">
        <v>6</v>
      </c>
      <c r="F115" t="s">
        <v>11</v>
      </c>
      <c r="G115" t="s">
        <v>14</v>
      </c>
      <c r="H115" s="1">
        <v>3</v>
      </c>
      <c r="I115" s="1">
        <v>2774</v>
      </c>
      <c r="J115" t="s">
        <v>9</v>
      </c>
      <c r="K115" s="1">
        <v>12</v>
      </c>
      <c r="L115" s="1">
        <v>3</v>
      </c>
      <c r="M115" s="1">
        <v>6</v>
      </c>
      <c r="N115" s="1">
        <v>3</v>
      </c>
      <c r="O115" s="1">
        <v>5</v>
      </c>
      <c r="P115" s="1">
        <f>COUNTIF(HR_Data[Employee Number],HR_Data[[#This Row],[Employee Number]])</f>
        <v>1</v>
      </c>
      <c r="Q115" s="1" t="str">
        <f>IF(HR_Data[[#This Row],[Years At Company]]&lt;=HR_Data[[#This Row],[Total Working Years]],"Valid","error")</f>
        <v>Valid</v>
      </c>
      <c r="R115" s="1" t="str" cm="1">
        <f t="array" ref="R115">_xlfn.IFS(HR_Data[[#This Row],[Age]]&lt;=30,"Young", HR_Data[[#This Row],[Age]]&lt;=45,"Mid-Age",HR_Data[[#This Row],[Age]]&gt;45,"Senior")</f>
        <v>Young</v>
      </c>
      <c r="S115" s="1" t="str" cm="1">
        <f t="array" ref="S115">_xlfn.IFS(HR_Data[[#This Row],[Monthly Income]]&lt;5000,"Low", HR_Data[[#This Row],[Monthly Income]]&lt;10000,"Medium",TRUE,"High")</f>
        <v>Low</v>
      </c>
      <c r="T115" s="1" t="str" cm="1">
        <f t="array" ref="T115">_xlfn.IFS(HR_Data[[#This Row],[Total Working Years]]&lt;=5,"Junior", HR_Data[[#This Row],[Total Working Years]]&lt;=15,"Mid-Level", TRUE, "Senior")</f>
        <v>Mid-Level</v>
      </c>
    </row>
    <row r="116" spans="1:20" x14ac:dyDescent="0.25">
      <c r="A116" s="1">
        <v>151</v>
      </c>
      <c r="B116" s="1">
        <v>34</v>
      </c>
      <c r="C116" t="s">
        <v>9</v>
      </c>
      <c r="D116" t="s">
        <v>10</v>
      </c>
      <c r="E116" t="s">
        <v>6</v>
      </c>
      <c r="F116" t="s">
        <v>7</v>
      </c>
      <c r="G116" t="s">
        <v>12</v>
      </c>
      <c r="H116" s="1">
        <v>2</v>
      </c>
      <c r="I116" s="1">
        <v>4505</v>
      </c>
      <c r="J116" t="s">
        <v>9</v>
      </c>
      <c r="K116" s="1">
        <v>15</v>
      </c>
      <c r="L116" s="1">
        <v>3</v>
      </c>
      <c r="M116" s="1">
        <v>12</v>
      </c>
      <c r="N116" s="1">
        <v>3</v>
      </c>
      <c r="O116" s="1">
        <v>1</v>
      </c>
      <c r="P116" s="1">
        <f>COUNTIF(HR_Data[Employee Number],HR_Data[[#This Row],[Employee Number]])</f>
        <v>1</v>
      </c>
      <c r="Q116" s="1" t="str">
        <f>IF(HR_Data[[#This Row],[Years At Company]]&lt;=HR_Data[[#This Row],[Total Working Years]],"Valid","error")</f>
        <v>Valid</v>
      </c>
      <c r="R116" s="1" t="str" cm="1">
        <f t="array" ref="R116">_xlfn.IFS(HR_Data[[#This Row],[Age]]&lt;=30,"Young", HR_Data[[#This Row],[Age]]&lt;=45,"Mid-Age",HR_Data[[#This Row],[Age]]&gt;45,"Senior")</f>
        <v>Mid-Age</v>
      </c>
      <c r="S116" s="1" t="str" cm="1">
        <f t="array" ref="S116">_xlfn.IFS(HR_Data[[#This Row],[Monthly Income]]&lt;5000,"Low", HR_Data[[#This Row],[Monthly Income]]&lt;10000,"Medium",TRUE,"High")</f>
        <v>Low</v>
      </c>
      <c r="T116" s="1" t="str" cm="1">
        <f t="array" ref="T116">_xlfn.IFS(HR_Data[[#This Row],[Total Working Years]]&lt;=5,"Junior", HR_Data[[#This Row],[Total Working Years]]&lt;=15,"Mid-Level", TRUE, "Senior")</f>
        <v>Mid-Level</v>
      </c>
    </row>
    <row r="117" spans="1:20" x14ac:dyDescent="0.25">
      <c r="A117" s="1">
        <v>152</v>
      </c>
      <c r="B117" s="1">
        <v>37</v>
      </c>
      <c r="C117" t="s">
        <v>9</v>
      </c>
      <c r="D117" t="s">
        <v>5</v>
      </c>
      <c r="E117" t="s">
        <v>6</v>
      </c>
      <c r="F117" t="s">
        <v>11</v>
      </c>
      <c r="G117" t="s">
        <v>8</v>
      </c>
      <c r="H117" s="1">
        <v>4</v>
      </c>
      <c r="I117" s="1">
        <v>7428</v>
      </c>
      <c r="J117" t="s">
        <v>9</v>
      </c>
      <c r="K117" s="1">
        <v>12</v>
      </c>
      <c r="L117" s="1">
        <v>3</v>
      </c>
      <c r="M117" s="1">
        <v>12</v>
      </c>
      <c r="N117" s="1">
        <v>3</v>
      </c>
      <c r="O117" s="1">
        <v>5</v>
      </c>
      <c r="P117" s="1">
        <f>COUNTIF(HR_Data[Employee Number],HR_Data[[#This Row],[Employee Number]])</f>
        <v>1</v>
      </c>
      <c r="Q117" s="1" t="str">
        <f>IF(HR_Data[[#This Row],[Years At Company]]&lt;=HR_Data[[#This Row],[Total Working Years]],"Valid","error")</f>
        <v>Valid</v>
      </c>
      <c r="R117" s="1" t="str" cm="1">
        <f t="array" ref="R117">_xlfn.IFS(HR_Data[[#This Row],[Age]]&lt;=30,"Young", HR_Data[[#This Row],[Age]]&lt;=45,"Mid-Age",HR_Data[[#This Row],[Age]]&gt;45,"Senior")</f>
        <v>Mid-Age</v>
      </c>
      <c r="S117" s="1" t="str" cm="1">
        <f t="array" ref="S117">_xlfn.IFS(HR_Data[[#This Row],[Monthly Income]]&lt;5000,"Low", HR_Data[[#This Row],[Monthly Income]]&lt;10000,"Medium",TRUE,"High")</f>
        <v>Medium</v>
      </c>
      <c r="T117" s="1" t="str" cm="1">
        <f t="array" ref="T117">_xlfn.IFS(HR_Data[[#This Row],[Total Working Years]]&lt;=5,"Junior", HR_Data[[#This Row],[Total Working Years]]&lt;=15,"Mid-Level", TRUE, "Senior")</f>
        <v>Mid-Level</v>
      </c>
    </row>
    <row r="118" spans="1:20" x14ac:dyDescent="0.25">
      <c r="A118" s="1">
        <v>153</v>
      </c>
      <c r="B118" s="1">
        <v>34</v>
      </c>
      <c r="C118" t="s">
        <v>9</v>
      </c>
      <c r="D118" t="s">
        <v>10</v>
      </c>
      <c r="E118" t="s">
        <v>15</v>
      </c>
      <c r="F118" t="s">
        <v>7</v>
      </c>
      <c r="G118" t="s">
        <v>18</v>
      </c>
      <c r="H118" s="1">
        <v>1</v>
      </c>
      <c r="I118" s="1">
        <v>11631</v>
      </c>
      <c r="J118" t="s">
        <v>9</v>
      </c>
      <c r="K118" s="1">
        <v>12</v>
      </c>
      <c r="L118" s="1">
        <v>3</v>
      </c>
      <c r="M118" s="1">
        <v>14</v>
      </c>
      <c r="N118" s="1">
        <v>3</v>
      </c>
      <c r="O118" s="1">
        <v>11</v>
      </c>
      <c r="P118" s="1">
        <f>COUNTIF(HR_Data[Employee Number],HR_Data[[#This Row],[Employee Number]])</f>
        <v>1</v>
      </c>
      <c r="Q118" s="1" t="str">
        <f>IF(HR_Data[[#This Row],[Years At Company]]&lt;=HR_Data[[#This Row],[Total Working Years]],"Valid","error")</f>
        <v>Valid</v>
      </c>
      <c r="R118" s="1" t="str" cm="1">
        <f t="array" ref="R118">_xlfn.IFS(HR_Data[[#This Row],[Age]]&lt;=30,"Young", HR_Data[[#This Row],[Age]]&lt;=45,"Mid-Age",HR_Data[[#This Row],[Age]]&gt;45,"Senior")</f>
        <v>Mid-Age</v>
      </c>
      <c r="S118" s="1" t="str" cm="1">
        <f t="array" ref="S118">_xlfn.IFS(HR_Data[[#This Row],[Monthly Income]]&lt;5000,"Low", HR_Data[[#This Row],[Monthly Income]]&lt;10000,"Medium",TRUE,"High")</f>
        <v>High</v>
      </c>
      <c r="T118" s="1" t="str" cm="1">
        <f t="array" ref="T118">_xlfn.IFS(HR_Data[[#This Row],[Total Working Years]]&lt;=5,"Junior", HR_Data[[#This Row],[Total Working Years]]&lt;=15,"Mid-Level", TRUE, "Senior")</f>
        <v>Mid-Level</v>
      </c>
    </row>
    <row r="119" spans="1:20" x14ac:dyDescent="0.25">
      <c r="A119" s="1">
        <v>154</v>
      </c>
      <c r="B119" s="1">
        <v>36</v>
      </c>
      <c r="C119" t="s">
        <v>9</v>
      </c>
      <c r="D119" t="s">
        <v>5</v>
      </c>
      <c r="E119" t="s">
        <v>22</v>
      </c>
      <c r="F119" t="s">
        <v>7</v>
      </c>
      <c r="G119" t="s">
        <v>8</v>
      </c>
      <c r="H119" s="1">
        <v>4</v>
      </c>
      <c r="I119" s="1">
        <v>9738</v>
      </c>
      <c r="J119" t="s">
        <v>9</v>
      </c>
      <c r="K119" s="1">
        <v>14</v>
      </c>
      <c r="L119" s="1">
        <v>3</v>
      </c>
      <c r="M119" s="1">
        <v>10</v>
      </c>
      <c r="N119" s="1">
        <v>3</v>
      </c>
      <c r="O119" s="1">
        <v>9</v>
      </c>
      <c r="P119" s="1">
        <f>COUNTIF(HR_Data[Employee Number],HR_Data[[#This Row],[Employee Number]])</f>
        <v>1</v>
      </c>
      <c r="Q119" s="1" t="str">
        <f>IF(HR_Data[[#This Row],[Years At Company]]&lt;=HR_Data[[#This Row],[Total Working Years]],"Valid","error")</f>
        <v>Valid</v>
      </c>
      <c r="R119" s="1" t="str" cm="1">
        <f t="array" ref="R119">_xlfn.IFS(HR_Data[[#This Row],[Age]]&lt;=30,"Young", HR_Data[[#This Row],[Age]]&lt;=45,"Mid-Age",HR_Data[[#This Row],[Age]]&gt;45,"Senior")</f>
        <v>Mid-Age</v>
      </c>
      <c r="S119" s="1" t="str" cm="1">
        <f t="array" ref="S119">_xlfn.IFS(HR_Data[[#This Row],[Monthly Income]]&lt;5000,"Low", HR_Data[[#This Row],[Monthly Income]]&lt;10000,"Medium",TRUE,"High")</f>
        <v>Medium</v>
      </c>
      <c r="T119" s="1" t="str" cm="1">
        <f t="array" ref="T119">_xlfn.IFS(HR_Data[[#This Row],[Total Working Years]]&lt;=5,"Junior", HR_Data[[#This Row],[Total Working Years]]&lt;=15,"Mid-Level", TRUE, "Senior")</f>
        <v>Mid-Level</v>
      </c>
    </row>
    <row r="120" spans="1:20" x14ac:dyDescent="0.25">
      <c r="A120" s="1">
        <v>155</v>
      </c>
      <c r="B120" s="1">
        <v>36</v>
      </c>
      <c r="C120" t="s">
        <v>9</v>
      </c>
      <c r="D120" t="s">
        <v>10</v>
      </c>
      <c r="E120" t="s">
        <v>6</v>
      </c>
      <c r="F120" t="s">
        <v>7</v>
      </c>
      <c r="G120" t="s">
        <v>14</v>
      </c>
      <c r="H120" s="1">
        <v>4</v>
      </c>
      <c r="I120" s="1">
        <v>2835</v>
      </c>
      <c r="J120" t="s">
        <v>9</v>
      </c>
      <c r="K120" s="1">
        <v>22</v>
      </c>
      <c r="L120" s="1">
        <v>4</v>
      </c>
      <c r="M120" s="1">
        <v>7</v>
      </c>
      <c r="N120" s="1">
        <v>3</v>
      </c>
      <c r="O120" s="1">
        <v>1</v>
      </c>
      <c r="P120" s="1">
        <f>COUNTIF(HR_Data[Employee Number],HR_Data[[#This Row],[Employee Number]])</f>
        <v>1</v>
      </c>
      <c r="Q120" s="1" t="str">
        <f>IF(HR_Data[[#This Row],[Years At Company]]&lt;=HR_Data[[#This Row],[Total Working Years]],"Valid","error")</f>
        <v>Valid</v>
      </c>
      <c r="R120" s="1" t="str" cm="1">
        <f t="array" ref="R120">_xlfn.IFS(HR_Data[[#This Row],[Age]]&lt;=30,"Young", HR_Data[[#This Row],[Age]]&lt;=45,"Mid-Age",HR_Data[[#This Row],[Age]]&gt;45,"Senior")</f>
        <v>Mid-Age</v>
      </c>
      <c r="S120" s="1" t="str" cm="1">
        <f t="array" ref="S120">_xlfn.IFS(HR_Data[[#This Row],[Monthly Income]]&lt;5000,"Low", HR_Data[[#This Row],[Monthly Income]]&lt;10000,"Medium",TRUE,"High")</f>
        <v>Low</v>
      </c>
      <c r="T120" s="1" t="str" cm="1">
        <f t="array" ref="T120">_xlfn.IFS(HR_Data[[#This Row],[Total Working Years]]&lt;=5,"Junior", HR_Data[[#This Row],[Total Working Years]]&lt;=15,"Mid-Level", TRUE, "Senior")</f>
        <v>Mid-Level</v>
      </c>
    </row>
    <row r="121" spans="1:20" x14ac:dyDescent="0.25">
      <c r="A121" s="1">
        <v>158</v>
      </c>
      <c r="B121" s="1">
        <v>43</v>
      </c>
      <c r="C121" t="s">
        <v>9</v>
      </c>
      <c r="D121" t="s">
        <v>5</v>
      </c>
      <c r="E121" t="s">
        <v>6</v>
      </c>
      <c r="F121" t="s">
        <v>11</v>
      </c>
      <c r="G121" t="s">
        <v>18</v>
      </c>
      <c r="H121" s="1">
        <v>4</v>
      </c>
      <c r="I121" s="1">
        <v>16959</v>
      </c>
      <c r="J121" t="s">
        <v>4</v>
      </c>
      <c r="K121" s="1">
        <v>12</v>
      </c>
      <c r="L121" s="1">
        <v>3</v>
      </c>
      <c r="M121" s="1">
        <v>25</v>
      </c>
      <c r="N121" s="1">
        <v>4</v>
      </c>
      <c r="O121" s="1">
        <v>25</v>
      </c>
      <c r="P121" s="1">
        <f>COUNTIF(HR_Data[Employee Number],HR_Data[[#This Row],[Employee Number]])</f>
        <v>1</v>
      </c>
      <c r="Q121" s="1" t="str">
        <f>IF(HR_Data[[#This Row],[Years At Company]]&lt;=HR_Data[[#This Row],[Total Working Years]],"Valid","error")</f>
        <v>Valid</v>
      </c>
      <c r="R121" s="1" t="str" cm="1">
        <f t="array" ref="R121">_xlfn.IFS(HR_Data[[#This Row],[Age]]&lt;=30,"Young", HR_Data[[#This Row],[Age]]&lt;=45,"Mid-Age",HR_Data[[#This Row],[Age]]&gt;45,"Senior")</f>
        <v>Mid-Age</v>
      </c>
      <c r="S121" s="1" t="str" cm="1">
        <f t="array" ref="S121">_xlfn.IFS(HR_Data[[#This Row],[Monthly Income]]&lt;5000,"Low", HR_Data[[#This Row],[Monthly Income]]&lt;10000,"Medium",TRUE,"High")</f>
        <v>High</v>
      </c>
      <c r="T121" s="1" t="str" cm="1">
        <f t="array" ref="T121">_xlfn.IFS(HR_Data[[#This Row],[Total Working Years]]&lt;=5,"Junior", HR_Data[[#This Row],[Total Working Years]]&lt;=15,"Mid-Level", TRUE, "Senior")</f>
        <v>Senior</v>
      </c>
    </row>
    <row r="122" spans="1:20" x14ac:dyDescent="0.25">
      <c r="A122" s="1">
        <v>159</v>
      </c>
      <c r="B122" s="1">
        <v>30</v>
      </c>
      <c r="C122" t="s">
        <v>9</v>
      </c>
      <c r="D122" t="s">
        <v>10</v>
      </c>
      <c r="E122" t="s">
        <v>6</v>
      </c>
      <c r="F122" t="s">
        <v>11</v>
      </c>
      <c r="G122" t="s">
        <v>12</v>
      </c>
      <c r="H122" s="1">
        <v>3</v>
      </c>
      <c r="I122" s="1">
        <v>2613</v>
      </c>
      <c r="J122" t="s">
        <v>9</v>
      </c>
      <c r="K122" s="1">
        <v>25</v>
      </c>
      <c r="L122" s="1">
        <v>4</v>
      </c>
      <c r="M122" s="1">
        <v>10</v>
      </c>
      <c r="N122" s="1">
        <v>2</v>
      </c>
      <c r="O122" s="1">
        <v>10</v>
      </c>
      <c r="P122" s="1">
        <f>COUNTIF(HR_Data[Employee Number],HR_Data[[#This Row],[Employee Number]])</f>
        <v>1</v>
      </c>
      <c r="Q122" s="1" t="str">
        <f>IF(HR_Data[[#This Row],[Years At Company]]&lt;=HR_Data[[#This Row],[Total Working Years]],"Valid","error")</f>
        <v>Valid</v>
      </c>
      <c r="R122" s="1" t="str" cm="1">
        <f t="array" ref="R122">_xlfn.IFS(HR_Data[[#This Row],[Age]]&lt;=30,"Young", HR_Data[[#This Row],[Age]]&lt;=45,"Mid-Age",HR_Data[[#This Row],[Age]]&gt;45,"Senior")</f>
        <v>Young</v>
      </c>
      <c r="S122" s="1" t="str" cm="1">
        <f t="array" ref="S122">_xlfn.IFS(HR_Data[[#This Row],[Monthly Income]]&lt;5000,"Low", HR_Data[[#This Row],[Monthly Income]]&lt;10000,"Medium",TRUE,"High")</f>
        <v>Low</v>
      </c>
      <c r="T122" s="1" t="str" cm="1">
        <f t="array" ref="T122">_xlfn.IFS(HR_Data[[#This Row],[Total Working Years]]&lt;=5,"Junior", HR_Data[[#This Row],[Total Working Years]]&lt;=15,"Mid-Level", TRUE, "Senior")</f>
        <v>Mid-Level</v>
      </c>
    </row>
    <row r="123" spans="1:20" x14ac:dyDescent="0.25">
      <c r="A123" s="1">
        <v>160</v>
      </c>
      <c r="B123" s="1">
        <v>33</v>
      </c>
      <c r="C123" t="s">
        <v>9</v>
      </c>
      <c r="D123" t="s">
        <v>5</v>
      </c>
      <c r="E123" t="s">
        <v>21</v>
      </c>
      <c r="F123" t="s">
        <v>11</v>
      </c>
      <c r="G123" t="s">
        <v>8</v>
      </c>
      <c r="H123" s="1">
        <v>2</v>
      </c>
      <c r="I123" s="1">
        <v>6146</v>
      </c>
      <c r="J123" t="s">
        <v>9</v>
      </c>
      <c r="K123" s="1">
        <v>13</v>
      </c>
      <c r="L123" s="1">
        <v>3</v>
      </c>
      <c r="M123" s="1">
        <v>8</v>
      </c>
      <c r="N123" s="1">
        <v>4</v>
      </c>
      <c r="O123" s="1">
        <v>7</v>
      </c>
      <c r="P123" s="1">
        <f>COUNTIF(HR_Data[Employee Number],HR_Data[[#This Row],[Employee Number]])</f>
        <v>1</v>
      </c>
      <c r="Q123" s="1" t="str">
        <f>IF(HR_Data[[#This Row],[Years At Company]]&lt;=HR_Data[[#This Row],[Total Working Years]],"Valid","error")</f>
        <v>Valid</v>
      </c>
      <c r="R123" s="1" t="str" cm="1">
        <f t="array" ref="R123">_xlfn.IFS(HR_Data[[#This Row],[Age]]&lt;=30,"Young", HR_Data[[#This Row],[Age]]&lt;=45,"Mid-Age",HR_Data[[#This Row],[Age]]&gt;45,"Senior")</f>
        <v>Mid-Age</v>
      </c>
      <c r="S123" s="1" t="str" cm="1">
        <f t="array" ref="S123">_xlfn.IFS(HR_Data[[#This Row],[Monthly Income]]&lt;5000,"Low", HR_Data[[#This Row],[Monthly Income]]&lt;10000,"Medium",TRUE,"High")</f>
        <v>Medium</v>
      </c>
      <c r="T123" s="1" t="str" cm="1">
        <f t="array" ref="T123">_xlfn.IFS(HR_Data[[#This Row],[Total Working Years]]&lt;=5,"Junior", HR_Data[[#This Row],[Total Working Years]]&lt;=15,"Mid-Level", TRUE, "Senior")</f>
        <v>Mid-Level</v>
      </c>
    </row>
    <row r="124" spans="1:20" x14ac:dyDescent="0.25">
      <c r="A124" s="1">
        <v>161</v>
      </c>
      <c r="B124" s="1">
        <v>56</v>
      </c>
      <c r="C124" t="s">
        <v>4</v>
      </c>
      <c r="D124" t="s">
        <v>10</v>
      </c>
      <c r="E124" t="s">
        <v>6</v>
      </c>
      <c r="F124" t="s">
        <v>7</v>
      </c>
      <c r="G124" t="s">
        <v>12</v>
      </c>
      <c r="H124" s="1">
        <v>2</v>
      </c>
      <c r="I124" s="1">
        <v>4963</v>
      </c>
      <c r="J124" t="s">
        <v>4</v>
      </c>
      <c r="K124" s="1">
        <v>18</v>
      </c>
      <c r="L124" s="1">
        <v>3</v>
      </c>
      <c r="M124" s="1">
        <v>7</v>
      </c>
      <c r="N124" s="1">
        <v>3</v>
      </c>
      <c r="O124" s="1">
        <v>5</v>
      </c>
      <c r="P124" s="1">
        <f>COUNTIF(HR_Data[Employee Number],HR_Data[[#This Row],[Employee Number]])</f>
        <v>1</v>
      </c>
      <c r="Q124" s="1" t="str">
        <f>IF(HR_Data[[#This Row],[Years At Company]]&lt;=HR_Data[[#This Row],[Total Working Years]],"Valid","error")</f>
        <v>Valid</v>
      </c>
      <c r="R124" s="1" t="str" cm="1">
        <f t="array" ref="R124">_xlfn.IFS(HR_Data[[#This Row],[Age]]&lt;=30,"Young", HR_Data[[#This Row],[Age]]&lt;=45,"Mid-Age",HR_Data[[#This Row],[Age]]&gt;45,"Senior")</f>
        <v>Senior</v>
      </c>
      <c r="S124" s="1" t="str" cm="1">
        <f t="array" ref="S124">_xlfn.IFS(HR_Data[[#This Row],[Monthly Income]]&lt;5000,"Low", HR_Data[[#This Row],[Monthly Income]]&lt;10000,"Medium",TRUE,"High")</f>
        <v>Low</v>
      </c>
      <c r="T124" s="1" t="str" cm="1">
        <f t="array" ref="T124">_xlfn.IFS(HR_Data[[#This Row],[Total Working Years]]&lt;=5,"Junior", HR_Data[[#This Row],[Total Working Years]]&lt;=15,"Mid-Level", TRUE, "Senior")</f>
        <v>Mid-Level</v>
      </c>
    </row>
    <row r="125" spans="1:20" x14ac:dyDescent="0.25">
      <c r="A125" s="1">
        <v>162</v>
      </c>
      <c r="B125" s="1">
        <v>51</v>
      </c>
      <c r="C125" t="s">
        <v>9</v>
      </c>
      <c r="D125" t="s">
        <v>10</v>
      </c>
      <c r="E125" t="s">
        <v>6</v>
      </c>
      <c r="F125" t="s">
        <v>11</v>
      </c>
      <c r="G125" t="s">
        <v>20</v>
      </c>
      <c r="H125" s="1">
        <v>3</v>
      </c>
      <c r="I125" s="1">
        <v>19537</v>
      </c>
      <c r="J125" t="s">
        <v>9</v>
      </c>
      <c r="K125" s="1">
        <v>13</v>
      </c>
      <c r="L125" s="1">
        <v>3</v>
      </c>
      <c r="M125" s="1">
        <v>23</v>
      </c>
      <c r="N125" s="1">
        <v>3</v>
      </c>
      <c r="O125" s="1">
        <v>20</v>
      </c>
      <c r="P125" s="1">
        <f>COUNTIF(HR_Data[Employee Number],HR_Data[[#This Row],[Employee Number]])</f>
        <v>1</v>
      </c>
      <c r="Q125" s="1" t="str">
        <f>IF(HR_Data[[#This Row],[Years At Company]]&lt;=HR_Data[[#This Row],[Total Working Years]],"Valid","error")</f>
        <v>Valid</v>
      </c>
      <c r="R125" s="1" t="str" cm="1">
        <f t="array" ref="R125">_xlfn.IFS(HR_Data[[#This Row],[Age]]&lt;=30,"Young", HR_Data[[#This Row],[Age]]&lt;=45,"Mid-Age",HR_Data[[#This Row],[Age]]&gt;45,"Senior")</f>
        <v>Senior</v>
      </c>
      <c r="S125" s="1" t="str" cm="1">
        <f t="array" ref="S125">_xlfn.IFS(HR_Data[[#This Row],[Monthly Income]]&lt;5000,"Low", HR_Data[[#This Row],[Monthly Income]]&lt;10000,"Medium",TRUE,"High")</f>
        <v>High</v>
      </c>
      <c r="T125" s="1" t="str" cm="1">
        <f t="array" ref="T125">_xlfn.IFS(HR_Data[[#This Row],[Total Working Years]]&lt;=5,"Junior", HR_Data[[#This Row],[Total Working Years]]&lt;=15,"Mid-Level", TRUE, "Senior")</f>
        <v>Senior</v>
      </c>
    </row>
    <row r="126" spans="1:20" x14ac:dyDescent="0.25">
      <c r="A126" s="1">
        <v>163</v>
      </c>
      <c r="B126" s="1">
        <v>31</v>
      </c>
      <c r="C126" t="s">
        <v>4</v>
      </c>
      <c r="D126" t="s">
        <v>5</v>
      </c>
      <c r="E126" t="s">
        <v>6</v>
      </c>
      <c r="F126" t="s">
        <v>11</v>
      </c>
      <c r="G126" t="s">
        <v>8</v>
      </c>
      <c r="H126" s="1">
        <v>3</v>
      </c>
      <c r="I126" s="1">
        <v>6172</v>
      </c>
      <c r="J126" t="s">
        <v>4</v>
      </c>
      <c r="K126" s="1">
        <v>18</v>
      </c>
      <c r="L126" s="1">
        <v>3</v>
      </c>
      <c r="M126" s="1">
        <v>12</v>
      </c>
      <c r="N126" s="1">
        <v>2</v>
      </c>
      <c r="O126" s="1">
        <v>7</v>
      </c>
      <c r="P126" s="1">
        <f>COUNTIF(HR_Data[Employee Number],HR_Data[[#This Row],[Employee Number]])</f>
        <v>1</v>
      </c>
      <c r="Q126" s="1" t="str">
        <f>IF(HR_Data[[#This Row],[Years At Company]]&lt;=HR_Data[[#This Row],[Total Working Years]],"Valid","error")</f>
        <v>Valid</v>
      </c>
      <c r="R126" s="1" t="str" cm="1">
        <f t="array" ref="R126">_xlfn.IFS(HR_Data[[#This Row],[Age]]&lt;=30,"Young", HR_Data[[#This Row],[Age]]&lt;=45,"Mid-Age",HR_Data[[#This Row],[Age]]&gt;45,"Senior")</f>
        <v>Mid-Age</v>
      </c>
      <c r="S126" s="1" t="str" cm="1">
        <f t="array" ref="S126">_xlfn.IFS(HR_Data[[#This Row],[Monthly Income]]&lt;5000,"Low", HR_Data[[#This Row],[Monthly Income]]&lt;10000,"Medium",TRUE,"High")</f>
        <v>Medium</v>
      </c>
      <c r="T126" s="1" t="str" cm="1">
        <f t="array" ref="T126">_xlfn.IFS(HR_Data[[#This Row],[Total Working Years]]&lt;=5,"Junior", HR_Data[[#This Row],[Total Working Years]]&lt;=15,"Mid-Level", TRUE, "Senior")</f>
        <v>Mid-Level</v>
      </c>
    </row>
    <row r="127" spans="1:20" x14ac:dyDescent="0.25">
      <c r="A127" s="1">
        <v>164</v>
      </c>
      <c r="B127" s="1">
        <v>26</v>
      </c>
      <c r="C127" t="s">
        <v>9</v>
      </c>
      <c r="D127" t="s">
        <v>10</v>
      </c>
      <c r="E127" t="s">
        <v>13</v>
      </c>
      <c r="F127" t="s">
        <v>7</v>
      </c>
      <c r="G127" t="s">
        <v>12</v>
      </c>
      <c r="H127" s="1">
        <v>2</v>
      </c>
      <c r="I127" s="1">
        <v>2368</v>
      </c>
      <c r="J127" t="s">
        <v>9</v>
      </c>
      <c r="K127" s="1">
        <v>19</v>
      </c>
      <c r="L127" s="1">
        <v>3</v>
      </c>
      <c r="M127" s="1">
        <v>5</v>
      </c>
      <c r="N127" s="1">
        <v>2</v>
      </c>
      <c r="O127" s="1">
        <v>5</v>
      </c>
      <c r="P127" s="1">
        <f>COUNTIF(HR_Data[Employee Number],HR_Data[[#This Row],[Employee Number]])</f>
        <v>1</v>
      </c>
      <c r="Q127" s="1" t="str">
        <f>IF(HR_Data[[#This Row],[Years At Company]]&lt;=HR_Data[[#This Row],[Total Working Years]],"Valid","error")</f>
        <v>Valid</v>
      </c>
      <c r="R127" s="1" t="str" cm="1">
        <f t="array" ref="R127">_xlfn.IFS(HR_Data[[#This Row],[Age]]&lt;=30,"Young", HR_Data[[#This Row],[Age]]&lt;=45,"Mid-Age",HR_Data[[#This Row],[Age]]&gt;45,"Senior")</f>
        <v>Young</v>
      </c>
      <c r="S127" s="1" t="str" cm="1">
        <f t="array" ref="S127">_xlfn.IFS(HR_Data[[#This Row],[Monthly Income]]&lt;5000,"Low", HR_Data[[#This Row],[Monthly Income]]&lt;10000,"Medium",TRUE,"High")</f>
        <v>Low</v>
      </c>
      <c r="T127" s="1" t="str" cm="1">
        <f t="array" ref="T127">_xlfn.IFS(HR_Data[[#This Row],[Total Working Years]]&lt;=5,"Junior", HR_Data[[#This Row],[Total Working Years]]&lt;=15,"Mid-Level", TRUE, "Senior")</f>
        <v>Junior</v>
      </c>
    </row>
    <row r="128" spans="1:20" x14ac:dyDescent="0.25">
      <c r="A128" s="1">
        <v>165</v>
      </c>
      <c r="B128" s="1">
        <v>58</v>
      </c>
      <c r="C128" t="s">
        <v>4</v>
      </c>
      <c r="D128" t="s">
        <v>10</v>
      </c>
      <c r="E128" t="s">
        <v>15</v>
      </c>
      <c r="F128" t="s">
        <v>7</v>
      </c>
      <c r="G128" t="s">
        <v>17</v>
      </c>
      <c r="H128" s="1">
        <v>4</v>
      </c>
      <c r="I128" s="1">
        <v>10312</v>
      </c>
      <c r="J128" t="s">
        <v>9</v>
      </c>
      <c r="K128" s="1">
        <v>12</v>
      </c>
      <c r="L128" s="1">
        <v>3</v>
      </c>
      <c r="M128" s="1">
        <v>40</v>
      </c>
      <c r="N128" s="1">
        <v>2</v>
      </c>
      <c r="O128" s="1">
        <v>40</v>
      </c>
      <c r="P128" s="1">
        <f>COUNTIF(HR_Data[Employee Number],HR_Data[[#This Row],[Employee Number]])</f>
        <v>1</v>
      </c>
      <c r="Q128" s="1" t="str">
        <f>IF(HR_Data[[#This Row],[Years At Company]]&lt;=HR_Data[[#This Row],[Total Working Years]],"Valid","error")</f>
        <v>Valid</v>
      </c>
      <c r="R128" s="1" t="str" cm="1">
        <f t="array" ref="R128">_xlfn.IFS(HR_Data[[#This Row],[Age]]&lt;=30,"Young", HR_Data[[#This Row],[Age]]&lt;=45,"Mid-Age",HR_Data[[#This Row],[Age]]&gt;45,"Senior")</f>
        <v>Senior</v>
      </c>
      <c r="S128" s="1" t="str" cm="1">
        <f t="array" ref="S128">_xlfn.IFS(HR_Data[[#This Row],[Monthly Income]]&lt;5000,"Low", HR_Data[[#This Row],[Monthly Income]]&lt;10000,"Medium",TRUE,"High")</f>
        <v>High</v>
      </c>
      <c r="T128" s="1" t="str" cm="1">
        <f t="array" ref="T128">_xlfn.IFS(HR_Data[[#This Row],[Total Working Years]]&lt;=5,"Junior", HR_Data[[#This Row],[Total Working Years]]&lt;=15,"Mid-Level", TRUE, "Senior")</f>
        <v>Senior</v>
      </c>
    </row>
    <row r="129" spans="1:20" x14ac:dyDescent="0.25">
      <c r="A129" s="1">
        <v>167</v>
      </c>
      <c r="B129" s="1">
        <v>19</v>
      </c>
      <c r="C129" t="s">
        <v>4</v>
      </c>
      <c r="D129" t="s">
        <v>5</v>
      </c>
      <c r="E129" t="s">
        <v>21</v>
      </c>
      <c r="F129" t="s">
        <v>11</v>
      </c>
      <c r="G129" t="s">
        <v>19</v>
      </c>
      <c r="H129" s="1">
        <v>3</v>
      </c>
      <c r="I129" s="1">
        <v>1675</v>
      </c>
      <c r="J129" t="s">
        <v>4</v>
      </c>
      <c r="K129" s="1">
        <v>19</v>
      </c>
      <c r="L129" s="1">
        <v>3</v>
      </c>
      <c r="M129" s="1">
        <v>0</v>
      </c>
      <c r="N129" s="1">
        <v>2</v>
      </c>
      <c r="O129" s="1">
        <v>0</v>
      </c>
      <c r="P129" s="1">
        <f>COUNTIF(HR_Data[Employee Number],HR_Data[[#This Row],[Employee Number]])</f>
        <v>1</v>
      </c>
      <c r="Q129" s="1" t="str">
        <f>IF(HR_Data[[#This Row],[Years At Company]]&lt;=HR_Data[[#This Row],[Total Working Years]],"Valid","error")</f>
        <v>Valid</v>
      </c>
      <c r="R129" s="1" t="str" cm="1">
        <f t="array" ref="R129">_xlfn.IFS(HR_Data[[#This Row],[Age]]&lt;=30,"Young", HR_Data[[#This Row],[Age]]&lt;=45,"Mid-Age",HR_Data[[#This Row],[Age]]&gt;45,"Senior")</f>
        <v>Young</v>
      </c>
      <c r="S129" s="1" t="str" cm="1">
        <f t="array" ref="S129">_xlfn.IFS(HR_Data[[#This Row],[Monthly Income]]&lt;5000,"Low", HR_Data[[#This Row],[Monthly Income]]&lt;10000,"Medium",TRUE,"High")</f>
        <v>Low</v>
      </c>
      <c r="T129" s="1" t="str" cm="1">
        <f t="array" ref="T129">_xlfn.IFS(HR_Data[[#This Row],[Total Working Years]]&lt;=5,"Junior", HR_Data[[#This Row],[Total Working Years]]&lt;=15,"Mid-Level", TRUE, "Senior")</f>
        <v>Junior</v>
      </c>
    </row>
    <row r="130" spans="1:20" x14ac:dyDescent="0.25">
      <c r="A130" s="1">
        <v>169</v>
      </c>
      <c r="B130" s="1">
        <v>22</v>
      </c>
      <c r="C130" t="s">
        <v>9</v>
      </c>
      <c r="D130" t="s">
        <v>10</v>
      </c>
      <c r="E130" t="s">
        <v>22</v>
      </c>
      <c r="F130" t="s">
        <v>11</v>
      </c>
      <c r="G130" t="s">
        <v>14</v>
      </c>
      <c r="H130" s="1">
        <v>4</v>
      </c>
      <c r="I130" s="1">
        <v>2523</v>
      </c>
      <c r="J130" t="s">
        <v>9</v>
      </c>
      <c r="K130" s="1">
        <v>14</v>
      </c>
      <c r="L130" s="1">
        <v>3</v>
      </c>
      <c r="M130" s="1">
        <v>3</v>
      </c>
      <c r="N130" s="1">
        <v>3</v>
      </c>
      <c r="O130" s="1">
        <v>2</v>
      </c>
      <c r="P130" s="1">
        <f>COUNTIF(HR_Data[Employee Number],HR_Data[[#This Row],[Employee Number]])</f>
        <v>1</v>
      </c>
      <c r="Q130" s="1" t="str">
        <f>IF(HR_Data[[#This Row],[Years At Company]]&lt;=HR_Data[[#This Row],[Total Working Years]],"Valid","error")</f>
        <v>Valid</v>
      </c>
      <c r="R130" s="1" t="str" cm="1">
        <f t="array" ref="R130">_xlfn.IFS(HR_Data[[#This Row],[Age]]&lt;=30,"Young", HR_Data[[#This Row],[Age]]&lt;=45,"Mid-Age",HR_Data[[#This Row],[Age]]&gt;45,"Senior")</f>
        <v>Young</v>
      </c>
      <c r="S130" s="1" t="str" cm="1">
        <f t="array" ref="S130">_xlfn.IFS(HR_Data[[#This Row],[Monthly Income]]&lt;5000,"Low", HR_Data[[#This Row],[Monthly Income]]&lt;10000,"Medium",TRUE,"High")</f>
        <v>Low</v>
      </c>
      <c r="T130" s="1" t="str" cm="1">
        <f t="array" ref="T130">_xlfn.IFS(HR_Data[[#This Row],[Total Working Years]]&lt;=5,"Junior", HR_Data[[#This Row],[Total Working Years]]&lt;=15,"Mid-Level", TRUE, "Senior")</f>
        <v>Junior</v>
      </c>
    </row>
    <row r="131" spans="1:20" x14ac:dyDescent="0.25">
      <c r="A131" s="1">
        <v>170</v>
      </c>
      <c r="B131" s="1">
        <v>49</v>
      </c>
      <c r="C131" t="s">
        <v>9</v>
      </c>
      <c r="D131" t="s">
        <v>10</v>
      </c>
      <c r="E131" t="s">
        <v>15</v>
      </c>
      <c r="F131" t="s">
        <v>7</v>
      </c>
      <c r="G131" t="s">
        <v>16</v>
      </c>
      <c r="H131" s="1">
        <v>1</v>
      </c>
      <c r="I131" s="1">
        <v>6567</v>
      </c>
      <c r="J131" t="s">
        <v>9</v>
      </c>
      <c r="K131" s="1">
        <v>14</v>
      </c>
      <c r="L131" s="1">
        <v>3</v>
      </c>
      <c r="M131" s="1">
        <v>16</v>
      </c>
      <c r="N131" s="1">
        <v>2</v>
      </c>
      <c r="O131" s="1">
        <v>15</v>
      </c>
      <c r="P131" s="1">
        <f>COUNTIF(HR_Data[Employee Number],HR_Data[[#This Row],[Employee Number]])</f>
        <v>1</v>
      </c>
      <c r="Q131" s="1" t="str">
        <f>IF(HR_Data[[#This Row],[Years At Company]]&lt;=HR_Data[[#This Row],[Total Working Years]],"Valid","error")</f>
        <v>Valid</v>
      </c>
      <c r="R131" s="1" t="str" cm="1">
        <f t="array" ref="R131">_xlfn.IFS(HR_Data[[#This Row],[Age]]&lt;=30,"Young", HR_Data[[#This Row],[Age]]&lt;=45,"Mid-Age",HR_Data[[#This Row],[Age]]&gt;45,"Senior")</f>
        <v>Senior</v>
      </c>
      <c r="S131" s="1" t="str" cm="1">
        <f t="array" ref="S131">_xlfn.IFS(HR_Data[[#This Row],[Monthly Income]]&lt;5000,"Low", HR_Data[[#This Row],[Monthly Income]]&lt;10000,"Medium",TRUE,"High")</f>
        <v>Medium</v>
      </c>
      <c r="T131" s="1" t="str" cm="1">
        <f t="array" ref="T131">_xlfn.IFS(HR_Data[[#This Row],[Total Working Years]]&lt;=5,"Junior", HR_Data[[#This Row],[Total Working Years]]&lt;=15,"Mid-Level", TRUE, "Senior")</f>
        <v>Senior</v>
      </c>
    </row>
    <row r="132" spans="1:20" x14ac:dyDescent="0.25">
      <c r="A132" s="1">
        <v>171</v>
      </c>
      <c r="B132" s="1">
        <v>43</v>
      </c>
      <c r="C132" t="s">
        <v>9</v>
      </c>
      <c r="D132" t="s">
        <v>10</v>
      </c>
      <c r="E132" t="s">
        <v>15</v>
      </c>
      <c r="F132" t="s">
        <v>7</v>
      </c>
      <c r="G132" t="s">
        <v>12</v>
      </c>
      <c r="H132" s="1">
        <v>3</v>
      </c>
      <c r="I132" s="1">
        <v>4739</v>
      </c>
      <c r="J132" t="s">
        <v>9</v>
      </c>
      <c r="K132" s="1">
        <v>12</v>
      </c>
      <c r="L132" s="1">
        <v>3</v>
      </c>
      <c r="M132" s="1">
        <v>18</v>
      </c>
      <c r="N132" s="1">
        <v>3</v>
      </c>
      <c r="O132" s="1">
        <v>3</v>
      </c>
      <c r="P132" s="1">
        <f>COUNTIF(HR_Data[Employee Number],HR_Data[[#This Row],[Employee Number]])</f>
        <v>1</v>
      </c>
      <c r="Q132" s="1" t="str">
        <f>IF(HR_Data[[#This Row],[Years At Company]]&lt;=HR_Data[[#This Row],[Total Working Years]],"Valid","error")</f>
        <v>Valid</v>
      </c>
      <c r="R132" s="1" t="str" cm="1">
        <f t="array" ref="R132">_xlfn.IFS(HR_Data[[#This Row],[Age]]&lt;=30,"Young", HR_Data[[#This Row],[Age]]&lt;=45,"Mid-Age",HR_Data[[#This Row],[Age]]&gt;45,"Senior")</f>
        <v>Mid-Age</v>
      </c>
      <c r="S132" s="1" t="str" cm="1">
        <f t="array" ref="S132">_xlfn.IFS(HR_Data[[#This Row],[Monthly Income]]&lt;5000,"Low", HR_Data[[#This Row],[Monthly Income]]&lt;10000,"Medium",TRUE,"High")</f>
        <v>Low</v>
      </c>
      <c r="T132" s="1" t="str" cm="1">
        <f t="array" ref="T132">_xlfn.IFS(HR_Data[[#This Row],[Total Working Years]]&lt;=5,"Junior", HR_Data[[#This Row],[Total Working Years]]&lt;=15,"Mid-Level", TRUE, "Senior")</f>
        <v>Senior</v>
      </c>
    </row>
    <row r="133" spans="1:20" x14ac:dyDescent="0.25">
      <c r="A133" s="1">
        <v>174</v>
      </c>
      <c r="B133" s="1">
        <v>50</v>
      </c>
      <c r="C133" t="s">
        <v>9</v>
      </c>
      <c r="D133" t="s">
        <v>5</v>
      </c>
      <c r="E133" t="s">
        <v>21</v>
      </c>
      <c r="F133" t="s">
        <v>7</v>
      </c>
      <c r="G133" t="s">
        <v>8</v>
      </c>
      <c r="H133" s="1">
        <v>4</v>
      </c>
      <c r="I133" s="1">
        <v>9208</v>
      </c>
      <c r="J133" t="s">
        <v>9</v>
      </c>
      <c r="K133" s="1">
        <v>11</v>
      </c>
      <c r="L133" s="1">
        <v>3</v>
      </c>
      <c r="M133" s="1">
        <v>16</v>
      </c>
      <c r="N133" s="1">
        <v>3</v>
      </c>
      <c r="O133" s="1">
        <v>2</v>
      </c>
      <c r="P133" s="1">
        <f>COUNTIF(HR_Data[Employee Number],HR_Data[[#This Row],[Employee Number]])</f>
        <v>1</v>
      </c>
      <c r="Q133" s="1" t="str">
        <f>IF(HR_Data[[#This Row],[Years At Company]]&lt;=HR_Data[[#This Row],[Total Working Years]],"Valid","error")</f>
        <v>Valid</v>
      </c>
      <c r="R133" s="1" t="str" cm="1">
        <f t="array" ref="R133">_xlfn.IFS(HR_Data[[#This Row],[Age]]&lt;=30,"Young", HR_Data[[#This Row],[Age]]&lt;=45,"Mid-Age",HR_Data[[#This Row],[Age]]&gt;45,"Senior")</f>
        <v>Senior</v>
      </c>
      <c r="S133" s="1" t="str" cm="1">
        <f t="array" ref="S133">_xlfn.IFS(HR_Data[[#This Row],[Monthly Income]]&lt;5000,"Low", HR_Data[[#This Row],[Monthly Income]]&lt;10000,"Medium",TRUE,"High")</f>
        <v>Medium</v>
      </c>
      <c r="T133" s="1" t="str" cm="1">
        <f t="array" ref="T133">_xlfn.IFS(HR_Data[[#This Row],[Total Working Years]]&lt;=5,"Junior", HR_Data[[#This Row],[Total Working Years]]&lt;=15,"Mid-Level", TRUE, "Senior")</f>
        <v>Senior</v>
      </c>
    </row>
    <row r="134" spans="1:20" x14ac:dyDescent="0.25">
      <c r="A134" s="1">
        <v>175</v>
      </c>
      <c r="B134" s="1">
        <v>31</v>
      </c>
      <c r="C134" t="s">
        <v>4</v>
      </c>
      <c r="D134" t="s">
        <v>5</v>
      </c>
      <c r="E134" t="s">
        <v>6</v>
      </c>
      <c r="F134" t="s">
        <v>7</v>
      </c>
      <c r="G134" t="s">
        <v>8</v>
      </c>
      <c r="H134" s="1">
        <v>3</v>
      </c>
      <c r="I134" s="1">
        <v>4559</v>
      </c>
      <c r="J134" t="s">
        <v>4</v>
      </c>
      <c r="K134" s="1">
        <v>11</v>
      </c>
      <c r="L134" s="1">
        <v>3</v>
      </c>
      <c r="M134" s="1">
        <v>4</v>
      </c>
      <c r="N134" s="1">
        <v>3</v>
      </c>
      <c r="O134" s="1">
        <v>2</v>
      </c>
      <c r="P134" s="1">
        <f>COUNTIF(HR_Data[Employee Number],HR_Data[[#This Row],[Employee Number]])</f>
        <v>1</v>
      </c>
      <c r="Q134" s="1" t="str">
        <f>IF(HR_Data[[#This Row],[Years At Company]]&lt;=HR_Data[[#This Row],[Total Working Years]],"Valid","error")</f>
        <v>Valid</v>
      </c>
      <c r="R134" s="1" t="str" cm="1">
        <f t="array" ref="R134">_xlfn.IFS(HR_Data[[#This Row],[Age]]&lt;=30,"Young", HR_Data[[#This Row],[Age]]&lt;=45,"Mid-Age",HR_Data[[#This Row],[Age]]&gt;45,"Senior")</f>
        <v>Mid-Age</v>
      </c>
      <c r="S134" s="1" t="str" cm="1">
        <f t="array" ref="S134">_xlfn.IFS(HR_Data[[#This Row],[Monthly Income]]&lt;5000,"Low", HR_Data[[#This Row],[Monthly Income]]&lt;10000,"Medium",TRUE,"High")</f>
        <v>Low</v>
      </c>
      <c r="T134" s="1" t="str" cm="1">
        <f t="array" ref="T134">_xlfn.IFS(HR_Data[[#This Row],[Total Working Years]]&lt;=5,"Junior", HR_Data[[#This Row],[Total Working Years]]&lt;=15,"Mid-Level", TRUE, "Senior")</f>
        <v>Junior</v>
      </c>
    </row>
    <row r="135" spans="1:20" x14ac:dyDescent="0.25">
      <c r="A135" s="1">
        <v>176</v>
      </c>
      <c r="B135" s="1">
        <v>41</v>
      </c>
      <c r="C135" t="s">
        <v>9</v>
      </c>
      <c r="D135" t="s">
        <v>5</v>
      </c>
      <c r="E135" t="s">
        <v>6</v>
      </c>
      <c r="F135" t="s">
        <v>11</v>
      </c>
      <c r="G135" t="s">
        <v>8</v>
      </c>
      <c r="H135" s="1">
        <v>3</v>
      </c>
      <c r="I135" s="1">
        <v>8189</v>
      </c>
      <c r="J135" t="s">
        <v>4</v>
      </c>
      <c r="K135" s="1">
        <v>13</v>
      </c>
      <c r="L135" s="1">
        <v>3</v>
      </c>
      <c r="M135" s="1">
        <v>12</v>
      </c>
      <c r="N135" s="1">
        <v>3</v>
      </c>
      <c r="O135" s="1">
        <v>9</v>
      </c>
      <c r="P135" s="1">
        <f>COUNTIF(HR_Data[Employee Number],HR_Data[[#This Row],[Employee Number]])</f>
        <v>1</v>
      </c>
      <c r="Q135" s="1" t="str">
        <f>IF(HR_Data[[#This Row],[Years At Company]]&lt;=HR_Data[[#This Row],[Total Working Years]],"Valid","error")</f>
        <v>Valid</v>
      </c>
      <c r="R135" s="1" t="str" cm="1">
        <f t="array" ref="R135">_xlfn.IFS(HR_Data[[#This Row],[Age]]&lt;=30,"Young", HR_Data[[#This Row],[Age]]&lt;=45,"Mid-Age",HR_Data[[#This Row],[Age]]&gt;45,"Senior")</f>
        <v>Mid-Age</v>
      </c>
      <c r="S135" s="1" t="str" cm="1">
        <f t="array" ref="S135">_xlfn.IFS(HR_Data[[#This Row],[Monthly Income]]&lt;5000,"Low", HR_Data[[#This Row],[Monthly Income]]&lt;10000,"Medium",TRUE,"High")</f>
        <v>Medium</v>
      </c>
      <c r="T135" s="1" t="str" cm="1">
        <f t="array" ref="T135">_xlfn.IFS(HR_Data[[#This Row],[Total Working Years]]&lt;=5,"Junior", HR_Data[[#This Row],[Total Working Years]]&lt;=15,"Mid-Level", TRUE, "Senior")</f>
        <v>Mid-Level</v>
      </c>
    </row>
    <row r="136" spans="1:20" x14ac:dyDescent="0.25">
      <c r="A136" s="1">
        <v>177</v>
      </c>
      <c r="B136" s="1">
        <v>26</v>
      </c>
      <c r="C136" t="s">
        <v>9</v>
      </c>
      <c r="D136" t="s">
        <v>23</v>
      </c>
      <c r="E136" t="s">
        <v>6</v>
      </c>
      <c r="F136" t="s">
        <v>7</v>
      </c>
      <c r="G136" t="s">
        <v>23</v>
      </c>
      <c r="H136" s="1">
        <v>3</v>
      </c>
      <c r="I136" s="1">
        <v>2942</v>
      </c>
      <c r="J136" t="s">
        <v>9</v>
      </c>
      <c r="K136" s="1">
        <v>23</v>
      </c>
      <c r="L136" s="1">
        <v>4</v>
      </c>
      <c r="M136" s="1">
        <v>8</v>
      </c>
      <c r="N136" s="1">
        <v>3</v>
      </c>
      <c r="O136" s="1">
        <v>8</v>
      </c>
      <c r="P136" s="1">
        <f>COUNTIF(HR_Data[Employee Number],HR_Data[[#This Row],[Employee Number]])</f>
        <v>1</v>
      </c>
      <c r="Q136" s="1" t="str">
        <f>IF(HR_Data[[#This Row],[Years At Company]]&lt;=HR_Data[[#This Row],[Total Working Years]],"Valid","error")</f>
        <v>Valid</v>
      </c>
      <c r="R136" s="1" t="str" cm="1">
        <f t="array" ref="R136">_xlfn.IFS(HR_Data[[#This Row],[Age]]&lt;=30,"Young", HR_Data[[#This Row],[Age]]&lt;=45,"Mid-Age",HR_Data[[#This Row],[Age]]&gt;45,"Senior")</f>
        <v>Young</v>
      </c>
      <c r="S136" s="1" t="str" cm="1">
        <f t="array" ref="S136">_xlfn.IFS(HR_Data[[#This Row],[Monthly Income]]&lt;5000,"Low", HR_Data[[#This Row],[Monthly Income]]&lt;10000,"Medium",TRUE,"High")</f>
        <v>Low</v>
      </c>
      <c r="T136" s="1" t="str" cm="1">
        <f t="array" ref="T136">_xlfn.IFS(HR_Data[[#This Row],[Total Working Years]]&lt;=5,"Junior", HR_Data[[#This Row],[Total Working Years]]&lt;=15,"Mid-Level", TRUE, "Senior")</f>
        <v>Mid-Level</v>
      </c>
    </row>
    <row r="137" spans="1:20" x14ac:dyDescent="0.25">
      <c r="A137" s="1">
        <v>178</v>
      </c>
      <c r="B137" s="1">
        <v>36</v>
      </c>
      <c r="C137" t="s">
        <v>9</v>
      </c>
      <c r="D137" t="s">
        <v>10</v>
      </c>
      <c r="E137" t="s">
        <v>15</v>
      </c>
      <c r="F137" t="s">
        <v>11</v>
      </c>
      <c r="G137" t="s">
        <v>16</v>
      </c>
      <c r="H137" s="1">
        <v>2</v>
      </c>
      <c r="I137" s="1">
        <v>4941</v>
      </c>
      <c r="J137" t="s">
        <v>9</v>
      </c>
      <c r="K137" s="1">
        <v>20</v>
      </c>
      <c r="L137" s="1">
        <v>4</v>
      </c>
      <c r="M137" s="1">
        <v>7</v>
      </c>
      <c r="N137" s="1">
        <v>3</v>
      </c>
      <c r="O137" s="1">
        <v>3</v>
      </c>
      <c r="P137" s="1">
        <f>COUNTIF(HR_Data[Employee Number],HR_Data[[#This Row],[Employee Number]])</f>
        <v>1</v>
      </c>
      <c r="Q137" s="1" t="str">
        <f>IF(HR_Data[[#This Row],[Years At Company]]&lt;=HR_Data[[#This Row],[Total Working Years]],"Valid","error")</f>
        <v>Valid</v>
      </c>
      <c r="R137" s="1" t="str" cm="1">
        <f t="array" ref="R137">_xlfn.IFS(HR_Data[[#This Row],[Age]]&lt;=30,"Young", HR_Data[[#This Row],[Age]]&lt;=45,"Mid-Age",HR_Data[[#This Row],[Age]]&gt;45,"Senior")</f>
        <v>Mid-Age</v>
      </c>
      <c r="S137" s="1" t="str" cm="1">
        <f t="array" ref="S137">_xlfn.IFS(HR_Data[[#This Row],[Monthly Income]]&lt;5000,"Low", HR_Data[[#This Row],[Monthly Income]]&lt;10000,"Medium",TRUE,"High")</f>
        <v>Low</v>
      </c>
      <c r="T137" s="1" t="str" cm="1">
        <f t="array" ref="T137">_xlfn.IFS(HR_Data[[#This Row],[Total Working Years]]&lt;=5,"Junior", HR_Data[[#This Row],[Total Working Years]]&lt;=15,"Mid-Level", TRUE, "Senior")</f>
        <v>Mid-Level</v>
      </c>
    </row>
    <row r="138" spans="1:20" x14ac:dyDescent="0.25">
      <c r="A138" s="1">
        <v>179</v>
      </c>
      <c r="B138" s="1">
        <v>51</v>
      </c>
      <c r="C138" t="s">
        <v>4</v>
      </c>
      <c r="D138" t="s">
        <v>10</v>
      </c>
      <c r="E138" t="s">
        <v>6</v>
      </c>
      <c r="F138" t="s">
        <v>11</v>
      </c>
      <c r="G138" t="s">
        <v>16</v>
      </c>
      <c r="H138" s="1">
        <v>4</v>
      </c>
      <c r="I138" s="1">
        <v>10650</v>
      </c>
      <c r="J138" t="s">
        <v>9</v>
      </c>
      <c r="K138" s="1">
        <v>15</v>
      </c>
      <c r="L138" s="1">
        <v>3</v>
      </c>
      <c r="M138" s="1">
        <v>18</v>
      </c>
      <c r="N138" s="1">
        <v>3</v>
      </c>
      <c r="O138" s="1">
        <v>4</v>
      </c>
      <c r="P138" s="1">
        <f>COUNTIF(HR_Data[Employee Number],HR_Data[[#This Row],[Employee Number]])</f>
        <v>1</v>
      </c>
      <c r="Q138" s="1" t="str">
        <f>IF(HR_Data[[#This Row],[Years At Company]]&lt;=HR_Data[[#This Row],[Total Working Years]],"Valid","error")</f>
        <v>Valid</v>
      </c>
      <c r="R138" s="1" t="str" cm="1">
        <f t="array" ref="R138">_xlfn.IFS(HR_Data[[#This Row],[Age]]&lt;=30,"Young", HR_Data[[#This Row],[Age]]&lt;=45,"Mid-Age",HR_Data[[#This Row],[Age]]&gt;45,"Senior")</f>
        <v>Senior</v>
      </c>
      <c r="S138" s="1" t="str" cm="1">
        <f t="array" ref="S138">_xlfn.IFS(HR_Data[[#This Row],[Monthly Income]]&lt;5000,"Low", HR_Data[[#This Row],[Monthly Income]]&lt;10000,"Medium",TRUE,"High")</f>
        <v>High</v>
      </c>
      <c r="T138" s="1" t="str" cm="1">
        <f t="array" ref="T138">_xlfn.IFS(HR_Data[[#This Row],[Total Working Years]]&lt;=5,"Junior", HR_Data[[#This Row],[Total Working Years]]&lt;=15,"Mid-Level", TRUE, "Senior")</f>
        <v>Senior</v>
      </c>
    </row>
    <row r="139" spans="1:20" x14ac:dyDescent="0.25">
      <c r="A139" s="1">
        <v>182</v>
      </c>
      <c r="B139" s="1">
        <v>39</v>
      </c>
      <c r="C139" t="s">
        <v>9</v>
      </c>
      <c r="D139" t="s">
        <v>5</v>
      </c>
      <c r="E139" t="s">
        <v>6</v>
      </c>
      <c r="F139" t="s">
        <v>7</v>
      </c>
      <c r="G139" t="s">
        <v>8</v>
      </c>
      <c r="H139" s="1">
        <v>3</v>
      </c>
      <c r="I139" s="1">
        <v>5902</v>
      </c>
      <c r="J139" t="s">
        <v>9</v>
      </c>
      <c r="K139" s="1">
        <v>14</v>
      </c>
      <c r="L139" s="1">
        <v>3</v>
      </c>
      <c r="M139" s="1">
        <v>17</v>
      </c>
      <c r="N139" s="1">
        <v>4</v>
      </c>
      <c r="O139" s="1">
        <v>15</v>
      </c>
      <c r="P139" s="1">
        <f>COUNTIF(HR_Data[Employee Number],HR_Data[[#This Row],[Employee Number]])</f>
        <v>1</v>
      </c>
      <c r="Q139" s="1" t="str">
        <f>IF(HR_Data[[#This Row],[Years At Company]]&lt;=HR_Data[[#This Row],[Total Working Years]],"Valid","error")</f>
        <v>Valid</v>
      </c>
      <c r="R139" s="1" t="str" cm="1">
        <f t="array" ref="R139">_xlfn.IFS(HR_Data[[#This Row],[Age]]&lt;=30,"Young", HR_Data[[#This Row],[Age]]&lt;=45,"Mid-Age",HR_Data[[#This Row],[Age]]&gt;45,"Senior")</f>
        <v>Mid-Age</v>
      </c>
      <c r="S139" s="1" t="str" cm="1">
        <f t="array" ref="S139">_xlfn.IFS(HR_Data[[#This Row],[Monthly Income]]&lt;5000,"Low", HR_Data[[#This Row],[Monthly Income]]&lt;10000,"Medium",TRUE,"High")</f>
        <v>Medium</v>
      </c>
      <c r="T139" s="1" t="str" cm="1">
        <f t="array" ref="T139">_xlfn.IFS(HR_Data[[#This Row],[Total Working Years]]&lt;=5,"Junior", HR_Data[[#This Row],[Total Working Years]]&lt;=15,"Mid-Level", TRUE, "Senior")</f>
        <v>Senior</v>
      </c>
    </row>
    <row r="140" spans="1:20" x14ac:dyDescent="0.25">
      <c r="A140" s="1">
        <v>183</v>
      </c>
      <c r="B140" s="1">
        <v>25</v>
      </c>
      <c r="C140" t="s">
        <v>9</v>
      </c>
      <c r="D140" t="s">
        <v>5</v>
      </c>
      <c r="E140" t="s">
        <v>6</v>
      </c>
      <c r="F140" t="s">
        <v>11</v>
      </c>
      <c r="G140" t="s">
        <v>8</v>
      </c>
      <c r="H140" s="1">
        <v>3</v>
      </c>
      <c r="I140" s="1">
        <v>8639</v>
      </c>
      <c r="J140" t="s">
        <v>9</v>
      </c>
      <c r="K140" s="1">
        <v>18</v>
      </c>
      <c r="L140" s="1">
        <v>3</v>
      </c>
      <c r="M140" s="1">
        <v>6</v>
      </c>
      <c r="N140" s="1">
        <v>3</v>
      </c>
      <c r="O140" s="1">
        <v>2</v>
      </c>
      <c r="P140" s="1">
        <f>COUNTIF(HR_Data[Employee Number],HR_Data[[#This Row],[Employee Number]])</f>
        <v>1</v>
      </c>
      <c r="Q140" s="1" t="str">
        <f>IF(HR_Data[[#This Row],[Years At Company]]&lt;=HR_Data[[#This Row],[Total Working Years]],"Valid","error")</f>
        <v>Valid</v>
      </c>
      <c r="R140" s="1" t="str" cm="1">
        <f t="array" ref="R140">_xlfn.IFS(HR_Data[[#This Row],[Age]]&lt;=30,"Young", HR_Data[[#This Row],[Age]]&lt;=45,"Mid-Age",HR_Data[[#This Row],[Age]]&gt;45,"Senior")</f>
        <v>Young</v>
      </c>
      <c r="S140" s="1" t="str" cm="1">
        <f t="array" ref="S140">_xlfn.IFS(HR_Data[[#This Row],[Monthly Income]]&lt;5000,"Low", HR_Data[[#This Row],[Monthly Income]]&lt;10000,"Medium",TRUE,"High")</f>
        <v>Medium</v>
      </c>
      <c r="T140" s="1" t="str" cm="1">
        <f t="array" ref="T140">_xlfn.IFS(HR_Data[[#This Row],[Total Working Years]]&lt;=5,"Junior", HR_Data[[#This Row],[Total Working Years]]&lt;=15,"Mid-Level", TRUE, "Senior")</f>
        <v>Mid-Level</v>
      </c>
    </row>
    <row r="141" spans="1:20" x14ac:dyDescent="0.25">
      <c r="A141" s="1">
        <v>184</v>
      </c>
      <c r="B141" s="1">
        <v>30</v>
      </c>
      <c r="C141" t="s">
        <v>9</v>
      </c>
      <c r="D141" t="s">
        <v>23</v>
      </c>
      <c r="E141" t="s">
        <v>23</v>
      </c>
      <c r="F141" t="s">
        <v>11</v>
      </c>
      <c r="G141" t="s">
        <v>23</v>
      </c>
      <c r="H141" s="1">
        <v>4</v>
      </c>
      <c r="I141" s="1">
        <v>6347</v>
      </c>
      <c r="J141" t="s">
        <v>4</v>
      </c>
      <c r="K141" s="1">
        <v>19</v>
      </c>
      <c r="L141" s="1">
        <v>3</v>
      </c>
      <c r="M141" s="1">
        <v>12</v>
      </c>
      <c r="N141" s="1">
        <v>1</v>
      </c>
      <c r="O141" s="1">
        <v>11</v>
      </c>
      <c r="P141" s="1">
        <f>COUNTIF(HR_Data[Employee Number],HR_Data[[#This Row],[Employee Number]])</f>
        <v>1</v>
      </c>
      <c r="Q141" s="1" t="str">
        <f>IF(HR_Data[[#This Row],[Years At Company]]&lt;=HR_Data[[#This Row],[Total Working Years]],"Valid","error")</f>
        <v>Valid</v>
      </c>
      <c r="R141" s="1" t="str" cm="1">
        <f t="array" ref="R141">_xlfn.IFS(HR_Data[[#This Row],[Age]]&lt;=30,"Young", HR_Data[[#This Row],[Age]]&lt;=45,"Mid-Age",HR_Data[[#This Row],[Age]]&gt;45,"Senior")</f>
        <v>Young</v>
      </c>
      <c r="S141" s="1" t="str" cm="1">
        <f t="array" ref="S141">_xlfn.IFS(HR_Data[[#This Row],[Monthly Income]]&lt;5000,"Low", HR_Data[[#This Row],[Monthly Income]]&lt;10000,"Medium",TRUE,"High")</f>
        <v>Medium</v>
      </c>
      <c r="T141" s="1" t="str" cm="1">
        <f t="array" ref="T141">_xlfn.IFS(HR_Data[[#This Row],[Total Working Years]]&lt;=5,"Junior", HR_Data[[#This Row],[Total Working Years]]&lt;=15,"Mid-Level", TRUE, "Senior")</f>
        <v>Mid-Level</v>
      </c>
    </row>
    <row r="142" spans="1:20" x14ac:dyDescent="0.25">
      <c r="A142" s="1">
        <v>190</v>
      </c>
      <c r="B142" s="1">
        <v>32</v>
      </c>
      <c r="C142" t="s">
        <v>4</v>
      </c>
      <c r="D142" t="s">
        <v>10</v>
      </c>
      <c r="E142" t="s">
        <v>15</v>
      </c>
      <c r="F142" t="s">
        <v>7</v>
      </c>
      <c r="G142" t="s">
        <v>14</v>
      </c>
      <c r="H142" s="1">
        <v>1</v>
      </c>
      <c r="I142" s="1">
        <v>4200</v>
      </c>
      <c r="J142" t="s">
        <v>9</v>
      </c>
      <c r="K142" s="1">
        <v>22</v>
      </c>
      <c r="L142" s="1">
        <v>4</v>
      </c>
      <c r="M142" s="1">
        <v>10</v>
      </c>
      <c r="N142" s="1">
        <v>4</v>
      </c>
      <c r="O142" s="1">
        <v>5</v>
      </c>
      <c r="P142" s="1">
        <f>COUNTIF(HR_Data[Employee Number],HR_Data[[#This Row],[Employee Number]])</f>
        <v>1</v>
      </c>
      <c r="Q142" s="1" t="str">
        <f>IF(HR_Data[[#This Row],[Years At Company]]&lt;=HR_Data[[#This Row],[Total Working Years]],"Valid","error")</f>
        <v>Valid</v>
      </c>
      <c r="R142" s="1" t="str" cm="1">
        <f t="array" ref="R142">_xlfn.IFS(HR_Data[[#This Row],[Age]]&lt;=30,"Young", HR_Data[[#This Row],[Age]]&lt;=45,"Mid-Age",HR_Data[[#This Row],[Age]]&gt;45,"Senior")</f>
        <v>Mid-Age</v>
      </c>
      <c r="S142" s="1" t="str" cm="1">
        <f t="array" ref="S142">_xlfn.IFS(HR_Data[[#This Row],[Monthly Income]]&lt;5000,"Low", HR_Data[[#This Row],[Monthly Income]]&lt;10000,"Medium",TRUE,"High")</f>
        <v>Low</v>
      </c>
      <c r="T142" s="1" t="str" cm="1">
        <f t="array" ref="T142">_xlfn.IFS(HR_Data[[#This Row],[Total Working Years]]&lt;=5,"Junior", HR_Data[[#This Row],[Total Working Years]]&lt;=15,"Mid-Level", TRUE, "Senior")</f>
        <v>Mid-Level</v>
      </c>
    </row>
    <row r="143" spans="1:20" x14ac:dyDescent="0.25">
      <c r="A143" s="1">
        <v>192</v>
      </c>
      <c r="B143" s="1">
        <v>45</v>
      </c>
      <c r="C143" t="s">
        <v>9</v>
      </c>
      <c r="D143" t="s">
        <v>10</v>
      </c>
      <c r="E143" t="s">
        <v>15</v>
      </c>
      <c r="F143" t="s">
        <v>11</v>
      </c>
      <c r="G143" t="s">
        <v>12</v>
      </c>
      <c r="H143" s="1">
        <v>4</v>
      </c>
      <c r="I143" s="1">
        <v>3452</v>
      </c>
      <c r="J143" t="s">
        <v>9</v>
      </c>
      <c r="K143" s="1">
        <v>13</v>
      </c>
      <c r="L143" s="1">
        <v>3</v>
      </c>
      <c r="M143" s="1">
        <v>9</v>
      </c>
      <c r="N143" s="1">
        <v>2</v>
      </c>
      <c r="O143" s="1">
        <v>6</v>
      </c>
      <c r="P143" s="1">
        <f>COUNTIF(HR_Data[Employee Number],HR_Data[[#This Row],[Employee Number]])</f>
        <v>1</v>
      </c>
      <c r="Q143" s="1" t="str">
        <f>IF(HR_Data[[#This Row],[Years At Company]]&lt;=HR_Data[[#This Row],[Total Working Years]],"Valid","error")</f>
        <v>Valid</v>
      </c>
      <c r="R143" s="1" t="str" cm="1">
        <f t="array" ref="R143">_xlfn.IFS(HR_Data[[#This Row],[Age]]&lt;=30,"Young", HR_Data[[#This Row],[Age]]&lt;=45,"Mid-Age",HR_Data[[#This Row],[Age]]&gt;45,"Senior")</f>
        <v>Mid-Age</v>
      </c>
      <c r="S143" s="1" t="str" cm="1">
        <f t="array" ref="S143">_xlfn.IFS(HR_Data[[#This Row],[Monthly Income]]&lt;5000,"Low", HR_Data[[#This Row],[Monthly Income]]&lt;10000,"Medium",TRUE,"High")</f>
        <v>Low</v>
      </c>
      <c r="T143" s="1" t="str" cm="1">
        <f t="array" ref="T143">_xlfn.IFS(HR_Data[[#This Row],[Total Working Years]]&lt;=5,"Junior", HR_Data[[#This Row],[Total Working Years]]&lt;=15,"Mid-Level", TRUE, "Senior")</f>
        <v>Mid-Level</v>
      </c>
    </row>
    <row r="144" spans="1:20" x14ac:dyDescent="0.25">
      <c r="A144" s="1">
        <v>193</v>
      </c>
      <c r="B144" s="1">
        <v>38</v>
      </c>
      <c r="C144" t="s">
        <v>9</v>
      </c>
      <c r="D144" t="s">
        <v>10</v>
      </c>
      <c r="E144" t="s">
        <v>22</v>
      </c>
      <c r="F144" t="s">
        <v>7</v>
      </c>
      <c r="G144" t="s">
        <v>12</v>
      </c>
      <c r="H144" s="1">
        <v>3</v>
      </c>
      <c r="I144" s="1">
        <v>4317</v>
      </c>
      <c r="J144" t="s">
        <v>4</v>
      </c>
      <c r="K144" s="1">
        <v>20</v>
      </c>
      <c r="L144" s="1">
        <v>4</v>
      </c>
      <c r="M144" s="1">
        <v>19</v>
      </c>
      <c r="N144" s="1">
        <v>3</v>
      </c>
      <c r="O144" s="1">
        <v>3</v>
      </c>
      <c r="P144" s="1">
        <f>COUNTIF(HR_Data[Employee Number],HR_Data[[#This Row],[Employee Number]])</f>
        <v>1</v>
      </c>
      <c r="Q144" s="1" t="str">
        <f>IF(HR_Data[[#This Row],[Years At Company]]&lt;=HR_Data[[#This Row],[Total Working Years]],"Valid","error")</f>
        <v>Valid</v>
      </c>
      <c r="R144" s="1" t="str" cm="1">
        <f t="array" ref="R144">_xlfn.IFS(HR_Data[[#This Row],[Age]]&lt;=30,"Young", HR_Data[[#This Row],[Age]]&lt;=45,"Mid-Age",HR_Data[[#This Row],[Age]]&gt;45,"Senior")</f>
        <v>Mid-Age</v>
      </c>
      <c r="S144" s="1" t="str" cm="1">
        <f t="array" ref="S144">_xlfn.IFS(HR_Data[[#This Row],[Monthly Income]]&lt;5000,"Low", HR_Data[[#This Row],[Monthly Income]]&lt;10000,"Medium",TRUE,"High")</f>
        <v>Low</v>
      </c>
      <c r="T144" s="1" t="str" cm="1">
        <f t="array" ref="T144">_xlfn.IFS(HR_Data[[#This Row],[Total Working Years]]&lt;=5,"Junior", HR_Data[[#This Row],[Total Working Years]]&lt;=15,"Mid-Level", TRUE, "Senior")</f>
        <v>Senior</v>
      </c>
    </row>
    <row r="145" spans="1:20" x14ac:dyDescent="0.25">
      <c r="A145" s="1">
        <v>194</v>
      </c>
      <c r="B145" s="1">
        <v>30</v>
      </c>
      <c r="C145" t="s">
        <v>9</v>
      </c>
      <c r="D145" t="s">
        <v>10</v>
      </c>
      <c r="E145" t="s">
        <v>6</v>
      </c>
      <c r="F145" t="s">
        <v>7</v>
      </c>
      <c r="G145" t="s">
        <v>12</v>
      </c>
      <c r="H145" s="1">
        <v>3</v>
      </c>
      <c r="I145" s="1">
        <v>2632</v>
      </c>
      <c r="J145" t="s">
        <v>9</v>
      </c>
      <c r="K145" s="1">
        <v>14</v>
      </c>
      <c r="L145" s="1">
        <v>3</v>
      </c>
      <c r="M145" s="1">
        <v>5</v>
      </c>
      <c r="N145" s="1">
        <v>2</v>
      </c>
      <c r="O145" s="1">
        <v>5</v>
      </c>
      <c r="P145" s="1">
        <f>COUNTIF(HR_Data[Employee Number],HR_Data[[#This Row],[Employee Number]])</f>
        <v>1</v>
      </c>
      <c r="Q145" s="1" t="str">
        <f>IF(HR_Data[[#This Row],[Years At Company]]&lt;=HR_Data[[#This Row],[Total Working Years]],"Valid","error")</f>
        <v>Valid</v>
      </c>
      <c r="R145" s="1" t="str" cm="1">
        <f t="array" ref="R145">_xlfn.IFS(HR_Data[[#This Row],[Age]]&lt;=30,"Young", HR_Data[[#This Row],[Age]]&lt;=45,"Mid-Age",HR_Data[[#This Row],[Age]]&gt;45,"Senior")</f>
        <v>Young</v>
      </c>
      <c r="S145" s="1" t="str" cm="1">
        <f t="array" ref="S145">_xlfn.IFS(HR_Data[[#This Row],[Monthly Income]]&lt;5000,"Low", HR_Data[[#This Row],[Monthly Income]]&lt;10000,"Medium",TRUE,"High")</f>
        <v>Low</v>
      </c>
      <c r="T145" s="1" t="str" cm="1">
        <f t="array" ref="T145">_xlfn.IFS(HR_Data[[#This Row],[Total Working Years]]&lt;=5,"Junior", HR_Data[[#This Row],[Total Working Years]]&lt;=15,"Mid-Level", TRUE, "Senior")</f>
        <v>Junior</v>
      </c>
    </row>
    <row r="146" spans="1:20" x14ac:dyDescent="0.25">
      <c r="A146" s="1">
        <v>195</v>
      </c>
      <c r="B146" s="1">
        <v>32</v>
      </c>
      <c r="C146" t="s">
        <v>9</v>
      </c>
      <c r="D146" t="s">
        <v>5</v>
      </c>
      <c r="E146" t="s">
        <v>15</v>
      </c>
      <c r="F146" t="s">
        <v>11</v>
      </c>
      <c r="G146" t="s">
        <v>8</v>
      </c>
      <c r="H146" s="1">
        <v>4</v>
      </c>
      <c r="I146" s="1">
        <v>4668</v>
      </c>
      <c r="J146" t="s">
        <v>9</v>
      </c>
      <c r="K146" s="1">
        <v>17</v>
      </c>
      <c r="L146" s="1">
        <v>3</v>
      </c>
      <c r="M146" s="1">
        <v>9</v>
      </c>
      <c r="N146" s="1">
        <v>4</v>
      </c>
      <c r="O146" s="1">
        <v>8</v>
      </c>
      <c r="P146" s="1">
        <f>COUNTIF(HR_Data[Employee Number],HR_Data[[#This Row],[Employee Number]])</f>
        <v>1</v>
      </c>
      <c r="Q146" s="1" t="str">
        <f>IF(HR_Data[[#This Row],[Years At Company]]&lt;=HR_Data[[#This Row],[Total Working Years]],"Valid","error")</f>
        <v>Valid</v>
      </c>
      <c r="R146" s="1" t="str" cm="1">
        <f t="array" ref="R146">_xlfn.IFS(HR_Data[[#This Row],[Age]]&lt;=30,"Young", HR_Data[[#This Row],[Age]]&lt;=45,"Mid-Age",HR_Data[[#This Row],[Age]]&gt;45,"Senior")</f>
        <v>Mid-Age</v>
      </c>
      <c r="S146" s="1" t="str" cm="1">
        <f t="array" ref="S146">_xlfn.IFS(HR_Data[[#This Row],[Monthly Income]]&lt;5000,"Low", HR_Data[[#This Row],[Monthly Income]]&lt;10000,"Medium",TRUE,"High")</f>
        <v>Low</v>
      </c>
      <c r="T146" s="1" t="str" cm="1">
        <f t="array" ref="T146">_xlfn.IFS(HR_Data[[#This Row],[Total Working Years]]&lt;=5,"Junior", HR_Data[[#This Row],[Total Working Years]]&lt;=15,"Mid-Level", TRUE, "Senior")</f>
        <v>Mid-Level</v>
      </c>
    </row>
    <row r="147" spans="1:20" x14ac:dyDescent="0.25">
      <c r="A147" s="1">
        <v>197</v>
      </c>
      <c r="B147" s="1">
        <v>30</v>
      </c>
      <c r="C147" t="s">
        <v>9</v>
      </c>
      <c r="D147" t="s">
        <v>10</v>
      </c>
      <c r="E147" t="s">
        <v>22</v>
      </c>
      <c r="F147" t="s">
        <v>7</v>
      </c>
      <c r="G147" t="s">
        <v>12</v>
      </c>
      <c r="H147" s="1">
        <v>1</v>
      </c>
      <c r="I147" s="1">
        <v>3204</v>
      </c>
      <c r="J147" t="s">
        <v>9</v>
      </c>
      <c r="K147" s="1">
        <v>14</v>
      </c>
      <c r="L147" s="1">
        <v>3</v>
      </c>
      <c r="M147" s="1">
        <v>8</v>
      </c>
      <c r="N147" s="1">
        <v>3</v>
      </c>
      <c r="O147" s="1">
        <v>3</v>
      </c>
      <c r="P147" s="1">
        <f>COUNTIF(HR_Data[Employee Number],HR_Data[[#This Row],[Employee Number]])</f>
        <v>1</v>
      </c>
      <c r="Q147" s="1" t="str">
        <f>IF(HR_Data[[#This Row],[Years At Company]]&lt;=HR_Data[[#This Row],[Total Working Years]],"Valid","error")</f>
        <v>Valid</v>
      </c>
      <c r="R147" s="1" t="str" cm="1">
        <f t="array" ref="R147">_xlfn.IFS(HR_Data[[#This Row],[Age]]&lt;=30,"Young", HR_Data[[#This Row],[Age]]&lt;=45,"Mid-Age",HR_Data[[#This Row],[Age]]&gt;45,"Senior")</f>
        <v>Young</v>
      </c>
      <c r="S147" s="1" t="str" cm="1">
        <f t="array" ref="S147">_xlfn.IFS(HR_Data[[#This Row],[Monthly Income]]&lt;5000,"Low", HR_Data[[#This Row],[Monthly Income]]&lt;10000,"Medium",TRUE,"High")</f>
        <v>Low</v>
      </c>
      <c r="T147" s="1" t="str" cm="1">
        <f t="array" ref="T147">_xlfn.IFS(HR_Data[[#This Row],[Total Working Years]]&lt;=5,"Junior", HR_Data[[#This Row],[Total Working Years]]&lt;=15,"Mid-Level", TRUE, "Senior")</f>
        <v>Mid-Level</v>
      </c>
    </row>
    <row r="148" spans="1:20" x14ac:dyDescent="0.25">
      <c r="A148" s="1">
        <v>198</v>
      </c>
      <c r="B148" s="1">
        <v>30</v>
      </c>
      <c r="C148" t="s">
        <v>9</v>
      </c>
      <c r="D148" t="s">
        <v>10</v>
      </c>
      <c r="E148" t="s">
        <v>15</v>
      </c>
      <c r="F148" t="s">
        <v>11</v>
      </c>
      <c r="G148" t="s">
        <v>14</v>
      </c>
      <c r="H148" s="1">
        <v>4</v>
      </c>
      <c r="I148" s="1">
        <v>2720</v>
      </c>
      <c r="J148" t="s">
        <v>9</v>
      </c>
      <c r="K148" s="1">
        <v>13</v>
      </c>
      <c r="L148" s="1">
        <v>3</v>
      </c>
      <c r="M148" s="1">
        <v>6</v>
      </c>
      <c r="N148" s="1">
        <v>3</v>
      </c>
      <c r="O148" s="1">
        <v>5</v>
      </c>
      <c r="P148" s="1">
        <f>COUNTIF(HR_Data[Employee Number],HR_Data[[#This Row],[Employee Number]])</f>
        <v>1</v>
      </c>
      <c r="Q148" s="1" t="str">
        <f>IF(HR_Data[[#This Row],[Years At Company]]&lt;=HR_Data[[#This Row],[Total Working Years]],"Valid","error")</f>
        <v>Valid</v>
      </c>
      <c r="R148" s="1" t="str" cm="1">
        <f t="array" ref="R148">_xlfn.IFS(HR_Data[[#This Row],[Age]]&lt;=30,"Young", HR_Data[[#This Row],[Age]]&lt;=45,"Mid-Age",HR_Data[[#This Row],[Age]]&gt;45,"Senior")</f>
        <v>Young</v>
      </c>
      <c r="S148" s="1" t="str" cm="1">
        <f t="array" ref="S148">_xlfn.IFS(HR_Data[[#This Row],[Monthly Income]]&lt;5000,"Low", HR_Data[[#This Row],[Monthly Income]]&lt;10000,"Medium",TRUE,"High")</f>
        <v>Low</v>
      </c>
      <c r="T148" s="1" t="str" cm="1">
        <f t="array" ref="T148">_xlfn.IFS(HR_Data[[#This Row],[Total Working Years]]&lt;=5,"Junior", HR_Data[[#This Row],[Total Working Years]]&lt;=15,"Mid-Level", TRUE, "Senior")</f>
        <v>Mid-Level</v>
      </c>
    </row>
    <row r="149" spans="1:20" x14ac:dyDescent="0.25">
      <c r="A149" s="1">
        <v>199</v>
      </c>
      <c r="B149" s="1">
        <v>41</v>
      </c>
      <c r="C149" t="s">
        <v>9</v>
      </c>
      <c r="D149" t="s">
        <v>10</v>
      </c>
      <c r="E149" t="s">
        <v>6</v>
      </c>
      <c r="F149" t="s">
        <v>11</v>
      </c>
      <c r="G149" t="s">
        <v>18</v>
      </c>
      <c r="H149" s="1">
        <v>1</v>
      </c>
      <c r="I149" s="1">
        <v>17181</v>
      </c>
      <c r="J149" t="s">
        <v>9</v>
      </c>
      <c r="K149" s="1">
        <v>13</v>
      </c>
      <c r="L149" s="1">
        <v>3</v>
      </c>
      <c r="M149" s="1">
        <v>21</v>
      </c>
      <c r="N149" s="1">
        <v>2</v>
      </c>
      <c r="O149" s="1">
        <v>7</v>
      </c>
      <c r="P149" s="1">
        <f>COUNTIF(HR_Data[Employee Number],HR_Data[[#This Row],[Employee Number]])</f>
        <v>1</v>
      </c>
      <c r="Q149" s="1" t="str">
        <f>IF(HR_Data[[#This Row],[Years At Company]]&lt;=HR_Data[[#This Row],[Total Working Years]],"Valid","error")</f>
        <v>Valid</v>
      </c>
      <c r="R149" s="1" t="str" cm="1">
        <f t="array" ref="R149">_xlfn.IFS(HR_Data[[#This Row],[Age]]&lt;=30,"Young", HR_Data[[#This Row],[Age]]&lt;=45,"Mid-Age",HR_Data[[#This Row],[Age]]&gt;45,"Senior")</f>
        <v>Mid-Age</v>
      </c>
      <c r="S149" s="1" t="str" cm="1">
        <f t="array" ref="S149">_xlfn.IFS(HR_Data[[#This Row],[Monthly Income]]&lt;5000,"Low", HR_Data[[#This Row],[Monthly Income]]&lt;10000,"Medium",TRUE,"High")</f>
        <v>High</v>
      </c>
      <c r="T149" s="1" t="str" cm="1">
        <f t="array" ref="T149">_xlfn.IFS(HR_Data[[#This Row],[Total Working Years]]&lt;=5,"Junior", HR_Data[[#This Row],[Total Working Years]]&lt;=15,"Mid-Level", TRUE, "Senior")</f>
        <v>Senior</v>
      </c>
    </row>
    <row r="150" spans="1:20" x14ac:dyDescent="0.25">
      <c r="A150" s="1">
        <v>200</v>
      </c>
      <c r="B150" s="1">
        <v>41</v>
      </c>
      <c r="C150" t="s">
        <v>9</v>
      </c>
      <c r="D150" t="s">
        <v>10</v>
      </c>
      <c r="E150" t="s">
        <v>6</v>
      </c>
      <c r="F150" t="s">
        <v>11</v>
      </c>
      <c r="G150" t="s">
        <v>14</v>
      </c>
      <c r="H150" s="1">
        <v>1</v>
      </c>
      <c r="I150" s="1">
        <v>2238</v>
      </c>
      <c r="J150" t="s">
        <v>9</v>
      </c>
      <c r="K150" s="1">
        <v>21</v>
      </c>
      <c r="L150" s="1">
        <v>4</v>
      </c>
      <c r="M150" s="1">
        <v>7</v>
      </c>
      <c r="N150" s="1">
        <v>3</v>
      </c>
      <c r="O150" s="1">
        <v>5</v>
      </c>
      <c r="P150" s="1">
        <f>COUNTIF(HR_Data[Employee Number],HR_Data[[#This Row],[Employee Number]])</f>
        <v>1</v>
      </c>
      <c r="Q150" s="1" t="str">
        <f>IF(HR_Data[[#This Row],[Years At Company]]&lt;=HR_Data[[#This Row],[Total Working Years]],"Valid","error")</f>
        <v>Valid</v>
      </c>
      <c r="R150" s="1" t="str" cm="1">
        <f t="array" ref="R150">_xlfn.IFS(HR_Data[[#This Row],[Age]]&lt;=30,"Young", HR_Data[[#This Row],[Age]]&lt;=45,"Mid-Age",HR_Data[[#This Row],[Age]]&gt;45,"Senior")</f>
        <v>Mid-Age</v>
      </c>
      <c r="S150" s="1" t="str" cm="1">
        <f t="array" ref="S150">_xlfn.IFS(HR_Data[[#This Row],[Monthly Income]]&lt;5000,"Low", HR_Data[[#This Row],[Monthly Income]]&lt;10000,"Medium",TRUE,"High")</f>
        <v>Low</v>
      </c>
      <c r="T150" s="1" t="str" cm="1">
        <f t="array" ref="T150">_xlfn.IFS(HR_Data[[#This Row],[Total Working Years]]&lt;=5,"Junior", HR_Data[[#This Row],[Total Working Years]]&lt;=15,"Mid-Level", TRUE, "Senior")</f>
        <v>Mid-Level</v>
      </c>
    </row>
    <row r="151" spans="1:20" x14ac:dyDescent="0.25">
      <c r="A151" s="1">
        <v>201</v>
      </c>
      <c r="B151" s="1">
        <v>19</v>
      </c>
      <c r="C151" t="s">
        <v>9</v>
      </c>
      <c r="D151" t="s">
        <v>10</v>
      </c>
      <c r="E151" t="s">
        <v>15</v>
      </c>
      <c r="F151" t="s">
        <v>7</v>
      </c>
      <c r="G151" t="s">
        <v>14</v>
      </c>
      <c r="H151" s="1">
        <v>2</v>
      </c>
      <c r="I151" s="1">
        <v>1483</v>
      </c>
      <c r="J151" t="s">
        <v>9</v>
      </c>
      <c r="K151" s="1">
        <v>14</v>
      </c>
      <c r="L151" s="1">
        <v>3</v>
      </c>
      <c r="M151" s="1">
        <v>1</v>
      </c>
      <c r="N151" s="1">
        <v>3</v>
      </c>
      <c r="O151" s="1">
        <v>1</v>
      </c>
      <c r="P151" s="1">
        <f>COUNTIF(HR_Data[Employee Number],HR_Data[[#This Row],[Employee Number]])</f>
        <v>1</v>
      </c>
      <c r="Q151" s="1" t="str">
        <f>IF(HR_Data[[#This Row],[Years At Company]]&lt;=HR_Data[[#This Row],[Total Working Years]],"Valid","error")</f>
        <v>Valid</v>
      </c>
      <c r="R151" s="1" t="str" cm="1">
        <f t="array" ref="R151">_xlfn.IFS(HR_Data[[#This Row],[Age]]&lt;=30,"Young", HR_Data[[#This Row],[Age]]&lt;=45,"Mid-Age",HR_Data[[#This Row],[Age]]&gt;45,"Senior")</f>
        <v>Young</v>
      </c>
      <c r="S151" s="1" t="str" cm="1">
        <f t="array" ref="S151">_xlfn.IFS(HR_Data[[#This Row],[Monthly Income]]&lt;5000,"Low", HR_Data[[#This Row],[Monthly Income]]&lt;10000,"Medium",TRUE,"High")</f>
        <v>Low</v>
      </c>
      <c r="T151" s="1" t="str" cm="1">
        <f t="array" ref="T151">_xlfn.IFS(HR_Data[[#This Row],[Total Working Years]]&lt;=5,"Junior", HR_Data[[#This Row],[Total Working Years]]&lt;=15,"Mid-Level", TRUE, "Senior")</f>
        <v>Junior</v>
      </c>
    </row>
    <row r="152" spans="1:20" x14ac:dyDescent="0.25">
      <c r="A152" s="1">
        <v>202</v>
      </c>
      <c r="B152" s="1">
        <v>40</v>
      </c>
      <c r="C152" t="s">
        <v>9</v>
      </c>
      <c r="D152" t="s">
        <v>10</v>
      </c>
      <c r="E152" t="s">
        <v>15</v>
      </c>
      <c r="F152" t="s">
        <v>7</v>
      </c>
      <c r="G152" t="s">
        <v>12</v>
      </c>
      <c r="H152" s="1">
        <v>2</v>
      </c>
      <c r="I152" s="1">
        <v>5605</v>
      </c>
      <c r="J152" t="s">
        <v>9</v>
      </c>
      <c r="K152" s="1">
        <v>11</v>
      </c>
      <c r="L152" s="1">
        <v>3</v>
      </c>
      <c r="M152" s="1">
        <v>20</v>
      </c>
      <c r="N152" s="1">
        <v>3</v>
      </c>
      <c r="O152" s="1">
        <v>20</v>
      </c>
      <c r="P152" s="1">
        <f>COUNTIF(HR_Data[Employee Number],HR_Data[[#This Row],[Employee Number]])</f>
        <v>1</v>
      </c>
      <c r="Q152" s="1" t="str">
        <f>IF(HR_Data[[#This Row],[Years At Company]]&lt;=HR_Data[[#This Row],[Total Working Years]],"Valid","error")</f>
        <v>Valid</v>
      </c>
      <c r="R152" s="1" t="str" cm="1">
        <f t="array" ref="R152">_xlfn.IFS(HR_Data[[#This Row],[Age]]&lt;=30,"Young", HR_Data[[#This Row],[Age]]&lt;=45,"Mid-Age",HR_Data[[#This Row],[Age]]&gt;45,"Senior")</f>
        <v>Mid-Age</v>
      </c>
      <c r="S152" s="1" t="str" cm="1">
        <f t="array" ref="S152">_xlfn.IFS(HR_Data[[#This Row],[Monthly Income]]&lt;5000,"Low", HR_Data[[#This Row],[Monthly Income]]&lt;10000,"Medium",TRUE,"High")</f>
        <v>Medium</v>
      </c>
      <c r="T152" s="1" t="str" cm="1">
        <f t="array" ref="T152">_xlfn.IFS(HR_Data[[#This Row],[Total Working Years]]&lt;=5,"Junior", HR_Data[[#This Row],[Total Working Years]]&lt;=15,"Mid-Level", TRUE, "Senior")</f>
        <v>Senior</v>
      </c>
    </row>
    <row r="153" spans="1:20" x14ac:dyDescent="0.25">
      <c r="A153" s="1">
        <v>204</v>
      </c>
      <c r="B153" s="1">
        <v>35</v>
      </c>
      <c r="C153" t="s">
        <v>9</v>
      </c>
      <c r="D153" t="s">
        <v>5</v>
      </c>
      <c r="E153" t="s">
        <v>21</v>
      </c>
      <c r="F153" t="s">
        <v>11</v>
      </c>
      <c r="G153" t="s">
        <v>8</v>
      </c>
      <c r="H153" s="1">
        <v>2</v>
      </c>
      <c r="I153" s="1">
        <v>7295</v>
      </c>
      <c r="J153" t="s">
        <v>9</v>
      </c>
      <c r="K153" s="1">
        <v>13</v>
      </c>
      <c r="L153" s="1">
        <v>3</v>
      </c>
      <c r="M153" s="1">
        <v>10</v>
      </c>
      <c r="N153" s="1">
        <v>3</v>
      </c>
      <c r="O153" s="1">
        <v>10</v>
      </c>
      <c r="P153" s="1">
        <f>COUNTIF(HR_Data[Employee Number],HR_Data[[#This Row],[Employee Number]])</f>
        <v>1</v>
      </c>
      <c r="Q153" s="1" t="str">
        <f>IF(HR_Data[[#This Row],[Years At Company]]&lt;=HR_Data[[#This Row],[Total Working Years]],"Valid","error")</f>
        <v>Valid</v>
      </c>
      <c r="R153" s="1" t="str" cm="1">
        <f t="array" ref="R153">_xlfn.IFS(HR_Data[[#This Row],[Age]]&lt;=30,"Young", HR_Data[[#This Row],[Age]]&lt;=45,"Mid-Age",HR_Data[[#This Row],[Age]]&gt;45,"Senior")</f>
        <v>Mid-Age</v>
      </c>
      <c r="S153" s="1" t="str" cm="1">
        <f t="array" ref="S153">_xlfn.IFS(HR_Data[[#This Row],[Monthly Income]]&lt;5000,"Low", HR_Data[[#This Row],[Monthly Income]]&lt;10000,"Medium",TRUE,"High")</f>
        <v>Medium</v>
      </c>
      <c r="T153" s="1" t="str" cm="1">
        <f t="array" ref="T153">_xlfn.IFS(HR_Data[[#This Row],[Total Working Years]]&lt;=5,"Junior", HR_Data[[#This Row],[Total Working Years]]&lt;=15,"Mid-Level", TRUE, "Senior")</f>
        <v>Mid-Level</v>
      </c>
    </row>
    <row r="154" spans="1:20" x14ac:dyDescent="0.25">
      <c r="A154" s="1">
        <v>205</v>
      </c>
      <c r="B154" s="1">
        <v>53</v>
      </c>
      <c r="C154" t="s">
        <v>9</v>
      </c>
      <c r="D154" t="s">
        <v>5</v>
      </c>
      <c r="E154" t="s">
        <v>21</v>
      </c>
      <c r="F154" t="s">
        <v>11</v>
      </c>
      <c r="G154" t="s">
        <v>19</v>
      </c>
      <c r="H154" s="1">
        <v>3</v>
      </c>
      <c r="I154" s="1">
        <v>2306</v>
      </c>
      <c r="J154" t="s">
        <v>4</v>
      </c>
      <c r="K154" s="1">
        <v>20</v>
      </c>
      <c r="L154" s="1">
        <v>4</v>
      </c>
      <c r="M154" s="1">
        <v>13</v>
      </c>
      <c r="N154" s="1">
        <v>1</v>
      </c>
      <c r="O154" s="1">
        <v>7</v>
      </c>
      <c r="P154" s="1">
        <f>COUNTIF(HR_Data[Employee Number],HR_Data[[#This Row],[Employee Number]])</f>
        <v>1</v>
      </c>
      <c r="Q154" s="1" t="str">
        <f>IF(HR_Data[[#This Row],[Years At Company]]&lt;=HR_Data[[#This Row],[Total Working Years]],"Valid","error")</f>
        <v>Valid</v>
      </c>
      <c r="R154" s="1" t="str" cm="1">
        <f t="array" ref="R154">_xlfn.IFS(HR_Data[[#This Row],[Age]]&lt;=30,"Young", HR_Data[[#This Row],[Age]]&lt;=45,"Mid-Age",HR_Data[[#This Row],[Age]]&gt;45,"Senior")</f>
        <v>Senior</v>
      </c>
      <c r="S154" s="1" t="str" cm="1">
        <f t="array" ref="S154">_xlfn.IFS(HR_Data[[#This Row],[Monthly Income]]&lt;5000,"Low", HR_Data[[#This Row],[Monthly Income]]&lt;10000,"Medium",TRUE,"High")</f>
        <v>Low</v>
      </c>
      <c r="T154" s="1" t="str" cm="1">
        <f t="array" ref="T154">_xlfn.IFS(HR_Data[[#This Row],[Total Working Years]]&lt;=5,"Junior", HR_Data[[#This Row],[Total Working Years]]&lt;=15,"Mid-Level", TRUE, "Senior")</f>
        <v>Mid-Level</v>
      </c>
    </row>
    <row r="155" spans="1:20" x14ac:dyDescent="0.25">
      <c r="A155" s="1">
        <v>206</v>
      </c>
      <c r="B155" s="1">
        <v>45</v>
      </c>
      <c r="C155" t="s">
        <v>9</v>
      </c>
      <c r="D155" t="s">
        <v>10</v>
      </c>
      <c r="E155" t="s">
        <v>6</v>
      </c>
      <c r="F155" t="s">
        <v>11</v>
      </c>
      <c r="G155" t="s">
        <v>14</v>
      </c>
      <c r="H155" s="1">
        <v>2</v>
      </c>
      <c r="I155" s="1">
        <v>2348</v>
      </c>
      <c r="J155" t="s">
        <v>9</v>
      </c>
      <c r="K155" s="1">
        <v>18</v>
      </c>
      <c r="L155" s="1">
        <v>3</v>
      </c>
      <c r="M155" s="1">
        <v>20</v>
      </c>
      <c r="N155" s="1">
        <v>1</v>
      </c>
      <c r="O155" s="1">
        <v>17</v>
      </c>
      <c r="P155" s="1">
        <f>COUNTIF(HR_Data[Employee Number],HR_Data[[#This Row],[Employee Number]])</f>
        <v>1</v>
      </c>
      <c r="Q155" s="1" t="str">
        <f>IF(HR_Data[[#This Row],[Years At Company]]&lt;=HR_Data[[#This Row],[Total Working Years]],"Valid","error")</f>
        <v>Valid</v>
      </c>
      <c r="R155" s="1" t="str" cm="1">
        <f t="array" ref="R155">_xlfn.IFS(HR_Data[[#This Row],[Age]]&lt;=30,"Young", HR_Data[[#This Row],[Age]]&lt;=45,"Mid-Age",HR_Data[[#This Row],[Age]]&gt;45,"Senior")</f>
        <v>Mid-Age</v>
      </c>
      <c r="S155" s="1" t="str" cm="1">
        <f t="array" ref="S155">_xlfn.IFS(HR_Data[[#This Row],[Monthly Income]]&lt;5000,"Low", HR_Data[[#This Row],[Monthly Income]]&lt;10000,"Medium",TRUE,"High")</f>
        <v>Low</v>
      </c>
      <c r="T155" s="1" t="str" cm="1">
        <f t="array" ref="T155">_xlfn.IFS(HR_Data[[#This Row],[Total Working Years]]&lt;=5,"Junior", HR_Data[[#This Row],[Total Working Years]]&lt;=15,"Mid-Level", TRUE, "Senior")</f>
        <v>Senior</v>
      </c>
    </row>
    <row r="156" spans="1:20" x14ac:dyDescent="0.25">
      <c r="A156" s="1">
        <v>207</v>
      </c>
      <c r="B156" s="1">
        <v>32</v>
      </c>
      <c r="C156" t="s">
        <v>9</v>
      </c>
      <c r="D156" t="s">
        <v>5</v>
      </c>
      <c r="E156" t="s">
        <v>21</v>
      </c>
      <c r="F156" t="s">
        <v>7</v>
      </c>
      <c r="G156" t="s">
        <v>8</v>
      </c>
      <c r="H156" s="1">
        <v>4</v>
      </c>
      <c r="I156" s="1">
        <v>8998</v>
      </c>
      <c r="J156" t="s">
        <v>9</v>
      </c>
      <c r="K156" s="1">
        <v>14</v>
      </c>
      <c r="L156" s="1">
        <v>3</v>
      </c>
      <c r="M156" s="1">
        <v>9</v>
      </c>
      <c r="N156" s="1">
        <v>3</v>
      </c>
      <c r="O156" s="1">
        <v>9</v>
      </c>
      <c r="P156" s="1">
        <f>COUNTIF(HR_Data[Employee Number],HR_Data[[#This Row],[Employee Number]])</f>
        <v>1</v>
      </c>
      <c r="Q156" s="1" t="str">
        <f>IF(HR_Data[[#This Row],[Years At Company]]&lt;=HR_Data[[#This Row],[Total Working Years]],"Valid","error")</f>
        <v>Valid</v>
      </c>
      <c r="R156" s="1" t="str" cm="1">
        <f t="array" ref="R156">_xlfn.IFS(HR_Data[[#This Row],[Age]]&lt;=30,"Young", HR_Data[[#This Row],[Age]]&lt;=45,"Mid-Age",HR_Data[[#This Row],[Age]]&gt;45,"Senior")</f>
        <v>Mid-Age</v>
      </c>
      <c r="S156" s="1" t="str" cm="1">
        <f t="array" ref="S156">_xlfn.IFS(HR_Data[[#This Row],[Monthly Income]]&lt;5000,"Low", HR_Data[[#This Row],[Monthly Income]]&lt;10000,"Medium",TRUE,"High")</f>
        <v>Medium</v>
      </c>
      <c r="T156" s="1" t="str" cm="1">
        <f t="array" ref="T156">_xlfn.IFS(HR_Data[[#This Row],[Total Working Years]]&lt;=5,"Junior", HR_Data[[#This Row],[Total Working Years]]&lt;=15,"Mid-Level", TRUE, "Senior")</f>
        <v>Mid-Level</v>
      </c>
    </row>
    <row r="157" spans="1:20" x14ac:dyDescent="0.25">
      <c r="A157" s="1">
        <v>208</v>
      </c>
      <c r="B157" s="1">
        <v>29</v>
      </c>
      <c r="C157" t="s">
        <v>9</v>
      </c>
      <c r="D157" t="s">
        <v>10</v>
      </c>
      <c r="E157" t="s">
        <v>22</v>
      </c>
      <c r="F157" t="s">
        <v>11</v>
      </c>
      <c r="G157" t="s">
        <v>16</v>
      </c>
      <c r="H157" s="1">
        <v>3</v>
      </c>
      <c r="I157" s="1">
        <v>4319</v>
      </c>
      <c r="J157" t="s">
        <v>9</v>
      </c>
      <c r="K157" s="1">
        <v>13</v>
      </c>
      <c r="L157" s="1">
        <v>3</v>
      </c>
      <c r="M157" s="1">
        <v>10</v>
      </c>
      <c r="N157" s="1">
        <v>3</v>
      </c>
      <c r="O157" s="1">
        <v>10</v>
      </c>
      <c r="P157" s="1">
        <f>COUNTIF(HR_Data[Employee Number],HR_Data[[#This Row],[Employee Number]])</f>
        <v>1</v>
      </c>
      <c r="Q157" s="1" t="str">
        <f>IF(HR_Data[[#This Row],[Years At Company]]&lt;=HR_Data[[#This Row],[Total Working Years]],"Valid","error")</f>
        <v>Valid</v>
      </c>
      <c r="R157" s="1" t="str" cm="1">
        <f t="array" ref="R157">_xlfn.IFS(HR_Data[[#This Row],[Age]]&lt;=30,"Young", HR_Data[[#This Row],[Age]]&lt;=45,"Mid-Age",HR_Data[[#This Row],[Age]]&gt;45,"Senior")</f>
        <v>Young</v>
      </c>
      <c r="S157" s="1" t="str" cm="1">
        <f t="array" ref="S157">_xlfn.IFS(HR_Data[[#This Row],[Monthly Income]]&lt;5000,"Low", HR_Data[[#This Row],[Monthly Income]]&lt;10000,"Medium",TRUE,"High")</f>
        <v>Low</v>
      </c>
      <c r="T157" s="1" t="str" cm="1">
        <f t="array" ref="T157">_xlfn.IFS(HR_Data[[#This Row],[Total Working Years]]&lt;=5,"Junior", HR_Data[[#This Row],[Total Working Years]]&lt;=15,"Mid-Level", TRUE, "Senior")</f>
        <v>Mid-Level</v>
      </c>
    </row>
    <row r="158" spans="1:20" x14ac:dyDescent="0.25">
      <c r="A158" s="1">
        <v>211</v>
      </c>
      <c r="B158" s="1">
        <v>51</v>
      </c>
      <c r="C158" t="s">
        <v>9</v>
      </c>
      <c r="D158" t="s">
        <v>10</v>
      </c>
      <c r="E158" t="s">
        <v>15</v>
      </c>
      <c r="F158" t="s">
        <v>11</v>
      </c>
      <c r="G158" t="s">
        <v>16</v>
      </c>
      <c r="H158" s="1">
        <v>3</v>
      </c>
      <c r="I158" s="1">
        <v>6132</v>
      </c>
      <c r="J158" t="s">
        <v>9</v>
      </c>
      <c r="K158" s="1">
        <v>17</v>
      </c>
      <c r="L158" s="1">
        <v>3</v>
      </c>
      <c r="M158" s="1">
        <v>10</v>
      </c>
      <c r="N158" s="1">
        <v>3</v>
      </c>
      <c r="O158" s="1">
        <v>1</v>
      </c>
      <c r="P158" s="1">
        <f>COUNTIF(HR_Data[Employee Number],HR_Data[[#This Row],[Employee Number]])</f>
        <v>1</v>
      </c>
      <c r="Q158" s="1" t="str">
        <f>IF(HR_Data[[#This Row],[Years At Company]]&lt;=HR_Data[[#This Row],[Total Working Years]],"Valid","error")</f>
        <v>Valid</v>
      </c>
      <c r="R158" s="1" t="str" cm="1">
        <f t="array" ref="R158">_xlfn.IFS(HR_Data[[#This Row],[Age]]&lt;=30,"Young", HR_Data[[#This Row],[Age]]&lt;=45,"Mid-Age",HR_Data[[#This Row],[Age]]&gt;45,"Senior")</f>
        <v>Senior</v>
      </c>
      <c r="S158" s="1" t="str" cm="1">
        <f t="array" ref="S158">_xlfn.IFS(HR_Data[[#This Row],[Monthly Income]]&lt;5000,"Low", HR_Data[[#This Row],[Monthly Income]]&lt;10000,"Medium",TRUE,"High")</f>
        <v>Medium</v>
      </c>
      <c r="T158" s="1" t="str" cm="1">
        <f t="array" ref="T158">_xlfn.IFS(HR_Data[[#This Row],[Total Working Years]]&lt;=5,"Junior", HR_Data[[#This Row],[Total Working Years]]&lt;=15,"Mid-Level", TRUE, "Senior")</f>
        <v>Mid-Level</v>
      </c>
    </row>
    <row r="159" spans="1:20" x14ac:dyDescent="0.25">
      <c r="A159" s="1">
        <v>214</v>
      </c>
      <c r="B159" s="1">
        <v>58</v>
      </c>
      <c r="C159" t="s">
        <v>9</v>
      </c>
      <c r="D159" t="s">
        <v>10</v>
      </c>
      <c r="E159" t="s">
        <v>15</v>
      </c>
      <c r="F159" t="s">
        <v>7</v>
      </c>
      <c r="G159" t="s">
        <v>12</v>
      </c>
      <c r="H159" s="1">
        <v>2</v>
      </c>
      <c r="I159" s="1">
        <v>3346</v>
      </c>
      <c r="J159" t="s">
        <v>4</v>
      </c>
      <c r="K159" s="1">
        <v>20</v>
      </c>
      <c r="L159" s="1">
        <v>4</v>
      </c>
      <c r="M159" s="1">
        <v>9</v>
      </c>
      <c r="N159" s="1">
        <v>2</v>
      </c>
      <c r="O159" s="1">
        <v>1</v>
      </c>
      <c r="P159" s="1">
        <f>COUNTIF(HR_Data[Employee Number],HR_Data[[#This Row],[Employee Number]])</f>
        <v>1</v>
      </c>
      <c r="Q159" s="1" t="str">
        <f>IF(HR_Data[[#This Row],[Years At Company]]&lt;=HR_Data[[#This Row],[Total Working Years]],"Valid","error")</f>
        <v>Valid</v>
      </c>
      <c r="R159" s="1" t="str" cm="1">
        <f t="array" ref="R159">_xlfn.IFS(HR_Data[[#This Row],[Age]]&lt;=30,"Young", HR_Data[[#This Row],[Age]]&lt;=45,"Mid-Age",HR_Data[[#This Row],[Age]]&gt;45,"Senior")</f>
        <v>Senior</v>
      </c>
      <c r="S159" s="1" t="str" cm="1">
        <f t="array" ref="S159">_xlfn.IFS(HR_Data[[#This Row],[Monthly Income]]&lt;5000,"Low", HR_Data[[#This Row],[Monthly Income]]&lt;10000,"Medium",TRUE,"High")</f>
        <v>Low</v>
      </c>
      <c r="T159" s="1" t="str" cm="1">
        <f t="array" ref="T159">_xlfn.IFS(HR_Data[[#This Row],[Total Working Years]]&lt;=5,"Junior", HR_Data[[#This Row],[Total Working Years]]&lt;=15,"Mid-Level", TRUE, "Senior")</f>
        <v>Mid-Level</v>
      </c>
    </row>
    <row r="160" spans="1:20" x14ac:dyDescent="0.25">
      <c r="A160" s="1">
        <v>215</v>
      </c>
      <c r="B160" s="1">
        <v>40</v>
      </c>
      <c r="C160" t="s">
        <v>9</v>
      </c>
      <c r="D160" t="s">
        <v>5</v>
      </c>
      <c r="E160" t="s">
        <v>21</v>
      </c>
      <c r="F160" t="s">
        <v>11</v>
      </c>
      <c r="G160" t="s">
        <v>8</v>
      </c>
      <c r="H160" s="1">
        <v>4</v>
      </c>
      <c r="I160" s="1">
        <v>10855</v>
      </c>
      <c r="J160" t="s">
        <v>9</v>
      </c>
      <c r="K160" s="1">
        <v>11</v>
      </c>
      <c r="L160" s="1">
        <v>3</v>
      </c>
      <c r="M160" s="1">
        <v>15</v>
      </c>
      <c r="N160" s="1">
        <v>2</v>
      </c>
      <c r="O160" s="1">
        <v>12</v>
      </c>
      <c r="P160" s="1">
        <f>COUNTIF(HR_Data[Employee Number],HR_Data[[#This Row],[Employee Number]])</f>
        <v>1</v>
      </c>
      <c r="Q160" s="1" t="str">
        <f>IF(HR_Data[[#This Row],[Years At Company]]&lt;=HR_Data[[#This Row],[Total Working Years]],"Valid","error")</f>
        <v>Valid</v>
      </c>
      <c r="R160" s="1" t="str" cm="1">
        <f t="array" ref="R160">_xlfn.IFS(HR_Data[[#This Row],[Age]]&lt;=30,"Young", HR_Data[[#This Row],[Age]]&lt;=45,"Mid-Age",HR_Data[[#This Row],[Age]]&gt;45,"Senior")</f>
        <v>Mid-Age</v>
      </c>
      <c r="S160" s="1" t="str" cm="1">
        <f t="array" ref="S160">_xlfn.IFS(HR_Data[[#This Row],[Monthly Income]]&lt;5000,"Low", HR_Data[[#This Row],[Monthly Income]]&lt;10000,"Medium",TRUE,"High")</f>
        <v>High</v>
      </c>
      <c r="T160" s="1" t="str" cm="1">
        <f t="array" ref="T160">_xlfn.IFS(HR_Data[[#This Row],[Total Working Years]]&lt;=5,"Junior", HR_Data[[#This Row],[Total Working Years]]&lt;=15,"Mid-Level", TRUE, "Senior")</f>
        <v>Mid-Level</v>
      </c>
    </row>
    <row r="161" spans="1:20" x14ac:dyDescent="0.25">
      <c r="A161" s="1">
        <v>216</v>
      </c>
      <c r="B161" s="1">
        <v>34</v>
      </c>
      <c r="C161" t="s">
        <v>9</v>
      </c>
      <c r="D161" t="s">
        <v>5</v>
      </c>
      <c r="E161" t="s">
        <v>21</v>
      </c>
      <c r="F161" t="s">
        <v>7</v>
      </c>
      <c r="G161" t="s">
        <v>19</v>
      </c>
      <c r="H161" s="1">
        <v>3</v>
      </c>
      <c r="I161" s="1">
        <v>2231</v>
      </c>
      <c r="J161" t="s">
        <v>9</v>
      </c>
      <c r="K161" s="1">
        <v>18</v>
      </c>
      <c r="L161" s="1">
        <v>3</v>
      </c>
      <c r="M161" s="1">
        <v>6</v>
      </c>
      <c r="N161" s="1">
        <v>3</v>
      </c>
      <c r="O161" s="1">
        <v>4</v>
      </c>
      <c r="P161" s="1">
        <f>COUNTIF(HR_Data[Employee Number],HR_Data[[#This Row],[Employee Number]])</f>
        <v>1</v>
      </c>
      <c r="Q161" s="1" t="str">
        <f>IF(HR_Data[[#This Row],[Years At Company]]&lt;=HR_Data[[#This Row],[Total Working Years]],"Valid","error")</f>
        <v>Valid</v>
      </c>
      <c r="R161" s="1" t="str" cm="1">
        <f t="array" ref="R161">_xlfn.IFS(HR_Data[[#This Row],[Age]]&lt;=30,"Young", HR_Data[[#This Row],[Age]]&lt;=45,"Mid-Age",HR_Data[[#This Row],[Age]]&gt;45,"Senior")</f>
        <v>Mid-Age</v>
      </c>
      <c r="S161" s="1" t="str" cm="1">
        <f t="array" ref="S161">_xlfn.IFS(HR_Data[[#This Row],[Monthly Income]]&lt;5000,"Low", HR_Data[[#This Row],[Monthly Income]]&lt;10000,"Medium",TRUE,"High")</f>
        <v>Low</v>
      </c>
      <c r="T161" s="1" t="str" cm="1">
        <f t="array" ref="T161">_xlfn.IFS(HR_Data[[#This Row],[Total Working Years]]&lt;=5,"Junior", HR_Data[[#This Row],[Total Working Years]]&lt;=15,"Mid-Level", TRUE, "Senior")</f>
        <v>Mid-Level</v>
      </c>
    </row>
    <row r="162" spans="1:20" x14ac:dyDescent="0.25">
      <c r="A162" s="1">
        <v>217</v>
      </c>
      <c r="B162" s="1">
        <v>22</v>
      </c>
      <c r="C162" t="s">
        <v>9</v>
      </c>
      <c r="D162" t="s">
        <v>10</v>
      </c>
      <c r="E162" t="s">
        <v>15</v>
      </c>
      <c r="F162" t="s">
        <v>11</v>
      </c>
      <c r="G162" t="s">
        <v>12</v>
      </c>
      <c r="H162" s="1">
        <v>4</v>
      </c>
      <c r="I162" s="1">
        <v>2323</v>
      </c>
      <c r="J162" t="s">
        <v>9</v>
      </c>
      <c r="K162" s="1">
        <v>24</v>
      </c>
      <c r="L162" s="1">
        <v>4</v>
      </c>
      <c r="M162" s="1">
        <v>2</v>
      </c>
      <c r="N162" s="1">
        <v>3</v>
      </c>
      <c r="O162" s="1">
        <v>2</v>
      </c>
      <c r="P162" s="1">
        <f>COUNTIF(HR_Data[Employee Number],HR_Data[[#This Row],[Employee Number]])</f>
        <v>1</v>
      </c>
      <c r="Q162" s="1" t="str">
        <f>IF(HR_Data[[#This Row],[Years At Company]]&lt;=HR_Data[[#This Row],[Total Working Years]],"Valid","error")</f>
        <v>Valid</v>
      </c>
      <c r="R162" s="1" t="str" cm="1">
        <f t="array" ref="R162">_xlfn.IFS(HR_Data[[#This Row],[Age]]&lt;=30,"Young", HR_Data[[#This Row],[Age]]&lt;=45,"Mid-Age",HR_Data[[#This Row],[Age]]&gt;45,"Senior")</f>
        <v>Young</v>
      </c>
      <c r="S162" s="1" t="str" cm="1">
        <f t="array" ref="S162">_xlfn.IFS(HR_Data[[#This Row],[Monthly Income]]&lt;5000,"Low", HR_Data[[#This Row],[Monthly Income]]&lt;10000,"Medium",TRUE,"High")</f>
        <v>Low</v>
      </c>
      <c r="T162" s="1" t="str" cm="1">
        <f t="array" ref="T162">_xlfn.IFS(HR_Data[[#This Row],[Total Working Years]]&lt;=5,"Junior", HR_Data[[#This Row],[Total Working Years]]&lt;=15,"Mid-Level", TRUE, "Senior")</f>
        <v>Junior</v>
      </c>
    </row>
    <row r="163" spans="1:20" x14ac:dyDescent="0.25">
      <c r="A163" s="1">
        <v>218</v>
      </c>
      <c r="B163" s="1">
        <v>27</v>
      </c>
      <c r="C163" t="s">
        <v>9</v>
      </c>
      <c r="D163" t="s">
        <v>10</v>
      </c>
      <c r="E163" t="s">
        <v>15</v>
      </c>
      <c r="F163" t="s">
        <v>11</v>
      </c>
      <c r="G163" t="s">
        <v>12</v>
      </c>
      <c r="H163" s="1">
        <v>2</v>
      </c>
      <c r="I163" s="1">
        <v>2024</v>
      </c>
      <c r="J163" t="s">
        <v>9</v>
      </c>
      <c r="K163" s="1">
        <v>18</v>
      </c>
      <c r="L163" s="1">
        <v>3</v>
      </c>
      <c r="M163" s="1">
        <v>6</v>
      </c>
      <c r="N163" s="1">
        <v>1</v>
      </c>
      <c r="O163" s="1">
        <v>2</v>
      </c>
      <c r="P163" s="1">
        <f>COUNTIF(HR_Data[Employee Number],HR_Data[[#This Row],[Employee Number]])</f>
        <v>1</v>
      </c>
      <c r="Q163" s="1" t="str">
        <f>IF(HR_Data[[#This Row],[Years At Company]]&lt;=HR_Data[[#This Row],[Total Working Years]],"Valid","error")</f>
        <v>Valid</v>
      </c>
      <c r="R163" s="1" t="str" cm="1">
        <f t="array" ref="R163">_xlfn.IFS(HR_Data[[#This Row],[Age]]&lt;=30,"Young", HR_Data[[#This Row],[Age]]&lt;=45,"Mid-Age",HR_Data[[#This Row],[Age]]&gt;45,"Senior")</f>
        <v>Young</v>
      </c>
      <c r="S163" s="1" t="str" cm="1">
        <f t="array" ref="S163">_xlfn.IFS(HR_Data[[#This Row],[Monthly Income]]&lt;5000,"Low", HR_Data[[#This Row],[Monthly Income]]&lt;10000,"Medium",TRUE,"High")</f>
        <v>Low</v>
      </c>
      <c r="T163" s="1" t="str" cm="1">
        <f t="array" ref="T163">_xlfn.IFS(HR_Data[[#This Row],[Total Working Years]]&lt;=5,"Junior", HR_Data[[#This Row],[Total Working Years]]&lt;=15,"Mid-Level", TRUE, "Senior")</f>
        <v>Mid-Level</v>
      </c>
    </row>
    <row r="164" spans="1:20" x14ac:dyDescent="0.25">
      <c r="A164" s="1">
        <v>221</v>
      </c>
      <c r="B164" s="1">
        <v>28</v>
      </c>
      <c r="C164" t="s">
        <v>9</v>
      </c>
      <c r="D164" t="s">
        <v>10</v>
      </c>
      <c r="E164" t="s">
        <v>15</v>
      </c>
      <c r="F164" t="s">
        <v>11</v>
      </c>
      <c r="G164" t="s">
        <v>12</v>
      </c>
      <c r="H164" s="1">
        <v>4</v>
      </c>
      <c r="I164" s="1">
        <v>2713</v>
      </c>
      <c r="J164" t="s">
        <v>9</v>
      </c>
      <c r="K164" s="1">
        <v>11</v>
      </c>
      <c r="L164" s="1">
        <v>3</v>
      </c>
      <c r="M164" s="1">
        <v>5</v>
      </c>
      <c r="N164" s="1">
        <v>1</v>
      </c>
      <c r="O164" s="1">
        <v>5</v>
      </c>
      <c r="P164" s="1">
        <f>COUNTIF(HR_Data[Employee Number],HR_Data[[#This Row],[Employee Number]])</f>
        <v>1</v>
      </c>
      <c r="Q164" s="1" t="str">
        <f>IF(HR_Data[[#This Row],[Years At Company]]&lt;=HR_Data[[#This Row],[Total Working Years]],"Valid","error")</f>
        <v>Valid</v>
      </c>
      <c r="R164" s="1" t="str" cm="1">
        <f t="array" ref="R164">_xlfn.IFS(HR_Data[[#This Row],[Age]]&lt;=30,"Young", HR_Data[[#This Row],[Age]]&lt;=45,"Mid-Age",HR_Data[[#This Row],[Age]]&gt;45,"Senior")</f>
        <v>Young</v>
      </c>
      <c r="S164" s="1" t="str" cm="1">
        <f t="array" ref="S164">_xlfn.IFS(HR_Data[[#This Row],[Monthly Income]]&lt;5000,"Low", HR_Data[[#This Row],[Monthly Income]]&lt;10000,"Medium",TRUE,"High")</f>
        <v>Low</v>
      </c>
      <c r="T164" s="1" t="str" cm="1">
        <f t="array" ref="T164">_xlfn.IFS(HR_Data[[#This Row],[Total Working Years]]&lt;=5,"Junior", HR_Data[[#This Row],[Total Working Years]]&lt;=15,"Mid-Level", TRUE, "Senior")</f>
        <v>Junior</v>
      </c>
    </row>
    <row r="165" spans="1:20" x14ac:dyDescent="0.25">
      <c r="A165" s="1">
        <v>223</v>
      </c>
      <c r="B165" s="1">
        <v>57</v>
      </c>
      <c r="C165" t="s">
        <v>9</v>
      </c>
      <c r="D165" t="s">
        <v>10</v>
      </c>
      <c r="E165" t="s">
        <v>6</v>
      </c>
      <c r="F165" t="s">
        <v>11</v>
      </c>
      <c r="G165" t="s">
        <v>17</v>
      </c>
      <c r="H165" s="1">
        <v>4</v>
      </c>
      <c r="I165" s="1">
        <v>9439</v>
      </c>
      <c r="J165" t="s">
        <v>4</v>
      </c>
      <c r="K165" s="1">
        <v>16</v>
      </c>
      <c r="L165" s="1">
        <v>3</v>
      </c>
      <c r="M165" s="1">
        <v>12</v>
      </c>
      <c r="N165" s="1">
        <v>1</v>
      </c>
      <c r="O165" s="1">
        <v>5</v>
      </c>
      <c r="P165" s="1">
        <f>COUNTIF(HR_Data[Employee Number],HR_Data[[#This Row],[Employee Number]])</f>
        <v>1</v>
      </c>
      <c r="Q165" s="1" t="str">
        <f>IF(HR_Data[[#This Row],[Years At Company]]&lt;=HR_Data[[#This Row],[Total Working Years]],"Valid","error")</f>
        <v>Valid</v>
      </c>
      <c r="R165" s="1" t="str" cm="1">
        <f t="array" ref="R165">_xlfn.IFS(HR_Data[[#This Row],[Age]]&lt;=30,"Young", HR_Data[[#This Row],[Age]]&lt;=45,"Mid-Age",HR_Data[[#This Row],[Age]]&gt;45,"Senior")</f>
        <v>Senior</v>
      </c>
      <c r="S165" s="1" t="str" cm="1">
        <f t="array" ref="S165">_xlfn.IFS(HR_Data[[#This Row],[Monthly Income]]&lt;5000,"Low", HR_Data[[#This Row],[Monthly Income]]&lt;10000,"Medium",TRUE,"High")</f>
        <v>Medium</v>
      </c>
      <c r="T165" s="1" t="str" cm="1">
        <f t="array" ref="T165">_xlfn.IFS(HR_Data[[#This Row],[Total Working Years]]&lt;=5,"Junior", HR_Data[[#This Row],[Total Working Years]]&lt;=15,"Mid-Level", TRUE, "Senior")</f>
        <v>Mid-Level</v>
      </c>
    </row>
    <row r="166" spans="1:20" x14ac:dyDescent="0.25">
      <c r="A166" s="1">
        <v>224</v>
      </c>
      <c r="B166" s="1">
        <v>27</v>
      </c>
      <c r="C166" t="s">
        <v>9</v>
      </c>
      <c r="D166" t="s">
        <v>10</v>
      </c>
      <c r="E166" t="s">
        <v>15</v>
      </c>
      <c r="F166" t="s">
        <v>11</v>
      </c>
      <c r="G166" t="s">
        <v>12</v>
      </c>
      <c r="H166" s="1">
        <v>3</v>
      </c>
      <c r="I166" s="1">
        <v>2566</v>
      </c>
      <c r="J166" t="s">
        <v>4</v>
      </c>
      <c r="K166" s="1">
        <v>15</v>
      </c>
      <c r="L166" s="1">
        <v>3</v>
      </c>
      <c r="M166" s="1">
        <v>1</v>
      </c>
      <c r="N166" s="1">
        <v>2</v>
      </c>
      <c r="O166" s="1">
        <v>1</v>
      </c>
      <c r="P166" s="1">
        <f>COUNTIF(HR_Data[Employee Number],HR_Data[[#This Row],[Employee Number]])</f>
        <v>1</v>
      </c>
      <c r="Q166" s="1" t="str">
        <f>IF(HR_Data[[#This Row],[Years At Company]]&lt;=HR_Data[[#This Row],[Total Working Years]],"Valid","error")</f>
        <v>Valid</v>
      </c>
      <c r="R166" s="1" t="str" cm="1">
        <f t="array" ref="R166">_xlfn.IFS(HR_Data[[#This Row],[Age]]&lt;=30,"Young", HR_Data[[#This Row],[Age]]&lt;=45,"Mid-Age",HR_Data[[#This Row],[Age]]&gt;45,"Senior")</f>
        <v>Young</v>
      </c>
      <c r="S166" s="1" t="str" cm="1">
        <f t="array" ref="S166">_xlfn.IFS(HR_Data[[#This Row],[Monthly Income]]&lt;5000,"Low", HR_Data[[#This Row],[Monthly Income]]&lt;10000,"Medium",TRUE,"High")</f>
        <v>Low</v>
      </c>
      <c r="T166" s="1" t="str" cm="1">
        <f t="array" ref="T166">_xlfn.IFS(HR_Data[[#This Row],[Total Working Years]]&lt;=5,"Junior", HR_Data[[#This Row],[Total Working Years]]&lt;=15,"Mid-Level", TRUE, "Senior")</f>
        <v>Junior</v>
      </c>
    </row>
    <row r="167" spans="1:20" x14ac:dyDescent="0.25">
      <c r="A167" s="1">
        <v>226</v>
      </c>
      <c r="B167" s="1">
        <v>50</v>
      </c>
      <c r="C167" t="s">
        <v>9</v>
      </c>
      <c r="D167" t="s">
        <v>10</v>
      </c>
      <c r="E167" t="s">
        <v>6</v>
      </c>
      <c r="F167" t="s">
        <v>7</v>
      </c>
      <c r="G167" t="s">
        <v>18</v>
      </c>
      <c r="H167" s="1">
        <v>2</v>
      </c>
      <c r="I167" s="1">
        <v>19926</v>
      </c>
      <c r="J167" t="s">
        <v>9</v>
      </c>
      <c r="K167" s="1">
        <v>15</v>
      </c>
      <c r="L167" s="1">
        <v>3</v>
      </c>
      <c r="M167" s="1">
        <v>21</v>
      </c>
      <c r="N167" s="1">
        <v>3</v>
      </c>
      <c r="O167" s="1">
        <v>5</v>
      </c>
      <c r="P167" s="1">
        <f>COUNTIF(HR_Data[Employee Number],HR_Data[[#This Row],[Employee Number]])</f>
        <v>1</v>
      </c>
      <c r="Q167" s="1" t="str">
        <f>IF(HR_Data[[#This Row],[Years At Company]]&lt;=HR_Data[[#This Row],[Total Working Years]],"Valid","error")</f>
        <v>Valid</v>
      </c>
      <c r="R167" s="1" t="str" cm="1">
        <f t="array" ref="R167">_xlfn.IFS(HR_Data[[#This Row],[Age]]&lt;=30,"Young", HR_Data[[#This Row],[Age]]&lt;=45,"Mid-Age",HR_Data[[#This Row],[Age]]&gt;45,"Senior")</f>
        <v>Senior</v>
      </c>
      <c r="S167" s="1" t="str" cm="1">
        <f t="array" ref="S167">_xlfn.IFS(HR_Data[[#This Row],[Monthly Income]]&lt;5000,"Low", HR_Data[[#This Row],[Monthly Income]]&lt;10000,"Medium",TRUE,"High")</f>
        <v>High</v>
      </c>
      <c r="T167" s="1" t="str" cm="1">
        <f t="array" ref="T167">_xlfn.IFS(HR_Data[[#This Row],[Total Working Years]]&lt;=5,"Junior", HR_Data[[#This Row],[Total Working Years]]&lt;=15,"Mid-Level", TRUE, "Senior")</f>
        <v>Senior</v>
      </c>
    </row>
    <row r="168" spans="1:20" x14ac:dyDescent="0.25">
      <c r="A168" s="1">
        <v>227</v>
      </c>
      <c r="B168" s="1">
        <v>41</v>
      </c>
      <c r="C168" t="s">
        <v>9</v>
      </c>
      <c r="D168" t="s">
        <v>10</v>
      </c>
      <c r="E168" t="s">
        <v>6</v>
      </c>
      <c r="F168" t="s">
        <v>11</v>
      </c>
      <c r="G168" t="s">
        <v>12</v>
      </c>
      <c r="H168" s="1">
        <v>3</v>
      </c>
      <c r="I168" s="1">
        <v>2451</v>
      </c>
      <c r="J168" t="s">
        <v>9</v>
      </c>
      <c r="K168" s="1">
        <v>12</v>
      </c>
      <c r="L168" s="1">
        <v>3</v>
      </c>
      <c r="M168" s="1">
        <v>13</v>
      </c>
      <c r="N168" s="1">
        <v>3</v>
      </c>
      <c r="O168" s="1">
        <v>9</v>
      </c>
      <c r="P168" s="1">
        <f>COUNTIF(HR_Data[Employee Number],HR_Data[[#This Row],[Employee Number]])</f>
        <v>1</v>
      </c>
      <c r="Q168" s="1" t="str">
        <f>IF(HR_Data[[#This Row],[Years At Company]]&lt;=HR_Data[[#This Row],[Total Working Years]],"Valid","error")</f>
        <v>Valid</v>
      </c>
      <c r="R168" s="1" t="str" cm="1">
        <f t="array" ref="R168">_xlfn.IFS(HR_Data[[#This Row],[Age]]&lt;=30,"Young", HR_Data[[#This Row],[Age]]&lt;=45,"Mid-Age",HR_Data[[#This Row],[Age]]&gt;45,"Senior")</f>
        <v>Mid-Age</v>
      </c>
      <c r="S168" s="1" t="str" cm="1">
        <f t="array" ref="S168">_xlfn.IFS(HR_Data[[#This Row],[Monthly Income]]&lt;5000,"Low", HR_Data[[#This Row],[Monthly Income]]&lt;10000,"Medium",TRUE,"High")</f>
        <v>Low</v>
      </c>
      <c r="T168" s="1" t="str" cm="1">
        <f t="array" ref="T168">_xlfn.IFS(HR_Data[[#This Row],[Total Working Years]]&lt;=5,"Junior", HR_Data[[#This Row],[Total Working Years]]&lt;=15,"Mid-Level", TRUE, "Senior")</f>
        <v>Mid-Level</v>
      </c>
    </row>
    <row r="169" spans="1:20" x14ac:dyDescent="0.25">
      <c r="A169" s="1">
        <v>228</v>
      </c>
      <c r="B169" s="1">
        <v>30</v>
      </c>
      <c r="C169" t="s">
        <v>9</v>
      </c>
      <c r="D169" t="s">
        <v>5</v>
      </c>
      <c r="E169" t="s">
        <v>6</v>
      </c>
      <c r="F169" t="s">
        <v>7</v>
      </c>
      <c r="G169" t="s">
        <v>8</v>
      </c>
      <c r="H169" s="1">
        <v>4</v>
      </c>
      <c r="I169" s="1">
        <v>9419</v>
      </c>
      <c r="J169" t="s">
        <v>9</v>
      </c>
      <c r="K169" s="1">
        <v>12</v>
      </c>
      <c r="L169" s="1">
        <v>3</v>
      </c>
      <c r="M169" s="1">
        <v>12</v>
      </c>
      <c r="N169" s="1">
        <v>3</v>
      </c>
      <c r="O169" s="1">
        <v>10</v>
      </c>
      <c r="P169" s="1">
        <f>COUNTIF(HR_Data[Employee Number],HR_Data[[#This Row],[Employee Number]])</f>
        <v>1</v>
      </c>
      <c r="Q169" s="1" t="str">
        <f>IF(HR_Data[[#This Row],[Years At Company]]&lt;=HR_Data[[#This Row],[Total Working Years]],"Valid","error")</f>
        <v>Valid</v>
      </c>
      <c r="R169" s="1" t="str" cm="1">
        <f t="array" ref="R169">_xlfn.IFS(HR_Data[[#This Row],[Age]]&lt;=30,"Young", HR_Data[[#This Row],[Age]]&lt;=45,"Mid-Age",HR_Data[[#This Row],[Age]]&gt;45,"Senior")</f>
        <v>Young</v>
      </c>
      <c r="S169" s="1" t="str" cm="1">
        <f t="array" ref="S169">_xlfn.IFS(HR_Data[[#This Row],[Monthly Income]]&lt;5000,"Low", HR_Data[[#This Row],[Monthly Income]]&lt;10000,"Medium",TRUE,"High")</f>
        <v>Medium</v>
      </c>
      <c r="T169" s="1" t="str" cm="1">
        <f t="array" ref="T169">_xlfn.IFS(HR_Data[[#This Row],[Total Working Years]]&lt;=5,"Junior", HR_Data[[#This Row],[Total Working Years]]&lt;=15,"Mid-Level", TRUE, "Senior")</f>
        <v>Mid-Level</v>
      </c>
    </row>
    <row r="170" spans="1:20" x14ac:dyDescent="0.25">
      <c r="A170" s="1">
        <v>230</v>
      </c>
      <c r="B170" s="1">
        <v>38</v>
      </c>
      <c r="C170" t="s">
        <v>9</v>
      </c>
      <c r="D170" t="s">
        <v>5</v>
      </c>
      <c r="E170" t="s">
        <v>6</v>
      </c>
      <c r="F170" t="s">
        <v>7</v>
      </c>
      <c r="G170" t="s">
        <v>8</v>
      </c>
      <c r="H170" s="1">
        <v>4</v>
      </c>
      <c r="I170" s="1">
        <v>8686</v>
      </c>
      <c r="J170" t="s">
        <v>9</v>
      </c>
      <c r="K170" s="1">
        <v>22</v>
      </c>
      <c r="L170" s="1">
        <v>4</v>
      </c>
      <c r="M170" s="1">
        <v>12</v>
      </c>
      <c r="N170" s="1">
        <v>4</v>
      </c>
      <c r="O170" s="1">
        <v>8</v>
      </c>
      <c r="P170" s="1">
        <f>COUNTIF(HR_Data[Employee Number],HR_Data[[#This Row],[Employee Number]])</f>
        <v>1</v>
      </c>
      <c r="Q170" s="1" t="str">
        <f>IF(HR_Data[[#This Row],[Years At Company]]&lt;=HR_Data[[#This Row],[Total Working Years]],"Valid","error")</f>
        <v>Valid</v>
      </c>
      <c r="R170" s="1" t="str" cm="1">
        <f t="array" ref="R170">_xlfn.IFS(HR_Data[[#This Row],[Age]]&lt;=30,"Young", HR_Data[[#This Row],[Age]]&lt;=45,"Mid-Age",HR_Data[[#This Row],[Age]]&gt;45,"Senior")</f>
        <v>Mid-Age</v>
      </c>
      <c r="S170" s="1" t="str" cm="1">
        <f t="array" ref="S170">_xlfn.IFS(HR_Data[[#This Row],[Monthly Income]]&lt;5000,"Low", HR_Data[[#This Row],[Monthly Income]]&lt;10000,"Medium",TRUE,"High")</f>
        <v>Medium</v>
      </c>
      <c r="T170" s="1" t="str" cm="1">
        <f t="array" ref="T170">_xlfn.IFS(HR_Data[[#This Row],[Total Working Years]]&lt;=5,"Junior", HR_Data[[#This Row],[Total Working Years]]&lt;=15,"Mid-Level", TRUE, "Senior")</f>
        <v>Mid-Level</v>
      </c>
    </row>
    <row r="171" spans="1:20" x14ac:dyDescent="0.25">
      <c r="A171" s="1">
        <v>231</v>
      </c>
      <c r="B171" s="1">
        <v>32</v>
      </c>
      <c r="C171" t="s">
        <v>9</v>
      </c>
      <c r="D171" t="s">
        <v>10</v>
      </c>
      <c r="E171" t="s">
        <v>6</v>
      </c>
      <c r="F171" t="s">
        <v>11</v>
      </c>
      <c r="G171" t="s">
        <v>12</v>
      </c>
      <c r="H171" s="1">
        <v>3</v>
      </c>
      <c r="I171" s="1">
        <v>3038</v>
      </c>
      <c r="J171" t="s">
        <v>9</v>
      </c>
      <c r="K171" s="1">
        <v>20</v>
      </c>
      <c r="L171" s="1">
        <v>4</v>
      </c>
      <c r="M171" s="1">
        <v>8</v>
      </c>
      <c r="N171" s="1">
        <v>3</v>
      </c>
      <c r="O171" s="1">
        <v>5</v>
      </c>
      <c r="P171" s="1">
        <f>COUNTIF(HR_Data[Employee Number],HR_Data[[#This Row],[Employee Number]])</f>
        <v>1</v>
      </c>
      <c r="Q171" s="1" t="str">
        <f>IF(HR_Data[[#This Row],[Years At Company]]&lt;=HR_Data[[#This Row],[Total Working Years]],"Valid","error")</f>
        <v>Valid</v>
      </c>
      <c r="R171" s="1" t="str" cm="1">
        <f t="array" ref="R171">_xlfn.IFS(HR_Data[[#This Row],[Age]]&lt;=30,"Young", HR_Data[[#This Row],[Age]]&lt;=45,"Mid-Age",HR_Data[[#This Row],[Age]]&gt;45,"Senior")</f>
        <v>Mid-Age</v>
      </c>
      <c r="S171" s="1" t="str" cm="1">
        <f t="array" ref="S171">_xlfn.IFS(HR_Data[[#This Row],[Monthly Income]]&lt;5000,"Low", HR_Data[[#This Row],[Monthly Income]]&lt;10000,"Medium",TRUE,"High")</f>
        <v>Low</v>
      </c>
      <c r="T171" s="1" t="str" cm="1">
        <f t="array" ref="T171">_xlfn.IFS(HR_Data[[#This Row],[Total Working Years]]&lt;=5,"Junior", HR_Data[[#This Row],[Total Working Years]]&lt;=15,"Mid-Level", TRUE, "Senior")</f>
        <v>Mid-Level</v>
      </c>
    </row>
    <row r="172" spans="1:20" x14ac:dyDescent="0.25">
      <c r="A172" s="1">
        <v>233</v>
      </c>
      <c r="B172" s="1">
        <v>27</v>
      </c>
      <c r="C172" t="s">
        <v>9</v>
      </c>
      <c r="D172" t="s">
        <v>10</v>
      </c>
      <c r="E172" t="s">
        <v>22</v>
      </c>
      <c r="F172" t="s">
        <v>11</v>
      </c>
      <c r="G172" t="s">
        <v>12</v>
      </c>
      <c r="H172" s="1">
        <v>2</v>
      </c>
      <c r="I172" s="1">
        <v>3058</v>
      </c>
      <c r="J172" t="s">
        <v>4</v>
      </c>
      <c r="K172" s="1">
        <v>16</v>
      </c>
      <c r="L172" s="1">
        <v>3</v>
      </c>
      <c r="M172" s="1">
        <v>6</v>
      </c>
      <c r="N172" s="1">
        <v>2</v>
      </c>
      <c r="O172" s="1">
        <v>5</v>
      </c>
      <c r="P172" s="1">
        <f>COUNTIF(HR_Data[Employee Number],HR_Data[[#This Row],[Employee Number]])</f>
        <v>1</v>
      </c>
      <c r="Q172" s="1" t="str">
        <f>IF(HR_Data[[#This Row],[Years At Company]]&lt;=HR_Data[[#This Row],[Total Working Years]],"Valid","error")</f>
        <v>Valid</v>
      </c>
      <c r="R172" s="1" t="str" cm="1">
        <f t="array" ref="R172">_xlfn.IFS(HR_Data[[#This Row],[Age]]&lt;=30,"Young", HR_Data[[#This Row],[Age]]&lt;=45,"Mid-Age",HR_Data[[#This Row],[Age]]&gt;45,"Senior")</f>
        <v>Young</v>
      </c>
      <c r="S172" s="1" t="str" cm="1">
        <f t="array" ref="S172">_xlfn.IFS(HR_Data[[#This Row],[Monthly Income]]&lt;5000,"Low", HR_Data[[#This Row],[Monthly Income]]&lt;10000,"Medium",TRUE,"High")</f>
        <v>Low</v>
      </c>
      <c r="T172" s="1" t="str" cm="1">
        <f t="array" ref="T172">_xlfn.IFS(HR_Data[[#This Row],[Total Working Years]]&lt;=5,"Junior", HR_Data[[#This Row],[Total Working Years]]&lt;=15,"Mid-Level", TRUE, "Senior")</f>
        <v>Mid-Level</v>
      </c>
    </row>
    <row r="173" spans="1:20" x14ac:dyDescent="0.25">
      <c r="A173" s="1">
        <v>235</v>
      </c>
      <c r="B173" s="1">
        <v>19</v>
      </c>
      <c r="C173" t="s">
        <v>4</v>
      </c>
      <c r="D173" t="s">
        <v>5</v>
      </c>
      <c r="E173" t="s">
        <v>22</v>
      </c>
      <c r="F173" t="s">
        <v>7</v>
      </c>
      <c r="G173" t="s">
        <v>19</v>
      </c>
      <c r="H173" s="1">
        <v>1</v>
      </c>
      <c r="I173" s="1">
        <v>2325</v>
      </c>
      <c r="J173" t="s">
        <v>9</v>
      </c>
      <c r="K173" s="1">
        <v>21</v>
      </c>
      <c r="L173" s="1">
        <v>4</v>
      </c>
      <c r="M173" s="1">
        <v>1</v>
      </c>
      <c r="N173" s="1">
        <v>4</v>
      </c>
      <c r="O173" s="1">
        <v>0</v>
      </c>
      <c r="P173" s="1">
        <f>COUNTIF(HR_Data[Employee Number],HR_Data[[#This Row],[Employee Number]])</f>
        <v>1</v>
      </c>
      <c r="Q173" s="1" t="str">
        <f>IF(HR_Data[[#This Row],[Years At Company]]&lt;=HR_Data[[#This Row],[Total Working Years]],"Valid","error")</f>
        <v>Valid</v>
      </c>
      <c r="R173" s="1" t="str" cm="1">
        <f t="array" ref="R173">_xlfn.IFS(HR_Data[[#This Row],[Age]]&lt;=30,"Young", HR_Data[[#This Row],[Age]]&lt;=45,"Mid-Age",HR_Data[[#This Row],[Age]]&gt;45,"Senior")</f>
        <v>Young</v>
      </c>
      <c r="S173" s="1" t="str" cm="1">
        <f t="array" ref="S173">_xlfn.IFS(HR_Data[[#This Row],[Monthly Income]]&lt;5000,"Low", HR_Data[[#This Row],[Monthly Income]]&lt;10000,"Medium",TRUE,"High")</f>
        <v>Low</v>
      </c>
      <c r="T173" s="1" t="str" cm="1">
        <f t="array" ref="T173">_xlfn.IFS(HR_Data[[#This Row],[Total Working Years]]&lt;=5,"Junior", HR_Data[[#This Row],[Total Working Years]]&lt;=15,"Mid-Level", TRUE, "Senior")</f>
        <v>Junior</v>
      </c>
    </row>
    <row r="174" spans="1:20" x14ac:dyDescent="0.25">
      <c r="A174" s="1">
        <v>238</v>
      </c>
      <c r="B174" s="1">
        <v>36</v>
      </c>
      <c r="C174" t="s">
        <v>9</v>
      </c>
      <c r="D174" t="s">
        <v>10</v>
      </c>
      <c r="E174" t="s">
        <v>15</v>
      </c>
      <c r="F174" t="s">
        <v>11</v>
      </c>
      <c r="G174" t="s">
        <v>14</v>
      </c>
      <c r="H174" s="1">
        <v>2</v>
      </c>
      <c r="I174" s="1">
        <v>2088</v>
      </c>
      <c r="J174" t="s">
        <v>9</v>
      </c>
      <c r="K174" s="1">
        <v>12</v>
      </c>
      <c r="L174" s="1">
        <v>3</v>
      </c>
      <c r="M174" s="1">
        <v>13</v>
      </c>
      <c r="N174" s="1">
        <v>2</v>
      </c>
      <c r="O174" s="1">
        <v>8</v>
      </c>
      <c r="P174" s="1">
        <f>COUNTIF(HR_Data[Employee Number],HR_Data[[#This Row],[Employee Number]])</f>
        <v>1</v>
      </c>
      <c r="Q174" s="1" t="str">
        <f>IF(HR_Data[[#This Row],[Years At Company]]&lt;=HR_Data[[#This Row],[Total Working Years]],"Valid","error")</f>
        <v>Valid</v>
      </c>
      <c r="R174" s="1" t="str" cm="1">
        <f t="array" ref="R174">_xlfn.IFS(HR_Data[[#This Row],[Age]]&lt;=30,"Young", HR_Data[[#This Row],[Age]]&lt;=45,"Mid-Age",HR_Data[[#This Row],[Age]]&gt;45,"Senior")</f>
        <v>Mid-Age</v>
      </c>
      <c r="S174" s="1" t="str" cm="1">
        <f t="array" ref="S174">_xlfn.IFS(HR_Data[[#This Row],[Monthly Income]]&lt;5000,"Low", HR_Data[[#This Row],[Monthly Income]]&lt;10000,"Medium",TRUE,"High")</f>
        <v>Low</v>
      </c>
      <c r="T174" s="1" t="str" cm="1">
        <f t="array" ref="T174">_xlfn.IFS(HR_Data[[#This Row],[Total Working Years]]&lt;=5,"Junior", HR_Data[[#This Row],[Total Working Years]]&lt;=15,"Mid-Level", TRUE, "Senior")</f>
        <v>Mid-Level</v>
      </c>
    </row>
    <row r="175" spans="1:20" x14ac:dyDescent="0.25">
      <c r="A175" s="1">
        <v>239</v>
      </c>
      <c r="B175" s="1">
        <v>30</v>
      </c>
      <c r="C175" t="s">
        <v>9</v>
      </c>
      <c r="D175" t="s">
        <v>10</v>
      </c>
      <c r="E175" t="s">
        <v>15</v>
      </c>
      <c r="F175" t="s">
        <v>11</v>
      </c>
      <c r="G175" t="s">
        <v>14</v>
      </c>
      <c r="H175" s="1">
        <v>1</v>
      </c>
      <c r="I175" s="1">
        <v>3072</v>
      </c>
      <c r="J175" t="s">
        <v>9</v>
      </c>
      <c r="K175" s="1">
        <v>11</v>
      </c>
      <c r="L175" s="1">
        <v>3</v>
      </c>
      <c r="M175" s="1">
        <v>12</v>
      </c>
      <c r="N175" s="1">
        <v>3</v>
      </c>
      <c r="O175" s="1">
        <v>12</v>
      </c>
      <c r="P175" s="1">
        <f>COUNTIF(HR_Data[Employee Number],HR_Data[[#This Row],[Employee Number]])</f>
        <v>1</v>
      </c>
      <c r="Q175" s="1" t="str">
        <f>IF(HR_Data[[#This Row],[Years At Company]]&lt;=HR_Data[[#This Row],[Total Working Years]],"Valid","error")</f>
        <v>Valid</v>
      </c>
      <c r="R175" s="1" t="str" cm="1">
        <f t="array" ref="R175">_xlfn.IFS(HR_Data[[#This Row],[Age]]&lt;=30,"Young", HR_Data[[#This Row],[Age]]&lt;=45,"Mid-Age",HR_Data[[#This Row],[Age]]&gt;45,"Senior")</f>
        <v>Young</v>
      </c>
      <c r="S175" s="1" t="str" cm="1">
        <f t="array" ref="S175">_xlfn.IFS(HR_Data[[#This Row],[Monthly Income]]&lt;5000,"Low", HR_Data[[#This Row],[Monthly Income]]&lt;10000,"Medium",TRUE,"High")</f>
        <v>Low</v>
      </c>
      <c r="T175" s="1" t="str" cm="1">
        <f t="array" ref="T175">_xlfn.IFS(HR_Data[[#This Row],[Total Working Years]]&lt;=5,"Junior", HR_Data[[#This Row],[Total Working Years]]&lt;=15,"Mid-Level", TRUE, "Senior")</f>
        <v>Mid-Level</v>
      </c>
    </row>
    <row r="176" spans="1:20" x14ac:dyDescent="0.25">
      <c r="A176" s="1">
        <v>240</v>
      </c>
      <c r="B176" s="1">
        <v>45</v>
      </c>
      <c r="C176" t="s">
        <v>9</v>
      </c>
      <c r="D176" t="s">
        <v>5</v>
      </c>
      <c r="E176" t="s">
        <v>6</v>
      </c>
      <c r="F176" t="s">
        <v>7</v>
      </c>
      <c r="G176" t="s">
        <v>8</v>
      </c>
      <c r="H176" s="1">
        <v>1</v>
      </c>
      <c r="I176" s="1">
        <v>5006</v>
      </c>
      <c r="J176" t="s">
        <v>4</v>
      </c>
      <c r="K176" s="1">
        <v>11</v>
      </c>
      <c r="L176" s="1">
        <v>3</v>
      </c>
      <c r="M176" s="1">
        <v>9</v>
      </c>
      <c r="N176" s="1">
        <v>4</v>
      </c>
      <c r="O176" s="1">
        <v>5</v>
      </c>
      <c r="P176" s="1">
        <f>COUNTIF(HR_Data[Employee Number],HR_Data[[#This Row],[Employee Number]])</f>
        <v>1</v>
      </c>
      <c r="Q176" s="1" t="str">
        <f>IF(HR_Data[[#This Row],[Years At Company]]&lt;=HR_Data[[#This Row],[Total Working Years]],"Valid","error")</f>
        <v>Valid</v>
      </c>
      <c r="R176" s="1" t="str" cm="1">
        <f t="array" ref="R176">_xlfn.IFS(HR_Data[[#This Row],[Age]]&lt;=30,"Young", HR_Data[[#This Row],[Age]]&lt;=45,"Mid-Age",HR_Data[[#This Row],[Age]]&gt;45,"Senior")</f>
        <v>Mid-Age</v>
      </c>
      <c r="S176" s="1" t="str" cm="1">
        <f t="array" ref="S176">_xlfn.IFS(HR_Data[[#This Row],[Monthly Income]]&lt;5000,"Low", HR_Data[[#This Row],[Monthly Income]]&lt;10000,"Medium",TRUE,"High")</f>
        <v>Medium</v>
      </c>
      <c r="T176" s="1" t="str" cm="1">
        <f t="array" ref="T176">_xlfn.IFS(HR_Data[[#This Row],[Total Working Years]]&lt;=5,"Junior", HR_Data[[#This Row],[Total Working Years]]&lt;=15,"Mid-Level", TRUE, "Senior")</f>
        <v>Mid-Level</v>
      </c>
    </row>
    <row r="177" spans="1:20" x14ac:dyDescent="0.25">
      <c r="A177" s="1">
        <v>241</v>
      </c>
      <c r="B177" s="1">
        <v>56</v>
      </c>
      <c r="C177" t="s">
        <v>9</v>
      </c>
      <c r="D177" t="s">
        <v>10</v>
      </c>
      <c r="E177" t="s">
        <v>6</v>
      </c>
      <c r="F177" t="s">
        <v>7</v>
      </c>
      <c r="G177" t="s">
        <v>12</v>
      </c>
      <c r="H177" s="1">
        <v>1</v>
      </c>
      <c r="I177" s="1">
        <v>4257</v>
      </c>
      <c r="J177" t="s">
        <v>4</v>
      </c>
      <c r="K177" s="1">
        <v>18</v>
      </c>
      <c r="L177" s="1">
        <v>3</v>
      </c>
      <c r="M177" s="1">
        <v>19</v>
      </c>
      <c r="N177" s="1">
        <v>3</v>
      </c>
      <c r="O177" s="1">
        <v>2</v>
      </c>
      <c r="P177" s="1">
        <f>COUNTIF(HR_Data[Employee Number],HR_Data[[#This Row],[Employee Number]])</f>
        <v>1</v>
      </c>
      <c r="Q177" s="1" t="str">
        <f>IF(HR_Data[[#This Row],[Years At Company]]&lt;=HR_Data[[#This Row],[Total Working Years]],"Valid","error")</f>
        <v>Valid</v>
      </c>
      <c r="R177" s="1" t="str" cm="1">
        <f t="array" ref="R177">_xlfn.IFS(HR_Data[[#This Row],[Age]]&lt;=30,"Young", HR_Data[[#This Row],[Age]]&lt;=45,"Mid-Age",HR_Data[[#This Row],[Age]]&gt;45,"Senior")</f>
        <v>Senior</v>
      </c>
      <c r="S177" s="1" t="str" cm="1">
        <f t="array" ref="S177">_xlfn.IFS(HR_Data[[#This Row],[Monthly Income]]&lt;5000,"Low", HR_Data[[#This Row],[Monthly Income]]&lt;10000,"Medium",TRUE,"High")</f>
        <v>Low</v>
      </c>
      <c r="T177" s="1" t="str" cm="1">
        <f t="array" ref="T177">_xlfn.IFS(HR_Data[[#This Row],[Total Working Years]]&lt;=5,"Junior", HR_Data[[#This Row],[Total Working Years]]&lt;=15,"Mid-Level", TRUE, "Senior")</f>
        <v>Senior</v>
      </c>
    </row>
    <row r="178" spans="1:20" x14ac:dyDescent="0.25">
      <c r="A178" s="1">
        <v>242</v>
      </c>
      <c r="B178" s="1">
        <v>33</v>
      </c>
      <c r="C178" t="s">
        <v>9</v>
      </c>
      <c r="D178" t="s">
        <v>10</v>
      </c>
      <c r="E178" t="s">
        <v>6</v>
      </c>
      <c r="F178" t="s">
        <v>11</v>
      </c>
      <c r="G178" t="s">
        <v>12</v>
      </c>
      <c r="H178" s="1">
        <v>4</v>
      </c>
      <c r="I178" s="1">
        <v>2500</v>
      </c>
      <c r="J178" t="s">
        <v>9</v>
      </c>
      <c r="K178" s="1">
        <v>14</v>
      </c>
      <c r="L178" s="1">
        <v>3</v>
      </c>
      <c r="M178" s="1">
        <v>4</v>
      </c>
      <c r="N178" s="1">
        <v>4</v>
      </c>
      <c r="O178" s="1">
        <v>3</v>
      </c>
      <c r="P178" s="1">
        <f>COUNTIF(HR_Data[Employee Number],HR_Data[[#This Row],[Employee Number]])</f>
        <v>1</v>
      </c>
      <c r="Q178" s="1" t="str">
        <f>IF(HR_Data[[#This Row],[Years At Company]]&lt;=HR_Data[[#This Row],[Total Working Years]],"Valid","error")</f>
        <v>Valid</v>
      </c>
      <c r="R178" s="1" t="str" cm="1">
        <f t="array" ref="R178">_xlfn.IFS(HR_Data[[#This Row],[Age]]&lt;=30,"Young", HR_Data[[#This Row],[Age]]&lt;=45,"Mid-Age",HR_Data[[#This Row],[Age]]&gt;45,"Senior")</f>
        <v>Mid-Age</v>
      </c>
      <c r="S178" s="1" t="str" cm="1">
        <f t="array" ref="S178">_xlfn.IFS(HR_Data[[#This Row],[Monthly Income]]&lt;5000,"Low", HR_Data[[#This Row],[Monthly Income]]&lt;10000,"Medium",TRUE,"High")</f>
        <v>Low</v>
      </c>
      <c r="T178" s="1" t="str" cm="1">
        <f t="array" ref="T178">_xlfn.IFS(HR_Data[[#This Row],[Total Working Years]]&lt;=5,"Junior", HR_Data[[#This Row],[Total Working Years]]&lt;=15,"Mid-Level", TRUE, "Senior")</f>
        <v>Junior</v>
      </c>
    </row>
    <row r="179" spans="1:20" x14ac:dyDescent="0.25">
      <c r="A179" s="1">
        <v>243</v>
      </c>
      <c r="B179" s="1">
        <v>19</v>
      </c>
      <c r="C179" t="s">
        <v>4</v>
      </c>
      <c r="D179" t="s">
        <v>10</v>
      </c>
      <c r="E179" t="s">
        <v>6</v>
      </c>
      <c r="F179" t="s">
        <v>11</v>
      </c>
      <c r="G179" t="s">
        <v>14</v>
      </c>
      <c r="H179" s="1">
        <v>4</v>
      </c>
      <c r="I179" s="1">
        <v>1102</v>
      </c>
      <c r="J179" t="s">
        <v>9</v>
      </c>
      <c r="K179" s="1">
        <v>22</v>
      </c>
      <c r="L179" s="1">
        <v>4</v>
      </c>
      <c r="M179" s="1">
        <v>1</v>
      </c>
      <c r="N179" s="1">
        <v>2</v>
      </c>
      <c r="O179" s="1">
        <v>1</v>
      </c>
      <c r="P179" s="1">
        <f>COUNTIF(HR_Data[Employee Number],HR_Data[[#This Row],[Employee Number]])</f>
        <v>1</v>
      </c>
      <c r="Q179" s="1" t="str">
        <f>IF(HR_Data[[#This Row],[Years At Company]]&lt;=HR_Data[[#This Row],[Total Working Years]],"Valid","error")</f>
        <v>Valid</v>
      </c>
      <c r="R179" s="1" t="str" cm="1">
        <f t="array" ref="R179">_xlfn.IFS(HR_Data[[#This Row],[Age]]&lt;=30,"Young", HR_Data[[#This Row],[Age]]&lt;=45,"Mid-Age",HR_Data[[#This Row],[Age]]&gt;45,"Senior")</f>
        <v>Young</v>
      </c>
      <c r="S179" s="1" t="str" cm="1">
        <f t="array" ref="S179">_xlfn.IFS(HR_Data[[#This Row],[Monthly Income]]&lt;5000,"Low", HR_Data[[#This Row],[Monthly Income]]&lt;10000,"Medium",TRUE,"High")</f>
        <v>Low</v>
      </c>
      <c r="T179" s="1" t="str" cm="1">
        <f t="array" ref="T179">_xlfn.IFS(HR_Data[[#This Row],[Total Working Years]]&lt;=5,"Junior", HR_Data[[#This Row],[Total Working Years]]&lt;=15,"Mid-Level", TRUE, "Senior")</f>
        <v>Junior</v>
      </c>
    </row>
    <row r="180" spans="1:20" x14ac:dyDescent="0.25">
      <c r="A180" s="1">
        <v>244</v>
      </c>
      <c r="B180" s="1">
        <v>46</v>
      </c>
      <c r="C180" t="s">
        <v>9</v>
      </c>
      <c r="D180" t="s">
        <v>5</v>
      </c>
      <c r="E180" t="s">
        <v>21</v>
      </c>
      <c r="F180" t="s">
        <v>7</v>
      </c>
      <c r="G180" t="s">
        <v>8</v>
      </c>
      <c r="H180" s="1">
        <v>1</v>
      </c>
      <c r="I180" s="1">
        <v>10453</v>
      </c>
      <c r="J180" t="s">
        <v>9</v>
      </c>
      <c r="K180" s="1">
        <v>25</v>
      </c>
      <c r="L180" s="1">
        <v>4</v>
      </c>
      <c r="M180" s="1">
        <v>24</v>
      </c>
      <c r="N180" s="1">
        <v>3</v>
      </c>
      <c r="O180" s="1">
        <v>24</v>
      </c>
      <c r="P180" s="1">
        <f>COUNTIF(HR_Data[Employee Number],HR_Data[[#This Row],[Employee Number]])</f>
        <v>1</v>
      </c>
      <c r="Q180" s="1" t="str">
        <f>IF(HR_Data[[#This Row],[Years At Company]]&lt;=HR_Data[[#This Row],[Total Working Years]],"Valid","error")</f>
        <v>Valid</v>
      </c>
      <c r="R180" s="1" t="str" cm="1">
        <f t="array" ref="R180">_xlfn.IFS(HR_Data[[#This Row],[Age]]&lt;=30,"Young", HR_Data[[#This Row],[Age]]&lt;=45,"Mid-Age",HR_Data[[#This Row],[Age]]&gt;45,"Senior")</f>
        <v>Senior</v>
      </c>
      <c r="S180" s="1" t="str" cm="1">
        <f t="array" ref="S180">_xlfn.IFS(HR_Data[[#This Row],[Monthly Income]]&lt;5000,"Low", HR_Data[[#This Row],[Monthly Income]]&lt;10000,"Medium",TRUE,"High")</f>
        <v>High</v>
      </c>
      <c r="T180" s="1" t="str" cm="1">
        <f t="array" ref="T180">_xlfn.IFS(HR_Data[[#This Row],[Total Working Years]]&lt;=5,"Junior", HR_Data[[#This Row],[Total Working Years]]&lt;=15,"Mid-Level", TRUE, "Senior")</f>
        <v>Senior</v>
      </c>
    </row>
    <row r="181" spans="1:20" x14ac:dyDescent="0.25">
      <c r="A181" s="1">
        <v>245</v>
      </c>
      <c r="B181" s="1">
        <v>38</v>
      </c>
      <c r="C181" t="s">
        <v>9</v>
      </c>
      <c r="D181" t="s">
        <v>10</v>
      </c>
      <c r="E181" t="s">
        <v>6</v>
      </c>
      <c r="F181" t="s">
        <v>7</v>
      </c>
      <c r="G181" t="s">
        <v>14</v>
      </c>
      <c r="H181" s="1">
        <v>4</v>
      </c>
      <c r="I181" s="1">
        <v>2288</v>
      </c>
      <c r="J181" t="s">
        <v>9</v>
      </c>
      <c r="K181" s="1">
        <v>12</v>
      </c>
      <c r="L181" s="1">
        <v>3</v>
      </c>
      <c r="M181" s="1">
        <v>2</v>
      </c>
      <c r="N181" s="1">
        <v>3</v>
      </c>
      <c r="O181" s="1">
        <v>2</v>
      </c>
      <c r="P181" s="1">
        <f>COUNTIF(HR_Data[Employee Number],HR_Data[[#This Row],[Employee Number]])</f>
        <v>1</v>
      </c>
      <c r="Q181" s="1" t="str">
        <f>IF(HR_Data[[#This Row],[Years At Company]]&lt;=HR_Data[[#This Row],[Total Working Years]],"Valid","error")</f>
        <v>Valid</v>
      </c>
      <c r="R181" s="1" t="str" cm="1">
        <f t="array" ref="R181">_xlfn.IFS(HR_Data[[#This Row],[Age]]&lt;=30,"Young", HR_Data[[#This Row],[Age]]&lt;=45,"Mid-Age",HR_Data[[#This Row],[Age]]&gt;45,"Senior")</f>
        <v>Mid-Age</v>
      </c>
      <c r="S181" s="1" t="str" cm="1">
        <f t="array" ref="S181">_xlfn.IFS(HR_Data[[#This Row],[Monthly Income]]&lt;5000,"Low", HR_Data[[#This Row],[Monthly Income]]&lt;10000,"Medium",TRUE,"High")</f>
        <v>Low</v>
      </c>
      <c r="T181" s="1" t="str" cm="1">
        <f t="array" ref="T181">_xlfn.IFS(HR_Data[[#This Row],[Total Working Years]]&lt;=5,"Junior", HR_Data[[#This Row],[Total Working Years]]&lt;=15,"Mid-Level", TRUE, "Senior")</f>
        <v>Junior</v>
      </c>
    </row>
    <row r="182" spans="1:20" x14ac:dyDescent="0.25">
      <c r="A182" s="1">
        <v>246</v>
      </c>
      <c r="B182" s="1">
        <v>31</v>
      </c>
      <c r="C182" t="s">
        <v>9</v>
      </c>
      <c r="D182" t="s">
        <v>10</v>
      </c>
      <c r="E182" t="s">
        <v>15</v>
      </c>
      <c r="F182" t="s">
        <v>7</v>
      </c>
      <c r="G182" t="s">
        <v>12</v>
      </c>
      <c r="H182" s="1">
        <v>4</v>
      </c>
      <c r="I182" s="1">
        <v>3929</v>
      </c>
      <c r="J182" t="s">
        <v>4</v>
      </c>
      <c r="K182" s="1">
        <v>23</v>
      </c>
      <c r="L182" s="1">
        <v>4</v>
      </c>
      <c r="M182" s="1">
        <v>7</v>
      </c>
      <c r="N182" s="1">
        <v>3</v>
      </c>
      <c r="O182" s="1">
        <v>4</v>
      </c>
      <c r="P182" s="1">
        <f>COUNTIF(HR_Data[Employee Number],HR_Data[[#This Row],[Employee Number]])</f>
        <v>1</v>
      </c>
      <c r="Q182" s="1" t="str">
        <f>IF(HR_Data[[#This Row],[Years At Company]]&lt;=HR_Data[[#This Row],[Total Working Years]],"Valid","error")</f>
        <v>Valid</v>
      </c>
      <c r="R182" s="1" t="str" cm="1">
        <f t="array" ref="R182">_xlfn.IFS(HR_Data[[#This Row],[Age]]&lt;=30,"Young", HR_Data[[#This Row],[Age]]&lt;=45,"Mid-Age",HR_Data[[#This Row],[Age]]&gt;45,"Senior")</f>
        <v>Mid-Age</v>
      </c>
      <c r="S182" s="1" t="str" cm="1">
        <f t="array" ref="S182">_xlfn.IFS(HR_Data[[#This Row],[Monthly Income]]&lt;5000,"Low", HR_Data[[#This Row],[Monthly Income]]&lt;10000,"Medium",TRUE,"High")</f>
        <v>Low</v>
      </c>
      <c r="T182" s="1" t="str" cm="1">
        <f t="array" ref="T182">_xlfn.IFS(HR_Data[[#This Row],[Total Working Years]]&lt;=5,"Junior", HR_Data[[#This Row],[Total Working Years]]&lt;=15,"Mid-Level", TRUE, "Senior")</f>
        <v>Mid-Level</v>
      </c>
    </row>
    <row r="183" spans="1:20" x14ac:dyDescent="0.25">
      <c r="A183" s="1">
        <v>247</v>
      </c>
      <c r="B183" s="1">
        <v>34</v>
      </c>
      <c r="C183" t="s">
        <v>9</v>
      </c>
      <c r="D183" t="s">
        <v>10</v>
      </c>
      <c r="E183" t="s">
        <v>15</v>
      </c>
      <c r="F183" t="s">
        <v>7</v>
      </c>
      <c r="G183" t="s">
        <v>12</v>
      </c>
      <c r="H183" s="1">
        <v>2</v>
      </c>
      <c r="I183" s="1">
        <v>2311</v>
      </c>
      <c r="J183" t="s">
        <v>9</v>
      </c>
      <c r="K183" s="1">
        <v>15</v>
      </c>
      <c r="L183" s="1">
        <v>3</v>
      </c>
      <c r="M183" s="1">
        <v>9</v>
      </c>
      <c r="N183" s="1">
        <v>3</v>
      </c>
      <c r="O183" s="1">
        <v>3</v>
      </c>
      <c r="P183" s="1">
        <f>COUNTIF(HR_Data[Employee Number],HR_Data[[#This Row],[Employee Number]])</f>
        <v>1</v>
      </c>
      <c r="Q183" s="1" t="str">
        <f>IF(HR_Data[[#This Row],[Years At Company]]&lt;=HR_Data[[#This Row],[Total Working Years]],"Valid","error")</f>
        <v>Valid</v>
      </c>
      <c r="R183" s="1" t="str" cm="1">
        <f t="array" ref="R183">_xlfn.IFS(HR_Data[[#This Row],[Age]]&lt;=30,"Young", HR_Data[[#This Row],[Age]]&lt;=45,"Mid-Age",HR_Data[[#This Row],[Age]]&gt;45,"Senior")</f>
        <v>Mid-Age</v>
      </c>
      <c r="S183" s="1" t="str" cm="1">
        <f t="array" ref="S183">_xlfn.IFS(HR_Data[[#This Row],[Monthly Income]]&lt;5000,"Low", HR_Data[[#This Row],[Monthly Income]]&lt;10000,"Medium",TRUE,"High")</f>
        <v>Low</v>
      </c>
      <c r="T183" s="1" t="str" cm="1">
        <f t="array" ref="T183">_xlfn.IFS(HR_Data[[#This Row],[Total Working Years]]&lt;=5,"Junior", HR_Data[[#This Row],[Total Working Years]]&lt;=15,"Mid-Level", TRUE, "Senior")</f>
        <v>Mid-Level</v>
      </c>
    </row>
    <row r="184" spans="1:20" x14ac:dyDescent="0.25">
      <c r="A184" s="1">
        <v>248</v>
      </c>
      <c r="B184" s="1">
        <v>41</v>
      </c>
      <c r="C184" t="s">
        <v>4</v>
      </c>
      <c r="D184" t="s">
        <v>5</v>
      </c>
      <c r="E184" t="s">
        <v>21</v>
      </c>
      <c r="F184" t="s">
        <v>7</v>
      </c>
      <c r="G184" t="s">
        <v>19</v>
      </c>
      <c r="H184" s="1">
        <v>2</v>
      </c>
      <c r="I184" s="1">
        <v>3140</v>
      </c>
      <c r="J184" t="s">
        <v>4</v>
      </c>
      <c r="K184" s="1">
        <v>22</v>
      </c>
      <c r="L184" s="1">
        <v>4</v>
      </c>
      <c r="M184" s="1">
        <v>4</v>
      </c>
      <c r="N184" s="1">
        <v>2</v>
      </c>
      <c r="O184" s="1">
        <v>4</v>
      </c>
      <c r="P184" s="1">
        <f>COUNTIF(HR_Data[Employee Number],HR_Data[[#This Row],[Employee Number]])</f>
        <v>1</v>
      </c>
      <c r="Q184" s="1" t="str">
        <f>IF(HR_Data[[#This Row],[Years At Company]]&lt;=HR_Data[[#This Row],[Total Working Years]],"Valid","error")</f>
        <v>Valid</v>
      </c>
      <c r="R184" s="1" t="str" cm="1">
        <f t="array" ref="R184">_xlfn.IFS(HR_Data[[#This Row],[Age]]&lt;=30,"Young", HR_Data[[#This Row],[Age]]&lt;=45,"Mid-Age",HR_Data[[#This Row],[Age]]&gt;45,"Senior")</f>
        <v>Mid-Age</v>
      </c>
      <c r="S184" s="1" t="str" cm="1">
        <f t="array" ref="S184">_xlfn.IFS(HR_Data[[#This Row],[Monthly Income]]&lt;5000,"Low", HR_Data[[#This Row],[Monthly Income]]&lt;10000,"Medium",TRUE,"High")</f>
        <v>Low</v>
      </c>
      <c r="T184" s="1" t="str" cm="1">
        <f t="array" ref="T184">_xlfn.IFS(HR_Data[[#This Row],[Total Working Years]]&lt;=5,"Junior", HR_Data[[#This Row],[Total Working Years]]&lt;=15,"Mid-Level", TRUE, "Senior")</f>
        <v>Junior</v>
      </c>
    </row>
    <row r="185" spans="1:20" x14ac:dyDescent="0.25">
      <c r="A185" s="1">
        <v>249</v>
      </c>
      <c r="B185" s="1">
        <v>50</v>
      </c>
      <c r="C185" t="s">
        <v>9</v>
      </c>
      <c r="D185" t="s">
        <v>10</v>
      </c>
      <c r="E185" t="s">
        <v>15</v>
      </c>
      <c r="F185" t="s">
        <v>11</v>
      </c>
      <c r="G185" t="s">
        <v>14</v>
      </c>
      <c r="H185" s="1">
        <v>3</v>
      </c>
      <c r="I185" s="1">
        <v>3690</v>
      </c>
      <c r="J185" t="s">
        <v>9</v>
      </c>
      <c r="K185" s="1">
        <v>15</v>
      </c>
      <c r="L185" s="1">
        <v>3</v>
      </c>
      <c r="M185" s="1">
        <v>5</v>
      </c>
      <c r="N185" s="1">
        <v>2</v>
      </c>
      <c r="O185" s="1">
        <v>3</v>
      </c>
      <c r="P185" s="1">
        <f>COUNTIF(HR_Data[Employee Number],HR_Data[[#This Row],[Employee Number]])</f>
        <v>1</v>
      </c>
      <c r="Q185" s="1" t="str">
        <f>IF(HR_Data[[#This Row],[Years At Company]]&lt;=HR_Data[[#This Row],[Total Working Years]],"Valid","error")</f>
        <v>Valid</v>
      </c>
      <c r="R185" s="1" t="str" cm="1">
        <f t="array" ref="R185">_xlfn.IFS(HR_Data[[#This Row],[Age]]&lt;=30,"Young", HR_Data[[#This Row],[Age]]&lt;=45,"Mid-Age",HR_Data[[#This Row],[Age]]&gt;45,"Senior")</f>
        <v>Senior</v>
      </c>
      <c r="S185" s="1" t="str" cm="1">
        <f t="array" ref="S185">_xlfn.IFS(HR_Data[[#This Row],[Monthly Income]]&lt;5000,"Low", HR_Data[[#This Row],[Monthly Income]]&lt;10000,"Medium",TRUE,"High")</f>
        <v>Low</v>
      </c>
      <c r="T185" s="1" t="str" cm="1">
        <f t="array" ref="T185">_xlfn.IFS(HR_Data[[#This Row],[Total Working Years]]&lt;=5,"Junior", HR_Data[[#This Row],[Total Working Years]]&lt;=15,"Mid-Level", TRUE, "Senior")</f>
        <v>Junior</v>
      </c>
    </row>
    <row r="186" spans="1:20" x14ac:dyDescent="0.25">
      <c r="A186" s="1">
        <v>250</v>
      </c>
      <c r="B186" s="1">
        <v>53</v>
      </c>
      <c r="C186" t="s">
        <v>9</v>
      </c>
      <c r="D186" t="s">
        <v>10</v>
      </c>
      <c r="E186" t="s">
        <v>15</v>
      </c>
      <c r="F186" t="s">
        <v>7</v>
      </c>
      <c r="G186" t="s">
        <v>16</v>
      </c>
      <c r="H186" s="1">
        <v>1</v>
      </c>
      <c r="I186" s="1">
        <v>4450</v>
      </c>
      <c r="J186" t="s">
        <v>9</v>
      </c>
      <c r="K186" s="1">
        <v>11</v>
      </c>
      <c r="L186" s="1">
        <v>3</v>
      </c>
      <c r="M186" s="1">
        <v>5</v>
      </c>
      <c r="N186" s="1">
        <v>3</v>
      </c>
      <c r="O186" s="1">
        <v>4</v>
      </c>
      <c r="P186" s="1">
        <f>COUNTIF(HR_Data[Employee Number],HR_Data[[#This Row],[Employee Number]])</f>
        <v>1</v>
      </c>
      <c r="Q186" s="1" t="str">
        <f>IF(HR_Data[[#This Row],[Years At Company]]&lt;=HR_Data[[#This Row],[Total Working Years]],"Valid","error")</f>
        <v>Valid</v>
      </c>
      <c r="R186" s="1" t="str" cm="1">
        <f t="array" ref="R186">_xlfn.IFS(HR_Data[[#This Row],[Age]]&lt;=30,"Young", HR_Data[[#This Row],[Age]]&lt;=45,"Mid-Age",HR_Data[[#This Row],[Age]]&gt;45,"Senior")</f>
        <v>Senior</v>
      </c>
      <c r="S186" s="1" t="str" cm="1">
        <f t="array" ref="S186">_xlfn.IFS(HR_Data[[#This Row],[Monthly Income]]&lt;5000,"Low", HR_Data[[#This Row],[Monthly Income]]&lt;10000,"Medium",TRUE,"High")</f>
        <v>Low</v>
      </c>
      <c r="T186" s="1" t="str" cm="1">
        <f t="array" ref="T186">_xlfn.IFS(HR_Data[[#This Row],[Total Working Years]]&lt;=5,"Junior", HR_Data[[#This Row],[Total Working Years]]&lt;=15,"Mid-Level", TRUE, "Senior")</f>
        <v>Junior</v>
      </c>
    </row>
    <row r="187" spans="1:20" x14ac:dyDescent="0.25">
      <c r="A187" s="1">
        <v>252</v>
      </c>
      <c r="B187" s="1">
        <v>33</v>
      </c>
      <c r="C187" t="s">
        <v>9</v>
      </c>
      <c r="D187" t="s">
        <v>10</v>
      </c>
      <c r="E187" t="s">
        <v>15</v>
      </c>
      <c r="F187" t="s">
        <v>7</v>
      </c>
      <c r="G187" t="s">
        <v>12</v>
      </c>
      <c r="H187" s="1">
        <v>2</v>
      </c>
      <c r="I187" s="1">
        <v>2756</v>
      </c>
      <c r="J187" t="s">
        <v>9</v>
      </c>
      <c r="K187" s="1">
        <v>13</v>
      </c>
      <c r="L187" s="1">
        <v>3</v>
      </c>
      <c r="M187" s="1">
        <v>8</v>
      </c>
      <c r="N187" s="1">
        <v>3</v>
      </c>
      <c r="O187" s="1">
        <v>8</v>
      </c>
      <c r="P187" s="1">
        <f>COUNTIF(HR_Data[Employee Number],HR_Data[[#This Row],[Employee Number]])</f>
        <v>1</v>
      </c>
      <c r="Q187" s="1" t="str">
        <f>IF(HR_Data[[#This Row],[Years At Company]]&lt;=HR_Data[[#This Row],[Total Working Years]],"Valid","error")</f>
        <v>Valid</v>
      </c>
      <c r="R187" s="1" t="str" cm="1">
        <f t="array" ref="R187">_xlfn.IFS(HR_Data[[#This Row],[Age]]&lt;=30,"Young", HR_Data[[#This Row],[Age]]&lt;=45,"Mid-Age",HR_Data[[#This Row],[Age]]&gt;45,"Senior")</f>
        <v>Mid-Age</v>
      </c>
      <c r="S187" s="1" t="str" cm="1">
        <f t="array" ref="S187">_xlfn.IFS(HR_Data[[#This Row],[Monthly Income]]&lt;5000,"Low", HR_Data[[#This Row],[Monthly Income]]&lt;10000,"Medium",TRUE,"High")</f>
        <v>Low</v>
      </c>
      <c r="T187" s="1" t="str" cm="1">
        <f t="array" ref="T187">_xlfn.IFS(HR_Data[[#This Row],[Total Working Years]]&lt;=5,"Junior", HR_Data[[#This Row],[Total Working Years]]&lt;=15,"Mid-Level", TRUE, "Senior")</f>
        <v>Mid-Level</v>
      </c>
    </row>
    <row r="188" spans="1:20" x14ac:dyDescent="0.25">
      <c r="A188" s="1">
        <v>253</v>
      </c>
      <c r="B188" s="1">
        <v>40</v>
      </c>
      <c r="C188" t="s">
        <v>9</v>
      </c>
      <c r="D188" t="s">
        <v>10</v>
      </c>
      <c r="E188" t="s">
        <v>15</v>
      </c>
      <c r="F188" t="s">
        <v>7</v>
      </c>
      <c r="G188" t="s">
        <v>18</v>
      </c>
      <c r="H188" s="1">
        <v>3</v>
      </c>
      <c r="I188" s="1">
        <v>19033</v>
      </c>
      <c r="J188" t="s">
        <v>9</v>
      </c>
      <c r="K188" s="1">
        <v>14</v>
      </c>
      <c r="L188" s="1">
        <v>3</v>
      </c>
      <c r="M188" s="1">
        <v>21</v>
      </c>
      <c r="N188" s="1">
        <v>3</v>
      </c>
      <c r="O188" s="1">
        <v>20</v>
      </c>
      <c r="P188" s="1">
        <f>COUNTIF(HR_Data[Employee Number],HR_Data[[#This Row],[Employee Number]])</f>
        <v>1</v>
      </c>
      <c r="Q188" s="1" t="str">
        <f>IF(HR_Data[[#This Row],[Years At Company]]&lt;=HR_Data[[#This Row],[Total Working Years]],"Valid","error")</f>
        <v>Valid</v>
      </c>
      <c r="R188" s="1" t="str" cm="1">
        <f t="array" ref="R188">_xlfn.IFS(HR_Data[[#This Row],[Age]]&lt;=30,"Young", HR_Data[[#This Row],[Age]]&lt;=45,"Mid-Age",HR_Data[[#This Row],[Age]]&gt;45,"Senior")</f>
        <v>Mid-Age</v>
      </c>
      <c r="S188" s="1" t="str" cm="1">
        <f t="array" ref="S188">_xlfn.IFS(HR_Data[[#This Row],[Monthly Income]]&lt;5000,"Low", HR_Data[[#This Row],[Monthly Income]]&lt;10000,"Medium",TRUE,"High")</f>
        <v>High</v>
      </c>
      <c r="T188" s="1" t="str" cm="1">
        <f t="array" ref="T188">_xlfn.IFS(HR_Data[[#This Row],[Total Working Years]]&lt;=5,"Junior", HR_Data[[#This Row],[Total Working Years]]&lt;=15,"Mid-Level", TRUE, "Senior")</f>
        <v>Senior</v>
      </c>
    </row>
    <row r="189" spans="1:20" x14ac:dyDescent="0.25">
      <c r="A189" s="1">
        <v>254</v>
      </c>
      <c r="B189" s="1">
        <v>55</v>
      </c>
      <c r="C189" t="s">
        <v>9</v>
      </c>
      <c r="D189" t="s">
        <v>10</v>
      </c>
      <c r="E189" t="s">
        <v>15</v>
      </c>
      <c r="F189" t="s">
        <v>11</v>
      </c>
      <c r="G189" t="s">
        <v>20</v>
      </c>
      <c r="H189" s="1">
        <v>2</v>
      </c>
      <c r="I189" s="1">
        <v>18722</v>
      </c>
      <c r="J189" t="s">
        <v>9</v>
      </c>
      <c r="K189" s="1">
        <v>11</v>
      </c>
      <c r="L189" s="1">
        <v>3</v>
      </c>
      <c r="M189" s="1">
        <v>36</v>
      </c>
      <c r="N189" s="1">
        <v>3</v>
      </c>
      <c r="O189" s="1">
        <v>24</v>
      </c>
      <c r="P189" s="1">
        <f>COUNTIF(HR_Data[Employee Number],HR_Data[[#This Row],[Employee Number]])</f>
        <v>1</v>
      </c>
      <c r="Q189" s="1" t="str">
        <f>IF(HR_Data[[#This Row],[Years At Company]]&lt;=HR_Data[[#This Row],[Total Working Years]],"Valid","error")</f>
        <v>Valid</v>
      </c>
      <c r="R189" s="1" t="str" cm="1">
        <f t="array" ref="R189">_xlfn.IFS(HR_Data[[#This Row],[Age]]&lt;=30,"Young", HR_Data[[#This Row],[Age]]&lt;=45,"Mid-Age",HR_Data[[#This Row],[Age]]&gt;45,"Senior")</f>
        <v>Senior</v>
      </c>
      <c r="S189" s="1" t="str" cm="1">
        <f t="array" ref="S189">_xlfn.IFS(HR_Data[[#This Row],[Monthly Income]]&lt;5000,"Low", HR_Data[[#This Row],[Monthly Income]]&lt;10000,"Medium",TRUE,"High")</f>
        <v>High</v>
      </c>
      <c r="T189" s="1" t="str" cm="1">
        <f t="array" ref="T189">_xlfn.IFS(HR_Data[[#This Row],[Total Working Years]]&lt;=5,"Junior", HR_Data[[#This Row],[Total Working Years]]&lt;=15,"Mid-Level", TRUE, "Senior")</f>
        <v>Senior</v>
      </c>
    </row>
    <row r="190" spans="1:20" x14ac:dyDescent="0.25">
      <c r="A190" s="1">
        <v>256</v>
      </c>
      <c r="B190" s="1">
        <v>34</v>
      </c>
      <c r="C190" t="s">
        <v>9</v>
      </c>
      <c r="D190" t="s">
        <v>10</v>
      </c>
      <c r="E190" t="s">
        <v>6</v>
      </c>
      <c r="F190" t="s">
        <v>11</v>
      </c>
      <c r="G190" t="s">
        <v>16</v>
      </c>
      <c r="H190" s="1">
        <v>3</v>
      </c>
      <c r="I190" s="1">
        <v>9547</v>
      </c>
      <c r="J190" t="s">
        <v>9</v>
      </c>
      <c r="K190" s="1">
        <v>17</v>
      </c>
      <c r="L190" s="1">
        <v>3</v>
      </c>
      <c r="M190" s="1">
        <v>10</v>
      </c>
      <c r="N190" s="1">
        <v>2</v>
      </c>
      <c r="O190" s="1">
        <v>10</v>
      </c>
      <c r="P190" s="1">
        <f>COUNTIF(HR_Data[Employee Number],HR_Data[[#This Row],[Employee Number]])</f>
        <v>1</v>
      </c>
      <c r="Q190" s="1" t="str">
        <f>IF(HR_Data[[#This Row],[Years At Company]]&lt;=HR_Data[[#This Row],[Total Working Years]],"Valid","error")</f>
        <v>Valid</v>
      </c>
      <c r="R190" s="1" t="str" cm="1">
        <f t="array" ref="R190">_xlfn.IFS(HR_Data[[#This Row],[Age]]&lt;=30,"Young", HR_Data[[#This Row],[Age]]&lt;=45,"Mid-Age",HR_Data[[#This Row],[Age]]&gt;45,"Senior")</f>
        <v>Mid-Age</v>
      </c>
      <c r="S190" s="1" t="str" cm="1">
        <f t="array" ref="S190">_xlfn.IFS(HR_Data[[#This Row],[Monthly Income]]&lt;5000,"Low", HR_Data[[#This Row],[Monthly Income]]&lt;10000,"Medium",TRUE,"High")</f>
        <v>Medium</v>
      </c>
      <c r="T190" s="1" t="str" cm="1">
        <f t="array" ref="T190">_xlfn.IFS(HR_Data[[#This Row],[Total Working Years]]&lt;=5,"Junior", HR_Data[[#This Row],[Total Working Years]]&lt;=15,"Mid-Level", TRUE, "Senior")</f>
        <v>Mid-Level</v>
      </c>
    </row>
    <row r="191" spans="1:20" x14ac:dyDescent="0.25">
      <c r="A191" s="1">
        <v>258</v>
      </c>
      <c r="B191" s="1">
        <v>51</v>
      </c>
      <c r="C191" t="s">
        <v>9</v>
      </c>
      <c r="D191" t="s">
        <v>10</v>
      </c>
      <c r="E191" t="s">
        <v>15</v>
      </c>
      <c r="F191" t="s">
        <v>7</v>
      </c>
      <c r="G191" t="s">
        <v>17</v>
      </c>
      <c r="H191" s="1">
        <v>2</v>
      </c>
      <c r="I191" s="1">
        <v>13734</v>
      </c>
      <c r="J191" t="s">
        <v>9</v>
      </c>
      <c r="K191" s="1">
        <v>18</v>
      </c>
      <c r="L191" s="1">
        <v>3</v>
      </c>
      <c r="M191" s="1">
        <v>21</v>
      </c>
      <c r="N191" s="1">
        <v>3</v>
      </c>
      <c r="O191" s="1">
        <v>7</v>
      </c>
      <c r="P191" s="1">
        <f>COUNTIF(HR_Data[Employee Number],HR_Data[[#This Row],[Employee Number]])</f>
        <v>1</v>
      </c>
      <c r="Q191" s="1" t="str">
        <f>IF(HR_Data[[#This Row],[Years At Company]]&lt;=HR_Data[[#This Row],[Total Working Years]],"Valid","error")</f>
        <v>Valid</v>
      </c>
      <c r="R191" s="1" t="str" cm="1">
        <f t="array" ref="R191">_xlfn.IFS(HR_Data[[#This Row],[Age]]&lt;=30,"Young", HR_Data[[#This Row],[Age]]&lt;=45,"Mid-Age",HR_Data[[#This Row],[Age]]&gt;45,"Senior")</f>
        <v>Senior</v>
      </c>
      <c r="S191" s="1" t="str" cm="1">
        <f t="array" ref="S191">_xlfn.IFS(HR_Data[[#This Row],[Monthly Income]]&lt;5000,"Low", HR_Data[[#This Row],[Monthly Income]]&lt;10000,"Medium",TRUE,"High")</f>
        <v>High</v>
      </c>
      <c r="T191" s="1" t="str" cm="1">
        <f t="array" ref="T191">_xlfn.IFS(HR_Data[[#This Row],[Total Working Years]]&lt;=5,"Junior", HR_Data[[#This Row],[Total Working Years]]&lt;=15,"Mid-Level", TRUE, "Senior")</f>
        <v>Senior</v>
      </c>
    </row>
    <row r="192" spans="1:20" x14ac:dyDescent="0.25">
      <c r="A192" s="1">
        <v>259</v>
      </c>
      <c r="B192" s="1">
        <v>52</v>
      </c>
      <c r="C192" t="s">
        <v>9</v>
      </c>
      <c r="D192" t="s">
        <v>10</v>
      </c>
      <c r="E192" t="s">
        <v>6</v>
      </c>
      <c r="F192" t="s">
        <v>11</v>
      </c>
      <c r="G192" t="s">
        <v>18</v>
      </c>
      <c r="H192" s="1">
        <v>3</v>
      </c>
      <c r="I192" s="1">
        <v>19999</v>
      </c>
      <c r="J192" t="s">
        <v>9</v>
      </c>
      <c r="K192" s="1">
        <v>14</v>
      </c>
      <c r="L192" s="1">
        <v>3</v>
      </c>
      <c r="M192" s="1">
        <v>34</v>
      </c>
      <c r="N192" s="1">
        <v>3</v>
      </c>
      <c r="O192" s="1">
        <v>33</v>
      </c>
      <c r="P192" s="1">
        <f>COUNTIF(HR_Data[Employee Number],HR_Data[[#This Row],[Employee Number]])</f>
        <v>1</v>
      </c>
      <c r="Q192" s="1" t="str">
        <f>IF(HR_Data[[#This Row],[Years At Company]]&lt;=HR_Data[[#This Row],[Total Working Years]],"Valid","error")</f>
        <v>Valid</v>
      </c>
      <c r="R192" s="1" t="str" cm="1">
        <f t="array" ref="R192">_xlfn.IFS(HR_Data[[#This Row],[Age]]&lt;=30,"Young", HR_Data[[#This Row],[Age]]&lt;=45,"Mid-Age",HR_Data[[#This Row],[Age]]&gt;45,"Senior")</f>
        <v>Senior</v>
      </c>
      <c r="S192" s="1" t="str" cm="1">
        <f t="array" ref="S192">_xlfn.IFS(HR_Data[[#This Row],[Monthly Income]]&lt;5000,"Low", HR_Data[[#This Row],[Monthly Income]]&lt;10000,"Medium",TRUE,"High")</f>
        <v>High</v>
      </c>
      <c r="T192" s="1" t="str" cm="1">
        <f t="array" ref="T192">_xlfn.IFS(HR_Data[[#This Row],[Total Working Years]]&lt;=5,"Junior", HR_Data[[#This Row],[Total Working Years]]&lt;=15,"Mid-Level", TRUE, "Senior")</f>
        <v>Senior</v>
      </c>
    </row>
    <row r="193" spans="1:20" x14ac:dyDescent="0.25">
      <c r="A193" s="1">
        <v>260</v>
      </c>
      <c r="B193" s="1">
        <v>27</v>
      </c>
      <c r="C193" t="s">
        <v>9</v>
      </c>
      <c r="D193" t="s">
        <v>10</v>
      </c>
      <c r="E193" t="s">
        <v>15</v>
      </c>
      <c r="F193" t="s">
        <v>7</v>
      </c>
      <c r="G193" t="s">
        <v>12</v>
      </c>
      <c r="H193" s="1">
        <v>2</v>
      </c>
      <c r="I193" s="1">
        <v>2279</v>
      </c>
      <c r="J193" t="s">
        <v>9</v>
      </c>
      <c r="K193" s="1">
        <v>16</v>
      </c>
      <c r="L193" s="1">
        <v>3</v>
      </c>
      <c r="M193" s="1">
        <v>7</v>
      </c>
      <c r="N193" s="1">
        <v>2</v>
      </c>
      <c r="O193" s="1">
        <v>7</v>
      </c>
      <c r="P193" s="1">
        <f>COUNTIF(HR_Data[Employee Number],HR_Data[[#This Row],[Employee Number]])</f>
        <v>1</v>
      </c>
      <c r="Q193" s="1" t="str">
        <f>IF(HR_Data[[#This Row],[Years At Company]]&lt;=HR_Data[[#This Row],[Total Working Years]],"Valid","error")</f>
        <v>Valid</v>
      </c>
      <c r="R193" s="1" t="str" cm="1">
        <f t="array" ref="R193">_xlfn.IFS(HR_Data[[#This Row],[Age]]&lt;=30,"Young", HR_Data[[#This Row],[Age]]&lt;=45,"Mid-Age",HR_Data[[#This Row],[Age]]&gt;45,"Senior")</f>
        <v>Young</v>
      </c>
      <c r="S193" s="1" t="str" cm="1">
        <f t="array" ref="S193">_xlfn.IFS(HR_Data[[#This Row],[Monthly Income]]&lt;5000,"Low", HR_Data[[#This Row],[Monthly Income]]&lt;10000,"Medium",TRUE,"High")</f>
        <v>Low</v>
      </c>
      <c r="T193" s="1" t="str" cm="1">
        <f t="array" ref="T193">_xlfn.IFS(HR_Data[[#This Row],[Total Working Years]]&lt;=5,"Junior", HR_Data[[#This Row],[Total Working Years]]&lt;=15,"Mid-Level", TRUE, "Senior")</f>
        <v>Mid-Level</v>
      </c>
    </row>
    <row r="194" spans="1:20" x14ac:dyDescent="0.25">
      <c r="A194" s="1">
        <v>261</v>
      </c>
      <c r="B194" s="1">
        <v>35</v>
      </c>
      <c r="C194" t="s">
        <v>4</v>
      </c>
      <c r="D194" t="s">
        <v>10</v>
      </c>
      <c r="E194" t="s">
        <v>6</v>
      </c>
      <c r="F194" t="s">
        <v>11</v>
      </c>
      <c r="G194" t="s">
        <v>16</v>
      </c>
      <c r="H194" s="1">
        <v>3</v>
      </c>
      <c r="I194" s="1">
        <v>5916</v>
      </c>
      <c r="J194" t="s">
        <v>4</v>
      </c>
      <c r="K194" s="1">
        <v>13</v>
      </c>
      <c r="L194" s="1">
        <v>3</v>
      </c>
      <c r="M194" s="1">
        <v>8</v>
      </c>
      <c r="N194" s="1">
        <v>3</v>
      </c>
      <c r="O194" s="1">
        <v>1</v>
      </c>
      <c r="P194" s="1">
        <f>COUNTIF(HR_Data[Employee Number],HR_Data[[#This Row],[Employee Number]])</f>
        <v>1</v>
      </c>
      <c r="Q194" s="1" t="str">
        <f>IF(HR_Data[[#This Row],[Years At Company]]&lt;=HR_Data[[#This Row],[Total Working Years]],"Valid","error")</f>
        <v>Valid</v>
      </c>
      <c r="R194" s="1" t="str" cm="1">
        <f t="array" ref="R194">_xlfn.IFS(HR_Data[[#This Row],[Age]]&lt;=30,"Young", HR_Data[[#This Row],[Age]]&lt;=45,"Mid-Age",HR_Data[[#This Row],[Age]]&gt;45,"Senior")</f>
        <v>Mid-Age</v>
      </c>
      <c r="S194" s="1" t="str" cm="1">
        <f t="array" ref="S194">_xlfn.IFS(HR_Data[[#This Row],[Monthly Income]]&lt;5000,"Low", HR_Data[[#This Row],[Monthly Income]]&lt;10000,"Medium",TRUE,"High")</f>
        <v>Medium</v>
      </c>
      <c r="T194" s="1" t="str" cm="1">
        <f t="array" ref="T194">_xlfn.IFS(HR_Data[[#This Row],[Total Working Years]]&lt;=5,"Junior", HR_Data[[#This Row],[Total Working Years]]&lt;=15,"Mid-Level", TRUE, "Senior")</f>
        <v>Mid-Level</v>
      </c>
    </row>
    <row r="195" spans="1:20" x14ac:dyDescent="0.25">
      <c r="A195" s="1">
        <v>262</v>
      </c>
      <c r="B195" s="1">
        <v>43</v>
      </c>
      <c r="C195" t="s">
        <v>9</v>
      </c>
      <c r="D195" t="s">
        <v>10</v>
      </c>
      <c r="E195" t="s">
        <v>15</v>
      </c>
      <c r="F195" t="s">
        <v>11</v>
      </c>
      <c r="G195" t="s">
        <v>12</v>
      </c>
      <c r="H195" s="1">
        <v>4</v>
      </c>
      <c r="I195" s="1">
        <v>2089</v>
      </c>
      <c r="J195" t="s">
        <v>9</v>
      </c>
      <c r="K195" s="1">
        <v>14</v>
      </c>
      <c r="L195" s="1">
        <v>3</v>
      </c>
      <c r="M195" s="1">
        <v>7</v>
      </c>
      <c r="N195" s="1">
        <v>4</v>
      </c>
      <c r="O195" s="1">
        <v>5</v>
      </c>
      <c r="P195" s="1">
        <f>COUNTIF(HR_Data[Employee Number],HR_Data[[#This Row],[Employee Number]])</f>
        <v>1</v>
      </c>
      <c r="Q195" s="1" t="str">
        <f>IF(HR_Data[[#This Row],[Years At Company]]&lt;=HR_Data[[#This Row],[Total Working Years]],"Valid","error")</f>
        <v>Valid</v>
      </c>
      <c r="R195" s="1" t="str" cm="1">
        <f t="array" ref="R195">_xlfn.IFS(HR_Data[[#This Row],[Age]]&lt;=30,"Young", HR_Data[[#This Row],[Age]]&lt;=45,"Mid-Age",HR_Data[[#This Row],[Age]]&gt;45,"Senior")</f>
        <v>Mid-Age</v>
      </c>
      <c r="S195" s="1" t="str" cm="1">
        <f t="array" ref="S195">_xlfn.IFS(HR_Data[[#This Row],[Monthly Income]]&lt;5000,"Low", HR_Data[[#This Row],[Monthly Income]]&lt;10000,"Medium",TRUE,"High")</f>
        <v>Low</v>
      </c>
      <c r="T195" s="1" t="str" cm="1">
        <f t="array" ref="T195">_xlfn.IFS(HR_Data[[#This Row],[Total Working Years]]&lt;=5,"Junior", HR_Data[[#This Row],[Total Working Years]]&lt;=15,"Mid-Level", TRUE, "Senior")</f>
        <v>Mid-Level</v>
      </c>
    </row>
    <row r="196" spans="1:20" x14ac:dyDescent="0.25">
      <c r="A196" s="1">
        <v>264</v>
      </c>
      <c r="B196" s="1">
        <v>45</v>
      </c>
      <c r="C196" t="s">
        <v>9</v>
      </c>
      <c r="D196" t="s">
        <v>10</v>
      </c>
      <c r="E196" t="s">
        <v>15</v>
      </c>
      <c r="F196" t="s">
        <v>11</v>
      </c>
      <c r="G196" t="s">
        <v>18</v>
      </c>
      <c r="H196" s="1">
        <v>4</v>
      </c>
      <c r="I196" s="1">
        <v>16792</v>
      </c>
      <c r="J196" t="s">
        <v>9</v>
      </c>
      <c r="K196" s="1">
        <v>23</v>
      </c>
      <c r="L196" s="1">
        <v>4</v>
      </c>
      <c r="M196" s="1">
        <v>22</v>
      </c>
      <c r="N196" s="1">
        <v>3</v>
      </c>
      <c r="O196" s="1">
        <v>20</v>
      </c>
      <c r="P196" s="1">
        <f>COUNTIF(HR_Data[Employee Number],HR_Data[[#This Row],[Employee Number]])</f>
        <v>1</v>
      </c>
      <c r="Q196" s="1" t="str">
        <f>IF(HR_Data[[#This Row],[Years At Company]]&lt;=HR_Data[[#This Row],[Total Working Years]],"Valid","error")</f>
        <v>Valid</v>
      </c>
      <c r="R196" s="1" t="str" cm="1">
        <f t="array" ref="R196">_xlfn.IFS(HR_Data[[#This Row],[Age]]&lt;=30,"Young", HR_Data[[#This Row],[Age]]&lt;=45,"Mid-Age",HR_Data[[#This Row],[Age]]&gt;45,"Senior")</f>
        <v>Mid-Age</v>
      </c>
      <c r="S196" s="1" t="str" cm="1">
        <f t="array" ref="S196">_xlfn.IFS(HR_Data[[#This Row],[Monthly Income]]&lt;5000,"Low", HR_Data[[#This Row],[Monthly Income]]&lt;10000,"Medium",TRUE,"High")</f>
        <v>High</v>
      </c>
      <c r="T196" s="1" t="str" cm="1">
        <f t="array" ref="T196">_xlfn.IFS(HR_Data[[#This Row],[Total Working Years]]&lt;=5,"Junior", HR_Data[[#This Row],[Total Working Years]]&lt;=15,"Mid-Level", TRUE, "Senior")</f>
        <v>Senior</v>
      </c>
    </row>
    <row r="197" spans="1:20" x14ac:dyDescent="0.25">
      <c r="A197" s="1">
        <v>267</v>
      </c>
      <c r="B197" s="1">
        <v>37</v>
      </c>
      <c r="C197" t="s">
        <v>9</v>
      </c>
      <c r="D197" t="s">
        <v>10</v>
      </c>
      <c r="E197" t="s">
        <v>6</v>
      </c>
      <c r="F197" t="s">
        <v>11</v>
      </c>
      <c r="G197" t="s">
        <v>12</v>
      </c>
      <c r="H197" s="1">
        <v>1</v>
      </c>
      <c r="I197" s="1">
        <v>3564</v>
      </c>
      <c r="J197" t="s">
        <v>4</v>
      </c>
      <c r="K197" s="1">
        <v>12</v>
      </c>
      <c r="L197" s="1">
        <v>3</v>
      </c>
      <c r="M197" s="1">
        <v>8</v>
      </c>
      <c r="N197" s="1">
        <v>2</v>
      </c>
      <c r="O197" s="1">
        <v>8</v>
      </c>
      <c r="P197" s="1">
        <f>COUNTIF(HR_Data[Employee Number],HR_Data[[#This Row],[Employee Number]])</f>
        <v>1</v>
      </c>
      <c r="Q197" s="1" t="str">
        <f>IF(HR_Data[[#This Row],[Years At Company]]&lt;=HR_Data[[#This Row],[Total Working Years]],"Valid","error")</f>
        <v>Valid</v>
      </c>
      <c r="R197" s="1" t="str" cm="1">
        <f t="array" ref="R197">_xlfn.IFS(HR_Data[[#This Row],[Age]]&lt;=30,"Young", HR_Data[[#This Row],[Age]]&lt;=45,"Mid-Age",HR_Data[[#This Row],[Age]]&gt;45,"Senior")</f>
        <v>Mid-Age</v>
      </c>
      <c r="S197" s="1" t="str" cm="1">
        <f t="array" ref="S197">_xlfn.IFS(HR_Data[[#This Row],[Monthly Income]]&lt;5000,"Low", HR_Data[[#This Row],[Monthly Income]]&lt;10000,"Medium",TRUE,"High")</f>
        <v>Low</v>
      </c>
      <c r="T197" s="1" t="str" cm="1">
        <f t="array" ref="T197">_xlfn.IFS(HR_Data[[#This Row],[Total Working Years]]&lt;=5,"Junior", HR_Data[[#This Row],[Total Working Years]]&lt;=15,"Mid-Level", TRUE, "Senior")</f>
        <v>Mid-Level</v>
      </c>
    </row>
    <row r="198" spans="1:20" x14ac:dyDescent="0.25">
      <c r="A198" s="1">
        <v>269</v>
      </c>
      <c r="B198" s="1">
        <v>35</v>
      </c>
      <c r="C198" t="s">
        <v>9</v>
      </c>
      <c r="D198" t="s">
        <v>10</v>
      </c>
      <c r="E198" t="s">
        <v>15</v>
      </c>
      <c r="F198" t="s">
        <v>7</v>
      </c>
      <c r="G198" t="s">
        <v>14</v>
      </c>
      <c r="H198" s="1">
        <v>2</v>
      </c>
      <c r="I198" s="1">
        <v>4425</v>
      </c>
      <c r="J198" t="s">
        <v>9</v>
      </c>
      <c r="K198" s="1">
        <v>11</v>
      </c>
      <c r="L198" s="1">
        <v>3</v>
      </c>
      <c r="M198" s="1">
        <v>10</v>
      </c>
      <c r="N198" s="1">
        <v>3</v>
      </c>
      <c r="O198" s="1">
        <v>6</v>
      </c>
      <c r="P198" s="1">
        <f>COUNTIF(HR_Data[Employee Number],HR_Data[[#This Row],[Employee Number]])</f>
        <v>1</v>
      </c>
      <c r="Q198" s="1" t="str">
        <f>IF(HR_Data[[#This Row],[Years At Company]]&lt;=HR_Data[[#This Row],[Total Working Years]],"Valid","error")</f>
        <v>Valid</v>
      </c>
      <c r="R198" s="1" t="str" cm="1">
        <f t="array" ref="R198">_xlfn.IFS(HR_Data[[#This Row],[Age]]&lt;=30,"Young", HR_Data[[#This Row],[Age]]&lt;=45,"Mid-Age",HR_Data[[#This Row],[Age]]&gt;45,"Senior")</f>
        <v>Mid-Age</v>
      </c>
      <c r="S198" s="1" t="str" cm="1">
        <f t="array" ref="S198">_xlfn.IFS(HR_Data[[#This Row],[Monthly Income]]&lt;5000,"Low", HR_Data[[#This Row],[Monthly Income]]&lt;10000,"Medium",TRUE,"High")</f>
        <v>Low</v>
      </c>
      <c r="T198" s="1" t="str" cm="1">
        <f t="array" ref="T198">_xlfn.IFS(HR_Data[[#This Row],[Total Working Years]]&lt;=5,"Junior", HR_Data[[#This Row],[Total Working Years]]&lt;=15,"Mid-Level", TRUE, "Senior")</f>
        <v>Mid-Level</v>
      </c>
    </row>
    <row r="199" spans="1:20" x14ac:dyDescent="0.25">
      <c r="A199" s="1">
        <v>270</v>
      </c>
      <c r="B199" s="1">
        <v>42</v>
      </c>
      <c r="C199" t="s">
        <v>9</v>
      </c>
      <c r="D199" t="s">
        <v>10</v>
      </c>
      <c r="E199" t="s">
        <v>15</v>
      </c>
      <c r="F199" t="s">
        <v>7</v>
      </c>
      <c r="G199" t="s">
        <v>16</v>
      </c>
      <c r="H199" s="1">
        <v>3</v>
      </c>
      <c r="I199" s="1">
        <v>5265</v>
      </c>
      <c r="J199" t="s">
        <v>9</v>
      </c>
      <c r="K199" s="1">
        <v>16</v>
      </c>
      <c r="L199" s="1">
        <v>3</v>
      </c>
      <c r="M199" s="1">
        <v>11</v>
      </c>
      <c r="N199" s="1">
        <v>3</v>
      </c>
      <c r="O199" s="1">
        <v>5</v>
      </c>
      <c r="P199" s="1">
        <f>COUNTIF(HR_Data[Employee Number],HR_Data[[#This Row],[Employee Number]])</f>
        <v>1</v>
      </c>
      <c r="Q199" s="1" t="str">
        <f>IF(HR_Data[[#This Row],[Years At Company]]&lt;=HR_Data[[#This Row],[Total Working Years]],"Valid","error")</f>
        <v>Valid</v>
      </c>
      <c r="R199" s="1" t="str" cm="1">
        <f t="array" ref="R199">_xlfn.IFS(HR_Data[[#This Row],[Age]]&lt;=30,"Young", HR_Data[[#This Row],[Age]]&lt;=45,"Mid-Age",HR_Data[[#This Row],[Age]]&gt;45,"Senior")</f>
        <v>Mid-Age</v>
      </c>
      <c r="S199" s="1" t="str" cm="1">
        <f t="array" ref="S199">_xlfn.IFS(HR_Data[[#This Row],[Monthly Income]]&lt;5000,"Low", HR_Data[[#This Row],[Monthly Income]]&lt;10000,"Medium",TRUE,"High")</f>
        <v>Medium</v>
      </c>
      <c r="T199" s="1" t="str" cm="1">
        <f t="array" ref="T199">_xlfn.IFS(HR_Data[[#This Row],[Total Working Years]]&lt;=5,"Junior", HR_Data[[#This Row],[Total Working Years]]&lt;=15,"Mid-Level", TRUE, "Senior")</f>
        <v>Mid-Level</v>
      </c>
    </row>
    <row r="200" spans="1:20" x14ac:dyDescent="0.25">
      <c r="A200" s="1">
        <v>271</v>
      </c>
      <c r="B200" s="1">
        <v>38</v>
      </c>
      <c r="C200" t="s">
        <v>9</v>
      </c>
      <c r="D200" t="s">
        <v>10</v>
      </c>
      <c r="E200" t="s">
        <v>6</v>
      </c>
      <c r="F200" t="s">
        <v>11</v>
      </c>
      <c r="G200" t="s">
        <v>16</v>
      </c>
      <c r="H200" s="1">
        <v>3</v>
      </c>
      <c r="I200" s="1">
        <v>6553</v>
      </c>
      <c r="J200" t="s">
        <v>9</v>
      </c>
      <c r="K200" s="1">
        <v>14</v>
      </c>
      <c r="L200" s="1">
        <v>3</v>
      </c>
      <c r="M200" s="1">
        <v>14</v>
      </c>
      <c r="N200" s="1">
        <v>3</v>
      </c>
      <c r="O200" s="1">
        <v>1</v>
      </c>
      <c r="P200" s="1">
        <f>COUNTIF(HR_Data[Employee Number],HR_Data[[#This Row],[Employee Number]])</f>
        <v>1</v>
      </c>
      <c r="Q200" s="1" t="str">
        <f>IF(HR_Data[[#This Row],[Years At Company]]&lt;=HR_Data[[#This Row],[Total Working Years]],"Valid","error")</f>
        <v>Valid</v>
      </c>
      <c r="R200" s="1" t="str" cm="1">
        <f t="array" ref="R200">_xlfn.IFS(HR_Data[[#This Row],[Age]]&lt;=30,"Young", HR_Data[[#This Row],[Age]]&lt;=45,"Mid-Age",HR_Data[[#This Row],[Age]]&gt;45,"Senior")</f>
        <v>Mid-Age</v>
      </c>
      <c r="S200" s="1" t="str" cm="1">
        <f t="array" ref="S200">_xlfn.IFS(HR_Data[[#This Row],[Monthly Income]]&lt;5000,"Low", HR_Data[[#This Row],[Monthly Income]]&lt;10000,"Medium",TRUE,"High")</f>
        <v>Medium</v>
      </c>
      <c r="T200" s="1" t="str" cm="1">
        <f t="array" ref="T200">_xlfn.IFS(HR_Data[[#This Row],[Total Working Years]]&lt;=5,"Junior", HR_Data[[#This Row],[Total Working Years]]&lt;=15,"Mid-Level", TRUE, "Senior")</f>
        <v>Mid-Level</v>
      </c>
    </row>
    <row r="201" spans="1:20" x14ac:dyDescent="0.25">
      <c r="A201" s="1">
        <v>273</v>
      </c>
      <c r="B201" s="1">
        <v>38</v>
      </c>
      <c r="C201" t="s">
        <v>9</v>
      </c>
      <c r="D201" t="s">
        <v>10</v>
      </c>
      <c r="E201" t="s">
        <v>22</v>
      </c>
      <c r="F201" t="s">
        <v>11</v>
      </c>
      <c r="G201" t="s">
        <v>16</v>
      </c>
      <c r="H201" s="1">
        <v>4</v>
      </c>
      <c r="I201" s="1">
        <v>6261</v>
      </c>
      <c r="J201" t="s">
        <v>9</v>
      </c>
      <c r="K201" s="1">
        <v>18</v>
      </c>
      <c r="L201" s="1">
        <v>3</v>
      </c>
      <c r="M201" s="1">
        <v>9</v>
      </c>
      <c r="N201" s="1">
        <v>1</v>
      </c>
      <c r="O201" s="1">
        <v>7</v>
      </c>
      <c r="P201" s="1">
        <f>COUNTIF(HR_Data[Employee Number],HR_Data[[#This Row],[Employee Number]])</f>
        <v>1</v>
      </c>
      <c r="Q201" s="1" t="str">
        <f>IF(HR_Data[[#This Row],[Years At Company]]&lt;=HR_Data[[#This Row],[Total Working Years]],"Valid","error")</f>
        <v>Valid</v>
      </c>
      <c r="R201" s="1" t="str" cm="1">
        <f t="array" ref="R201">_xlfn.IFS(HR_Data[[#This Row],[Age]]&lt;=30,"Young", HR_Data[[#This Row],[Age]]&lt;=45,"Mid-Age",HR_Data[[#This Row],[Age]]&gt;45,"Senior")</f>
        <v>Mid-Age</v>
      </c>
      <c r="S201" s="1" t="str" cm="1">
        <f t="array" ref="S201">_xlfn.IFS(HR_Data[[#This Row],[Monthly Income]]&lt;5000,"Low", HR_Data[[#This Row],[Monthly Income]]&lt;10000,"Medium",TRUE,"High")</f>
        <v>Medium</v>
      </c>
      <c r="T201" s="1" t="str" cm="1">
        <f t="array" ref="T201">_xlfn.IFS(HR_Data[[#This Row],[Total Working Years]]&lt;=5,"Junior", HR_Data[[#This Row],[Total Working Years]]&lt;=15,"Mid-Level", TRUE, "Senior")</f>
        <v>Mid-Level</v>
      </c>
    </row>
    <row r="202" spans="1:20" x14ac:dyDescent="0.25">
      <c r="A202" s="1">
        <v>274</v>
      </c>
      <c r="B202" s="1">
        <v>27</v>
      </c>
      <c r="C202" t="s">
        <v>9</v>
      </c>
      <c r="D202" t="s">
        <v>10</v>
      </c>
      <c r="E202" t="s">
        <v>22</v>
      </c>
      <c r="F202" t="s">
        <v>11</v>
      </c>
      <c r="G202" t="s">
        <v>16</v>
      </c>
      <c r="H202" s="1">
        <v>1</v>
      </c>
      <c r="I202" s="1">
        <v>4298</v>
      </c>
      <c r="J202" t="s">
        <v>9</v>
      </c>
      <c r="K202" s="1">
        <v>19</v>
      </c>
      <c r="L202" s="1">
        <v>3</v>
      </c>
      <c r="M202" s="1">
        <v>6</v>
      </c>
      <c r="N202" s="1">
        <v>3</v>
      </c>
      <c r="O202" s="1">
        <v>2</v>
      </c>
      <c r="P202" s="1">
        <f>COUNTIF(HR_Data[Employee Number],HR_Data[[#This Row],[Employee Number]])</f>
        <v>1</v>
      </c>
      <c r="Q202" s="1" t="str">
        <f>IF(HR_Data[[#This Row],[Years At Company]]&lt;=HR_Data[[#This Row],[Total Working Years]],"Valid","error")</f>
        <v>Valid</v>
      </c>
      <c r="R202" s="1" t="str" cm="1">
        <f t="array" ref="R202">_xlfn.IFS(HR_Data[[#This Row],[Age]]&lt;=30,"Young", HR_Data[[#This Row],[Age]]&lt;=45,"Mid-Age",HR_Data[[#This Row],[Age]]&gt;45,"Senior")</f>
        <v>Young</v>
      </c>
      <c r="S202" s="1" t="str" cm="1">
        <f t="array" ref="S202">_xlfn.IFS(HR_Data[[#This Row],[Monthly Income]]&lt;5000,"Low", HR_Data[[#This Row],[Monthly Income]]&lt;10000,"Medium",TRUE,"High")</f>
        <v>Low</v>
      </c>
      <c r="T202" s="1" t="str" cm="1">
        <f t="array" ref="T202">_xlfn.IFS(HR_Data[[#This Row],[Total Working Years]]&lt;=5,"Junior", HR_Data[[#This Row],[Total Working Years]]&lt;=15,"Mid-Level", TRUE, "Senior")</f>
        <v>Mid-Level</v>
      </c>
    </row>
    <row r="203" spans="1:20" x14ac:dyDescent="0.25">
      <c r="A203" s="1">
        <v>275</v>
      </c>
      <c r="B203" s="1">
        <v>49</v>
      </c>
      <c r="C203" t="s">
        <v>9</v>
      </c>
      <c r="D203" t="s">
        <v>10</v>
      </c>
      <c r="E203" t="s">
        <v>6</v>
      </c>
      <c r="F203" t="s">
        <v>11</v>
      </c>
      <c r="G203" t="s">
        <v>16</v>
      </c>
      <c r="H203" s="1">
        <v>4</v>
      </c>
      <c r="I203" s="1">
        <v>6804</v>
      </c>
      <c r="J203" t="s">
        <v>4</v>
      </c>
      <c r="K203" s="1">
        <v>15</v>
      </c>
      <c r="L203" s="1">
        <v>3</v>
      </c>
      <c r="M203" s="1">
        <v>7</v>
      </c>
      <c r="N203" s="1">
        <v>3</v>
      </c>
      <c r="O203" s="1">
        <v>7</v>
      </c>
      <c r="P203" s="1">
        <f>COUNTIF(HR_Data[Employee Number],HR_Data[[#This Row],[Employee Number]])</f>
        <v>1</v>
      </c>
      <c r="Q203" s="1" t="str">
        <f>IF(HR_Data[[#This Row],[Years At Company]]&lt;=HR_Data[[#This Row],[Total Working Years]],"Valid","error")</f>
        <v>Valid</v>
      </c>
      <c r="R203" s="1" t="str" cm="1">
        <f t="array" ref="R203">_xlfn.IFS(HR_Data[[#This Row],[Age]]&lt;=30,"Young", HR_Data[[#This Row],[Age]]&lt;=45,"Mid-Age",HR_Data[[#This Row],[Age]]&gt;45,"Senior")</f>
        <v>Senior</v>
      </c>
      <c r="S203" s="1" t="str" cm="1">
        <f t="array" ref="S203">_xlfn.IFS(HR_Data[[#This Row],[Monthly Income]]&lt;5000,"Low", HR_Data[[#This Row],[Monthly Income]]&lt;10000,"Medium",TRUE,"High")</f>
        <v>Medium</v>
      </c>
      <c r="T203" s="1" t="str" cm="1">
        <f t="array" ref="T203">_xlfn.IFS(HR_Data[[#This Row],[Total Working Years]]&lt;=5,"Junior", HR_Data[[#This Row],[Total Working Years]]&lt;=15,"Mid-Level", TRUE, "Senior")</f>
        <v>Mid-Level</v>
      </c>
    </row>
    <row r="204" spans="1:20" x14ac:dyDescent="0.25">
      <c r="A204" s="1">
        <v>277</v>
      </c>
      <c r="B204" s="1">
        <v>34</v>
      </c>
      <c r="C204" t="s">
        <v>9</v>
      </c>
      <c r="D204" t="s">
        <v>10</v>
      </c>
      <c r="E204" t="s">
        <v>15</v>
      </c>
      <c r="F204" t="s">
        <v>11</v>
      </c>
      <c r="G204" t="s">
        <v>12</v>
      </c>
      <c r="H204" s="1">
        <v>3</v>
      </c>
      <c r="I204" s="1">
        <v>3815</v>
      </c>
      <c r="J204" t="s">
        <v>4</v>
      </c>
      <c r="K204" s="1">
        <v>17</v>
      </c>
      <c r="L204" s="1">
        <v>3</v>
      </c>
      <c r="M204" s="1">
        <v>5</v>
      </c>
      <c r="N204" s="1">
        <v>4</v>
      </c>
      <c r="O204" s="1">
        <v>5</v>
      </c>
      <c r="P204" s="1">
        <f>COUNTIF(HR_Data[Employee Number],HR_Data[[#This Row],[Employee Number]])</f>
        <v>1</v>
      </c>
      <c r="Q204" s="1" t="str">
        <f>IF(HR_Data[[#This Row],[Years At Company]]&lt;=HR_Data[[#This Row],[Total Working Years]],"Valid","error")</f>
        <v>Valid</v>
      </c>
      <c r="R204" s="1" t="str" cm="1">
        <f t="array" ref="R204">_xlfn.IFS(HR_Data[[#This Row],[Age]]&lt;=30,"Young", HR_Data[[#This Row],[Age]]&lt;=45,"Mid-Age",HR_Data[[#This Row],[Age]]&gt;45,"Senior")</f>
        <v>Mid-Age</v>
      </c>
      <c r="S204" s="1" t="str" cm="1">
        <f t="array" ref="S204">_xlfn.IFS(HR_Data[[#This Row],[Monthly Income]]&lt;5000,"Low", HR_Data[[#This Row],[Monthly Income]]&lt;10000,"Medium",TRUE,"High")</f>
        <v>Low</v>
      </c>
      <c r="T204" s="1" t="str" cm="1">
        <f t="array" ref="T204">_xlfn.IFS(HR_Data[[#This Row],[Total Working Years]]&lt;=5,"Junior", HR_Data[[#This Row],[Total Working Years]]&lt;=15,"Mid-Level", TRUE, "Senior")</f>
        <v>Junior</v>
      </c>
    </row>
    <row r="205" spans="1:20" x14ac:dyDescent="0.25">
      <c r="A205" s="1">
        <v>281</v>
      </c>
      <c r="B205" s="1">
        <v>40</v>
      </c>
      <c r="C205" t="s">
        <v>9</v>
      </c>
      <c r="D205" t="s">
        <v>10</v>
      </c>
      <c r="E205" t="s">
        <v>15</v>
      </c>
      <c r="F205" t="s">
        <v>11</v>
      </c>
      <c r="G205" t="s">
        <v>14</v>
      </c>
      <c r="H205" s="1">
        <v>4</v>
      </c>
      <c r="I205" s="1">
        <v>2741</v>
      </c>
      <c r="J205" t="s">
        <v>4</v>
      </c>
      <c r="K205" s="1">
        <v>15</v>
      </c>
      <c r="L205" s="1">
        <v>3</v>
      </c>
      <c r="M205" s="1">
        <v>15</v>
      </c>
      <c r="N205" s="1">
        <v>4</v>
      </c>
      <c r="O205" s="1">
        <v>7</v>
      </c>
      <c r="P205" s="1">
        <f>COUNTIF(HR_Data[Employee Number],HR_Data[[#This Row],[Employee Number]])</f>
        <v>1</v>
      </c>
      <c r="Q205" s="1" t="str">
        <f>IF(HR_Data[[#This Row],[Years At Company]]&lt;=HR_Data[[#This Row],[Total Working Years]],"Valid","error")</f>
        <v>Valid</v>
      </c>
      <c r="R205" s="1" t="str" cm="1">
        <f t="array" ref="R205">_xlfn.IFS(HR_Data[[#This Row],[Age]]&lt;=30,"Young", HR_Data[[#This Row],[Age]]&lt;=45,"Mid-Age",HR_Data[[#This Row],[Age]]&gt;45,"Senior")</f>
        <v>Mid-Age</v>
      </c>
      <c r="S205" s="1" t="str" cm="1">
        <f t="array" ref="S205">_xlfn.IFS(HR_Data[[#This Row],[Monthly Income]]&lt;5000,"Low", HR_Data[[#This Row],[Monthly Income]]&lt;10000,"Medium",TRUE,"High")</f>
        <v>Low</v>
      </c>
      <c r="T205" s="1" t="str" cm="1">
        <f t="array" ref="T205">_xlfn.IFS(HR_Data[[#This Row],[Total Working Years]]&lt;=5,"Junior", HR_Data[[#This Row],[Total Working Years]]&lt;=15,"Mid-Level", TRUE, "Senior")</f>
        <v>Mid-Level</v>
      </c>
    </row>
    <row r="206" spans="1:20" x14ac:dyDescent="0.25">
      <c r="A206" s="1">
        <v>282</v>
      </c>
      <c r="B206" s="1">
        <v>38</v>
      </c>
      <c r="C206" t="s">
        <v>4</v>
      </c>
      <c r="D206" t="s">
        <v>10</v>
      </c>
      <c r="E206" t="s">
        <v>15</v>
      </c>
      <c r="F206" t="s">
        <v>11</v>
      </c>
      <c r="G206" t="s">
        <v>17</v>
      </c>
      <c r="H206" s="1">
        <v>1</v>
      </c>
      <c r="I206" s="1">
        <v>6673</v>
      </c>
      <c r="J206" t="s">
        <v>4</v>
      </c>
      <c r="K206" s="1">
        <v>19</v>
      </c>
      <c r="L206" s="1">
        <v>3</v>
      </c>
      <c r="M206" s="1">
        <v>17</v>
      </c>
      <c r="N206" s="1">
        <v>3</v>
      </c>
      <c r="O206" s="1">
        <v>1</v>
      </c>
      <c r="P206" s="1">
        <f>COUNTIF(HR_Data[Employee Number],HR_Data[[#This Row],[Employee Number]])</f>
        <v>1</v>
      </c>
      <c r="Q206" s="1" t="str">
        <f>IF(HR_Data[[#This Row],[Years At Company]]&lt;=HR_Data[[#This Row],[Total Working Years]],"Valid","error")</f>
        <v>Valid</v>
      </c>
      <c r="R206" s="1" t="str" cm="1">
        <f t="array" ref="R206">_xlfn.IFS(HR_Data[[#This Row],[Age]]&lt;=30,"Young", HR_Data[[#This Row],[Age]]&lt;=45,"Mid-Age",HR_Data[[#This Row],[Age]]&gt;45,"Senior")</f>
        <v>Mid-Age</v>
      </c>
      <c r="S206" s="1" t="str" cm="1">
        <f t="array" ref="S206">_xlfn.IFS(HR_Data[[#This Row],[Monthly Income]]&lt;5000,"Low", HR_Data[[#This Row],[Monthly Income]]&lt;10000,"Medium",TRUE,"High")</f>
        <v>Medium</v>
      </c>
      <c r="T206" s="1" t="str" cm="1">
        <f t="array" ref="T206">_xlfn.IFS(HR_Data[[#This Row],[Total Working Years]]&lt;=5,"Junior", HR_Data[[#This Row],[Total Working Years]]&lt;=15,"Mid-Level", TRUE, "Senior")</f>
        <v>Senior</v>
      </c>
    </row>
    <row r="207" spans="1:20" x14ac:dyDescent="0.25">
      <c r="A207" s="1">
        <v>283</v>
      </c>
      <c r="B207" s="1">
        <v>29</v>
      </c>
      <c r="C207" t="s">
        <v>4</v>
      </c>
      <c r="D207" t="s">
        <v>5</v>
      </c>
      <c r="E207" t="s">
        <v>21</v>
      </c>
      <c r="F207" t="s">
        <v>7</v>
      </c>
      <c r="G207" t="s">
        <v>8</v>
      </c>
      <c r="H207" s="1">
        <v>4</v>
      </c>
      <c r="I207" s="1">
        <v>7639</v>
      </c>
      <c r="J207" t="s">
        <v>9</v>
      </c>
      <c r="K207" s="1">
        <v>22</v>
      </c>
      <c r="L207" s="1">
        <v>4</v>
      </c>
      <c r="M207" s="1">
        <v>10</v>
      </c>
      <c r="N207" s="1">
        <v>2</v>
      </c>
      <c r="O207" s="1">
        <v>10</v>
      </c>
      <c r="P207" s="1">
        <f>COUNTIF(HR_Data[Employee Number],HR_Data[[#This Row],[Employee Number]])</f>
        <v>1</v>
      </c>
      <c r="Q207" s="1" t="str">
        <f>IF(HR_Data[[#This Row],[Years At Company]]&lt;=HR_Data[[#This Row],[Total Working Years]],"Valid","error")</f>
        <v>Valid</v>
      </c>
      <c r="R207" s="1" t="str" cm="1">
        <f t="array" ref="R207">_xlfn.IFS(HR_Data[[#This Row],[Age]]&lt;=30,"Young", HR_Data[[#This Row],[Age]]&lt;=45,"Mid-Age",HR_Data[[#This Row],[Age]]&gt;45,"Senior")</f>
        <v>Young</v>
      </c>
      <c r="S207" s="1" t="str" cm="1">
        <f t="array" ref="S207">_xlfn.IFS(HR_Data[[#This Row],[Monthly Income]]&lt;5000,"Low", HR_Data[[#This Row],[Monthly Income]]&lt;10000,"Medium",TRUE,"High")</f>
        <v>Medium</v>
      </c>
      <c r="T207" s="1" t="str" cm="1">
        <f t="array" ref="T207">_xlfn.IFS(HR_Data[[#This Row],[Total Working Years]]&lt;=5,"Junior", HR_Data[[#This Row],[Total Working Years]]&lt;=15,"Mid-Level", TRUE, "Senior")</f>
        <v>Mid-Level</v>
      </c>
    </row>
    <row r="208" spans="1:20" x14ac:dyDescent="0.25">
      <c r="A208" s="1">
        <v>284</v>
      </c>
      <c r="B208" s="1">
        <v>22</v>
      </c>
      <c r="C208" t="s">
        <v>9</v>
      </c>
      <c r="D208" t="s">
        <v>10</v>
      </c>
      <c r="E208" t="s">
        <v>6</v>
      </c>
      <c r="F208" t="s">
        <v>11</v>
      </c>
      <c r="G208" t="s">
        <v>12</v>
      </c>
      <c r="H208" s="1">
        <v>2</v>
      </c>
      <c r="I208" s="1">
        <v>2328</v>
      </c>
      <c r="J208" t="s">
        <v>4</v>
      </c>
      <c r="K208" s="1">
        <v>16</v>
      </c>
      <c r="L208" s="1">
        <v>3</v>
      </c>
      <c r="M208" s="1">
        <v>4</v>
      </c>
      <c r="N208" s="1">
        <v>2</v>
      </c>
      <c r="O208" s="1">
        <v>4</v>
      </c>
      <c r="P208" s="1">
        <f>COUNTIF(HR_Data[Employee Number],HR_Data[[#This Row],[Employee Number]])</f>
        <v>1</v>
      </c>
      <c r="Q208" s="1" t="str">
        <f>IF(HR_Data[[#This Row],[Years At Company]]&lt;=HR_Data[[#This Row],[Total Working Years]],"Valid","error")</f>
        <v>Valid</v>
      </c>
      <c r="R208" s="1" t="str" cm="1">
        <f t="array" ref="R208">_xlfn.IFS(HR_Data[[#This Row],[Age]]&lt;=30,"Young", HR_Data[[#This Row],[Age]]&lt;=45,"Mid-Age",HR_Data[[#This Row],[Age]]&gt;45,"Senior")</f>
        <v>Young</v>
      </c>
      <c r="S208" s="1" t="str" cm="1">
        <f t="array" ref="S208">_xlfn.IFS(HR_Data[[#This Row],[Monthly Income]]&lt;5000,"Low", HR_Data[[#This Row],[Monthly Income]]&lt;10000,"Medium",TRUE,"High")</f>
        <v>Low</v>
      </c>
      <c r="T208" s="1" t="str" cm="1">
        <f t="array" ref="T208">_xlfn.IFS(HR_Data[[#This Row],[Total Working Years]]&lt;=5,"Junior", HR_Data[[#This Row],[Total Working Years]]&lt;=15,"Mid-Level", TRUE, "Senior")</f>
        <v>Junior</v>
      </c>
    </row>
    <row r="209" spans="1:20" x14ac:dyDescent="0.25">
      <c r="A209" s="1">
        <v>286</v>
      </c>
      <c r="B209" s="1">
        <v>36</v>
      </c>
      <c r="C209" t="s">
        <v>9</v>
      </c>
      <c r="D209" t="s">
        <v>10</v>
      </c>
      <c r="E209" t="s">
        <v>15</v>
      </c>
      <c r="F209" t="s">
        <v>7</v>
      </c>
      <c r="G209" t="s">
        <v>14</v>
      </c>
      <c r="H209" s="1">
        <v>4</v>
      </c>
      <c r="I209" s="1">
        <v>2153</v>
      </c>
      <c r="J209" t="s">
        <v>9</v>
      </c>
      <c r="K209" s="1">
        <v>13</v>
      </c>
      <c r="L209" s="1">
        <v>3</v>
      </c>
      <c r="M209" s="1">
        <v>8</v>
      </c>
      <c r="N209" s="1">
        <v>3</v>
      </c>
      <c r="O209" s="1">
        <v>8</v>
      </c>
      <c r="P209" s="1">
        <f>COUNTIF(HR_Data[Employee Number],HR_Data[[#This Row],[Employee Number]])</f>
        <v>1</v>
      </c>
      <c r="Q209" s="1" t="str">
        <f>IF(HR_Data[[#This Row],[Years At Company]]&lt;=HR_Data[[#This Row],[Total Working Years]],"Valid","error")</f>
        <v>Valid</v>
      </c>
      <c r="R209" s="1" t="str" cm="1">
        <f t="array" ref="R209">_xlfn.IFS(HR_Data[[#This Row],[Age]]&lt;=30,"Young", HR_Data[[#This Row],[Age]]&lt;=45,"Mid-Age",HR_Data[[#This Row],[Age]]&gt;45,"Senior")</f>
        <v>Mid-Age</v>
      </c>
      <c r="S209" s="1" t="str" cm="1">
        <f t="array" ref="S209">_xlfn.IFS(HR_Data[[#This Row],[Monthly Income]]&lt;5000,"Low", HR_Data[[#This Row],[Monthly Income]]&lt;10000,"Medium",TRUE,"High")</f>
        <v>Low</v>
      </c>
      <c r="T209" s="1" t="str" cm="1">
        <f t="array" ref="T209">_xlfn.IFS(HR_Data[[#This Row],[Total Working Years]]&lt;=5,"Junior", HR_Data[[#This Row],[Total Working Years]]&lt;=15,"Mid-Level", TRUE, "Senior")</f>
        <v>Mid-Level</v>
      </c>
    </row>
    <row r="210" spans="1:20" x14ac:dyDescent="0.25">
      <c r="A210" s="1">
        <v>287</v>
      </c>
      <c r="B210" s="1">
        <v>40</v>
      </c>
      <c r="C210" t="s">
        <v>9</v>
      </c>
      <c r="D210" t="s">
        <v>10</v>
      </c>
      <c r="E210" t="s">
        <v>6</v>
      </c>
      <c r="F210" t="s">
        <v>11</v>
      </c>
      <c r="G210" t="s">
        <v>17</v>
      </c>
      <c r="H210" s="1">
        <v>4</v>
      </c>
      <c r="I210" s="1">
        <v>4876</v>
      </c>
      <c r="J210" t="s">
        <v>9</v>
      </c>
      <c r="K210" s="1">
        <v>14</v>
      </c>
      <c r="L210" s="1">
        <v>3</v>
      </c>
      <c r="M210" s="1">
        <v>5</v>
      </c>
      <c r="N210" s="1">
        <v>1</v>
      </c>
      <c r="O210" s="1">
        <v>3</v>
      </c>
      <c r="P210" s="1">
        <f>COUNTIF(HR_Data[Employee Number],HR_Data[[#This Row],[Employee Number]])</f>
        <v>1</v>
      </c>
      <c r="Q210" s="1" t="str">
        <f>IF(HR_Data[[#This Row],[Years At Company]]&lt;=HR_Data[[#This Row],[Total Working Years]],"Valid","error")</f>
        <v>Valid</v>
      </c>
      <c r="R210" s="1" t="str" cm="1">
        <f t="array" ref="R210">_xlfn.IFS(HR_Data[[#This Row],[Age]]&lt;=30,"Young", HR_Data[[#This Row],[Age]]&lt;=45,"Mid-Age",HR_Data[[#This Row],[Age]]&gt;45,"Senior")</f>
        <v>Mid-Age</v>
      </c>
      <c r="S210" s="1" t="str" cm="1">
        <f t="array" ref="S210">_xlfn.IFS(HR_Data[[#This Row],[Monthly Income]]&lt;5000,"Low", HR_Data[[#This Row],[Monthly Income]]&lt;10000,"Medium",TRUE,"High")</f>
        <v>Low</v>
      </c>
      <c r="T210" s="1" t="str" cm="1">
        <f t="array" ref="T210">_xlfn.IFS(HR_Data[[#This Row],[Total Working Years]]&lt;=5,"Junior", HR_Data[[#This Row],[Total Working Years]]&lt;=15,"Mid-Level", TRUE, "Senior")</f>
        <v>Junior</v>
      </c>
    </row>
    <row r="211" spans="1:20" x14ac:dyDescent="0.25">
      <c r="A211" s="1">
        <v>288</v>
      </c>
      <c r="B211" s="1">
        <v>46</v>
      </c>
      <c r="C211" t="s">
        <v>9</v>
      </c>
      <c r="D211" t="s">
        <v>10</v>
      </c>
      <c r="E211" t="s">
        <v>15</v>
      </c>
      <c r="F211" t="s">
        <v>11</v>
      </c>
      <c r="G211" t="s">
        <v>17</v>
      </c>
      <c r="H211" s="1">
        <v>1</v>
      </c>
      <c r="I211" s="1">
        <v>9396</v>
      </c>
      <c r="J211" t="s">
        <v>9</v>
      </c>
      <c r="K211" s="1">
        <v>16</v>
      </c>
      <c r="L211" s="1">
        <v>3</v>
      </c>
      <c r="M211" s="1">
        <v>17</v>
      </c>
      <c r="N211" s="1">
        <v>3</v>
      </c>
      <c r="O211" s="1">
        <v>4</v>
      </c>
      <c r="P211" s="1">
        <f>COUNTIF(HR_Data[Employee Number],HR_Data[[#This Row],[Employee Number]])</f>
        <v>1</v>
      </c>
      <c r="Q211" s="1" t="str">
        <f>IF(HR_Data[[#This Row],[Years At Company]]&lt;=HR_Data[[#This Row],[Total Working Years]],"Valid","error")</f>
        <v>Valid</v>
      </c>
      <c r="R211" s="1" t="str" cm="1">
        <f t="array" ref="R211">_xlfn.IFS(HR_Data[[#This Row],[Age]]&lt;=30,"Young", HR_Data[[#This Row],[Age]]&lt;=45,"Mid-Age",HR_Data[[#This Row],[Age]]&gt;45,"Senior")</f>
        <v>Senior</v>
      </c>
      <c r="S211" s="1" t="str" cm="1">
        <f t="array" ref="S211">_xlfn.IFS(HR_Data[[#This Row],[Monthly Income]]&lt;5000,"Low", HR_Data[[#This Row],[Monthly Income]]&lt;10000,"Medium",TRUE,"High")</f>
        <v>Medium</v>
      </c>
      <c r="T211" s="1" t="str" cm="1">
        <f t="array" ref="T211">_xlfn.IFS(HR_Data[[#This Row],[Total Working Years]]&lt;=5,"Junior", HR_Data[[#This Row],[Total Working Years]]&lt;=15,"Mid-Level", TRUE, "Senior")</f>
        <v>Senior</v>
      </c>
    </row>
    <row r="212" spans="1:20" x14ac:dyDescent="0.25">
      <c r="A212" s="1">
        <v>291</v>
      </c>
      <c r="B212" s="1">
        <v>32</v>
      </c>
      <c r="C212" t="s">
        <v>4</v>
      </c>
      <c r="D212" t="s">
        <v>5</v>
      </c>
      <c r="E212" t="s">
        <v>15</v>
      </c>
      <c r="F212" t="s">
        <v>11</v>
      </c>
      <c r="G212" t="s">
        <v>8</v>
      </c>
      <c r="H212" s="1">
        <v>4</v>
      </c>
      <c r="I212" s="1">
        <v>10400</v>
      </c>
      <c r="J212" t="s">
        <v>9</v>
      </c>
      <c r="K212" s="1">
        <v>11</v>
      </c>
      <c r="L212" s="1">
        <v>3</v>
      </c>
      <c r="M212" s="1">
        <v>14</v>
      </c>
      <c r="N212" s="1">
        <v>2</v>
      </c>
      <c r="O212" s="1">
        <v>14</v>
      </c>
      <c r="P212" s="1">
        <f>COUNTIF(HR_Data[Employee Number],HR_Data[[#This Row],[Employee Number]])</f>
        <v>1</v>
      </c>
      <c r="Q212" s="1" t="str">
        <f>IF(HR_Data[[#This Row],[Years At Company]]&lt;=HR_Data[[#This Row],[Total Working Years]],"Valid","error")</f>
        <v>Valid</v>
      </c>
      <c r="R212" s="1" t="str" cm="1">
        <f t="array" ref="R212">_xlfn.IFS(HR_Data[[#This Row],[Age]]&lt;=30,"Young", HR_Data[[#This Row],[Age]]&lt;=45,"Mid-Age",HR_Data[[#This Row],[Age]]&gt;45,"Senior")</f>
        <v>Mid-Age</v>
      </c>
      <c r="S212" s="1" t="str" cm="1">
        <f t="array" ref="S212">_xlfn.IFS(HR_Data[[#This Row],[Monthly Income]]&lt;5000,"Low", HR_Data[[#This Row],[Monthly Income]]&lt;10000,"Medium",TRUE,"High")</f>
        <v>High</v>
      </c>
      <c r="T212" s="1" t="str" cm="1">
        <f t="array" ref="T212">_xlfn.IFS(HR_Data[[#This Row],[Total Working Years]]&lt;=5,"Junior", HR_Data[[#This Row],[Total Working Years]]&lt;=15,"Mid-Level", TRUE, "Senior")</f>
        <v>Mid-Level</v>
      </c>
    </row>
    <row r="213" spans="1:20" x14ac:dyDescent="0.25">
      <c r="A213" s="1">
        <v>292</v>
      </c>
      <c r="B213" s="1">
        <v>30</v>
      </c>
      <c r="C213" t="s">
        <v>9</v>
      </c>
      <c r="D213" t="s">
        <v>10</v>
      </c>
      <c r="E213" t="s">
        <v>6</v>
      </c>
      <c r="F213" t="s">
        <v>11</v>
      </c>
      <c r="G213" t="s">
        <v>16</v>
      </c>
      <c r="H213" s="1">
        <v>3</v>
      </c>
      <c r="I213" s="1">
        <v>8474</v>
      </c>
      <c r="J213" t="s">
        <v>9</v>
      </c>
      <c r="K213" s="1">
        <v>22</v>
      </c>
      <c r="L213" s="1">
        <v>4</v>
      </c>
      <c r="M213" s="1">
        <v>12</v>
      </c>
      <c r="N213" s="1">
        <v>3</v>
      </c>
      <c r="O213" s="1">
        <v>11</v>
      </c>
      <c r="P213" s="1">
        <f>COUNTIF(HR_Data[Employee Number],HR_Data[[#This Row],[Employee Number]])</f>
        <v>1</v>
      </c>
      <c r="Q213" s="1" t="str">
        <f>IF(HR_Data[[#This Row],[Years At Company]]&lt;=HR_Data[[#This Row],[Total Working Years]],"Valid","error")</f>
        <v>Valid</v>
      </c>
      <c r="R213" s="1" t="str" cm="1">
        <f t="array" ref="R213">_xlfn.IFS(HR_Data[[#This Row],[Age]]&lt;=30,"Young", HR_Data[[#This Row],[Age]]&lt;=45,"Mid-Age",HR_Data[[#This Row],[Age]]&gt;45,"Senior")</f>
        <v>Young</v>
      </c>
      <c r="S213" s="1" t="str" cm="1">
        <f t="array" ref="S213">_xlfn.IFS(HR_Data[[#This Row],[Monthly Income]]&lt;5000,"Low", HR_Data[[#This Row],[Monthly Income]]&lt;10000,"Medium",TRUE,"High")</f>
        <v>Medium</v>
      </c>
      <c r="T213" s="1" t="str" cm="1">
        <f t="array" ref="T213">_xlfn.IFS(HR_Data[[#This Row],[Total Working Years]]&lt;=5,"Junior", HR_Data[[#This Row],[Total Working Years]]&lt;=15,"Mid-Level", TRUE, "Senior")</f>
        <v>Mid-Level</v>
      </c>
    </row>
    <row r="214" spans="1:20" x14ac:dyDescent="0.25">
      <c r="A214" s="1">
        <v>293</v>
      </c>
      <c r="B214" s="1">
        <v>27</v>
      </c>
      <c r="C214" t="s">
        <v>9</v>
      </c>
      <c r="D214" t="s">
        <v>5</v>
      </c>
      <c r="E214" t="s">
        <v>6</v>
      </c>
      <c r="F214" t="s">
        <v>7</v>
      </c>
      <c r="G214" t="s">
        <v>8</v>
      </c>
      <c r="H214" s="1">
        <v>3</v>
      </c>
      <c r="I214" s="1">
        <v>9981</v>
      </c>
      <c r="J214" t="s">
        <v>9</v>
      </c>
      <c r="K214" s="1">
        <v>14</v>
      </c>
      <c r="L214" s="1">
        <v>3</v>
      </c>
      <c r="M214" s="1">
        <v>7</v>
      </c>
      <c r="N214" s="1">
        <v>3</v>
      </c>
      <c r="O214" s="1">
        <v>7</v>
      </c>
      <c r="P214" s="1">
        <f>COUNTIF(HR_Data[Employee Number],HR_Data[[#This Row],[Employee Number]])</f>
        <v>1</v>
      </c>
      <c r="Q214" s="1" t="str">
        <f>IF(HR_Data[[#This Row],[Years At Company]]&lt;=HR_Data[[#This Row],[Total Working Years]],"Valid","error")</f>
        <v>Valid</v>
      </c>
      <c r="R214" s="1" t="str" cm="1">
        <f t="array" ref="R214">_xlfn.IFS(HR_Data[[#This Row],[Age]]&lt;=30,"Young", HR_Data[[#This Row],[Age]]&lt;=45,"Mid-Age",HR_Data[[#This Row],[Age]]&gt;45,"Senior")</f>
        <v>Young</v>
      </c>
      <c r="S214" s="1" t="str" cm="1">
        <f t="array" ref="S214">_xlfn.IFS(HR_Data[[#This Row],[Monthly Income]]&lt;5000,"Low", HR_Data[[#This Row],[Monthly Income]]&lt;10000,"Medium",TRUE,"High")</f>
        <v>Medium</v>
      </c>
      <c r="T214" s="1" t="str" cm="1">
        <f t="array" ref="T214">_xlfn.IFS(HR_Data[[#This Row],[Total Working Years]]&lt;=5,"Junior", HR_Data[[#This Row],[Total Working Years]]&lt;=15,"Mid-Level", TRUE, "Senior")</f>
        <v>Mid-Level</v>
      </c>
    </row>
    <row r="215" spans="1:20" x14ac:dyDescent="0.25">
      <c r="A215" s="1">
        <v>296</v>
      </c>
      <c r="B215" s="1">
        <v>51</v>
      </c>
      <c r="C215" t="s">
        <v>9</v>
      </c>
      <c r="D215" t="s">
        <v>10</v>
      </c>
      <c r="E215" t="s">
        <v>6</v>
      </c>
      <c r="F215" t="s">
        <v>11</v>
      </c>
      <c r="G215" t="s">
        <v>20</v>
      </c>
      <c r="H215" s="1">
        <v>2</v>
      </c>
      <c r="I215" s="1">
        <v>12490</v>
      </c>
      <c r="J215" t="s">
        <v>9</v>
      </c>
      <c r="K215" s="1">
        <v>16</v>
      </c>
      <c r="L215" s="1">
        <v>3</v>
      </c>
      <c r="M215" s="1">
        <v>16</v>
      </c>
      <c r="N215" s="1">
        <v>1</v>
      </c>
      <c r="O215" s="1">
        <v>10</v>
      </c>
      <c r="P215" s="1">
        <f>COUNTIF(HR_Data[Employee Number],HR_Data[[#This Row],[Employee Number]])</f>
        <v>1</v>
      </c>
      <c r="Q215" s="1" t="str">
        <f>IF(HR_Data[[#This Row],[Years At Company]]&lt;=HR_Data[[#This Row],[Total Working Years]],"Valid","error")</f>
        <v>Valid</v>
      </c>
      <c r="R215" s="1" t="str" cm="1">
        <f t="array" ref="R215">_xlfn.IFS(HR_Data[[#This Row],[Age]]&lt;=30,"Young", HR_Data[[#This Row],[Age]]&lt;=45,"Mid-Age",HR_Data[[#This Row],[Age]]&gt;45,"Senior")</f>
        <v>Senior</v>
      </c>
      <c r="S215" s="1" t="str" cm="1">
        <f t="array" ref="S215">_xlfn.IFS(HR_Data[[#This Row],[Monthly Income]]&lt;5000,"Low", HR_Data[[#This Row],[Monthly Income]]&lt;10000,"Medium",TRUE,"High")</f>
        <v>High</v>
      </c>
      <c r="T215" s="1" t="str" cm="1">
        <f t="array" ref="T215">_xlfn.IFS(HR_Data[[#This Row],[Total Working Years]]&lt;=5,"Junior", HR_Data[[#This Row],[Total Working Years]]&lt;=15,"Mid-Level", TRUE, "Senior")</f>
        <v>Senior</v>
      </c>
    </row>
    <row r="216" spans="1:20" x14ac:dyDescent="0.25">
      <c r="A216" s="1">
        <v>297</v>
      </c>
      <c r="B216" s="1">
        <v>30</v>
      </c>
      <c r="C216" t="s">
        <v>4</v>
      </c>
      <c r="D216" t="s">
        <v>10</v>
      </c>
      <c r="E216" t="s">
        <v>22</v>
      </c>
      <c r="F216" t="s">
        <v>7</v>
      </c>
      <c r="G216" t="s">
        <v>12</v>
      </c>
      <c r="H216" s="1">
        <v>1</v>
      </c>
      <c r="I216" s="1">
        <v>2657</v>
      </c>
      <c r="J216" t="s">
        <v>4</v>
      </c>
      <c r="K216" s="1">
        <v>11</v>
      </c>
      <c r="L216" s="1">
        <v>3</v>
      </c>
      <c r="M216" s="1">
        <v>8</v>
      </c>
      <c r="N216" s="1">
        <v>3</v>
      </c>
      <c r="O216" s="1">
        <v>5</v>
      </c>
      <c r="P216" s="1">
        <f>COUNTIF(HR_Data[Employee Number],HR_Data[[#This Row],[Employee Number]])</f>
        <v>1</v>
      </c>
      <c r="Q216" s="1" t="str">
        <f>IF(HR_Data[[#This Row],[Years At Company]]&lt;=HR_Data[[#This Row],[Total Working Years]],"Valid","error")</f>
        <v>Valid</v>
      </c>
      <c r="R216" s="1" t="str" cm="1">
        <f t="array" ref="R216">_xlfn.IFS(HR_Data[[#This Row],[Age]]&lt;=30,"Young", HR_Data[[#This Row],[Age]]&lt;=45,"Mid-Age",HR_Data[[#This Row],[Age]]&gt;45,"Senior")</f>
        <v>Young</v>
      </c>
      <c r="S216" s="1" t="str" cm="1">
        <f t="array" ref="S216">_xlfn.IFS(HR_Data[[#This Row],[Monthly Income]]&lt;5000,"Low", HR_Data[[#This Row],[Monthly Income]]&lt;10000,"Medium",TRUE,"High")</f>
        <v>Low</v>
      </c>
      <c r="T216" s="1" t="str" cm="1">
        <f t="array" ref="T216">_xlfn.IFS(HR_Data[[#This Row],[Total Working Years]]&lt;=5,"Junior", HR_Data[[#This Row],[Total Working Years]]&lt;=15,"Mid-Level", TRUE, "Senior")</f>
        <v>Mid-Level</v>
      </c>
    </row>
    <row r="217" spans="1:20" x14ac:dyDescent="0.25">
      <c r="A217" s="1">
        <v>298</v>
      </c>
      <c r="B217" s="1">
        <v>41</v>
      </c>
      <c r="C217" t="s">
        <v>9</v>
      </c>
      <c r="D217" t="s">
        <v>5</v>
      </c>
      <c r="E217" t="s">
        <v>6</v>
      </c>
      <c r="F217" t="s">
        <v>7</v>
      </c>
      <c r="G217" t="s">
        <v>18</v>
      </c>
      <c r="H217" s="1">
        <v>4</v>
      </c>
      <c r="I217" s="1">
        <v>13591</v>
      </c>
      <c r="J217" t="s">
        <v>4</v>
      </c>
      <c r="K217" s="1">
        <v>18</v>
      </c>
      <c r="L217" s="1">
        <v>3</v>
      </c>
      <c r="M217" s="1">
        <v>16</v>
      </c>
      <c r="N217" s="1">
        <v>3</v>
      </c>
      <c r="O217" s="1">
        <v>1</v>
      </c>
      <c r="P217" s="1">
        <f>COUNTIF(HR_Data[Employee Number],HR_Data[[#This Row],[Employee Number]])</f>
        <v>1</v>
      </c>
      <c r="Q217" s="1" t="str">
        <f>IF(HR_Data[[#This Row],[Years At Company]]&lt;=HR_Data[[#This Row],[Total Working Years]],"Valid","error")</f>
        <v>Valid</v>
      </c>
      <c r="R217" s="1" t="str" cm="1">
        <f t="array" ref="R217">_xlfn.IFS(HR_Data[[#This Row],[Age]]&lt;=30,"Young", HR_Data[[#This Row],[Age]]&lt;=45,"Mid-Age",HR_Data[[#This Row],[Age]]&gt;45,"Senior")</f>
        <v>Mid-Age</v>
      </c>
      <c r="S217" s="1" t="str" cm="1">
        <f t="array" ref="S217">_xlfn.IFS(HR_Data[[#This Row],[Monthly Income]]&lt;5000,"Low", HR_Data[[#This Row],[Monthly Income]]&lt;10000,"Medium",TRUE,"High")</f>
        <v>High</v>
      </c>
      <c r="T217" s="1" t="str" cm="1">
        <f t="array" ref="T217">_xlfn.IFS(HR_Data[[#This Row],[Total Working Years]]&lt;=5,"Junior", HR_Data[[#This Row],[Total Working Years]]&lt;=15,"Mid-Level", TRUE, "Senior")</f>
        <v>Senior</v>
      </c>
    </row>
    <row r="218" spans="1:20" x14ac:dyDescent="0.25">
      <c r="A218" s="1">
        <v>299</v>
      </c>
      <c r="B218" s="1">
        <v>30</v>
      </c>
      <c r="C218" t="s">
        <v>4</v>
      </c>
      <c r="D218" t="s">
        <v>5</v>
      </c>
      <c r="E218" t="s">
        <v>21</v>
      </c>
      <c r="F218" t="s">
        <v>7</v>
      </c>
      <c r="G218" t="s">
        <v>8</v>
      </c>
      <c r="H218" s="1">
        <v>1</v>
      </c>
      <c r="I218" s="1">
        <v>6696</v>
      </c>
      <c r="J218" t="s">
        <v>9</v>
      </c>
      <c r="K218" s="1">
        <v>15</v>
      </c>
      <c r="L218" s="1">
        <v>3</v>
      </c>
      <c r="M218" s="1">
        <v>9</v>
      </c>
      <c r="N218" s="1">
        <v>2</v>
      </c>
      <c r="O218" s="1">
        <v>6</v>
      </c>
      <c r="P218" s="1">
        <f>COUNTIF(HR_Data[Employee Number],HR_Data[[#This Row],[Employee Number]])</f>
        <v>1</v>
      </c>
      <c r="Q218" s="1" t="str">
        <f>IF(HR_Data[[#This Row],[Years At Company]]&lt;=HR_Data[[#This Row],[Total Working Years]],"Valid","error")</f>
        <v>Valid</v>
      </c>
      <c r="R218" s="1" t="str" cm="1">
        <f t="array" ref="R218">_xlfn.IFS(HR_Data[[#This Row],[Age]]&lt;=30,"Young", HR_Data[[#This Row],[Age]]&lt;=45,"Mid-Age",HR_Data[[#This Row],[Age]]&gt;45,"Senior")</f>
        <v>Young</v>
      </c>
      <c r="S218" s="1" t="str" cm="1">
        <f t="array" ref="S218">_xlfn.IFS(HR_Data[[#This Row],[Monthly Income]]&lt;5000,"Low", HR_Data[[#This Row],[Monthly Income]]&lt;10000,"Medium",TRUE,"High")</f>
        <v>Medium</v>
      </c>
      <c r="T218" s="1" t="str" cm="1">
        <f t="array" ref="T218">_xlfn.IFS(HR_Data[[#This Row],[Total Working Years]]&lt;=5,"Junior", HR_Data[[#This Row],[Total Working Years]]&lt;=15,"Mid-Level", TRUE, "Senior")</f>
        <v>Mid-Level</v>
      </c>
    </row>
    <row r="219" spans="1:20" x14ac:dyDescent="0.25">
      <c r="A219" s="1">
        <v>300</v>
      </c>
      <c r="B219" s="1">
        <v>29</v>
      </c>
      <c r="C219" t="s">
        <v>4</v>
      </c>
      <c r="D219" t="s">
        <v>10</v>
      </c>
      <c r="E219" t="s">
        <v>22</v>
      </c>
      <c r="F219" t="s">
        <v>11</v>
      </c>
      <c r="G219" t="s">
        <v>12</v>
      </c>
      <c r="H219" s="1">
        <v>3</v>
      </c>
      <c r="I219" s="1">
        <v>2058</v>
      </c>
      <c r="J219" t="s">
        <v>9</v>
      </c>
      <c r="K219" s="1">
        <v>14</v>
      </c>
      <c r="L219" s="1">
        <v>3</v>
      </c>
      <c r="M219" s="1">
        <v>7</v>
      </c>
      <c r="N219" s="1">
        <v>2</v>
      </c>
      <c r="O219" s="1">
        <v>6</v>
      </c>
      <c r="P219" s="1">
        <f>COUNTIF(HR_Data[Employee Number],HR_Data[[#This Row],[Employee Number]])</f>
        <v>1</v>
      </c>
      <c r="Q219" s="1" t="str">
        <f>IF(HR_Data[[#This Row],[Years At Company]]&lt;=HR_Data[[#This Row],[Total Working Years]],"Valid","error")</f>
        <v>Valid</v>
      </c>
      <c r="R219" s="1" t="str" cm="1">
        <f t="array" ref="R219">_xlfn.IFS(HR_Data[[#This Row],[Age]]&lt;=30,"Young", HR_Data[[#This Row],[Age]]&lt;=45,"Mid-Age",HR_Data[[#This Row],[Age]]&gt;45,"Senior")</f>
        <v>Young</v>
      </c>
      <c r="S219" s="1" t="str" cm="1">
        <f t="array" ref="S219">_xlfn.IFS(HR_Data[[#This Row],[Monthly Income]]&lt;5000,"Low", HR_Data[[#This Row],[Monthly Income]]&lt;10000,"Medium",TRUE,"High")</f>
        <v>Low</v>
      </c>
      <c r="T219" s="1" t="str" cm="1">
        <f t="array" ref="T219">_xlfn.IFS(HR_Data[[#This Row],[Total Working Years]]&lt;=5,"Junior", HR_Data[[#This Row],[Total Working Years]]&lt;=15,"Mid-Level", TRUE, "Senior")</f>
        <v>Mid-Level</v>
      </c>
    </row>
    <row r="220" spans="1:20" x14ac:dyDescent="0.25">
      <c r="A220" s="1">
        <v>302</v>
      </c>
      <c r="B220" s="1">
        <v>45</v>
      </c>
      <c r="C220" t="s">
        <v>9</v>
      </c>
      <c r="D220" t="s">
        <v>5</v>
      </c>
      <c r="E220" t="s">
        <v>15</v>
      </c>
      <c r="F220" t="s">
        <v>7</v>
      </c>
      <c r="G220" t="s">
        <v>8</v>
      </c>
      <c r="H220" s="1">
        <v>4</v>
      </c>
      <c r="I220" s="1">
        <v>8865</v>
      </c>
      <c r="J220" t="s">
        <v>9</v>
      </c>
      <c r="K220" s="1">
        <v>12</v>
      </c>
      <c r="L220" s="1">
        <v>3</v>
      </c>
      <c r="M220" s="1">
        <v>23</v>
      </c>
      <c r="N220" s="1">
        <v>3</v>
      </c>
      <c r="O220" s="1">
        <v>19</v>
      </c>
      <c r="P220" s="1">
        <f>COUNTIF(HR_Data[Employee Number],HR_Data[[#This Row],[Employee Number]])</f>
        <v>1</v>
      </c>
      <c r="Q220" s="1" t="str">
        <f>IF(HR_Data[[#This Row],[Years At Company]]&lt;=HR_Data[[#This Row],[Total Working Years]],"Valid","error")</f>
        <v>Valid</v>
      </c>
      <c r="R220" s="1" t="str" cm="1">
        <f t="array" ref="R220">_xlfn.IFS(HR_Data[[#This Row],[Age]]&lt;=30,"Young", HR_Data[[#This Row],[Age]]&lt;=45,"Mid-Age",HR_Data[[#This Row],[Age]]&gt;45,"Senior")</f>
        <v>Mid-Age</v>
      </c>
      <c r="S220" s="1" t="str" cm="1">
        <f t="array" ref="S220">_xlfn.IFS(HR_Data[[#This Row],[Monthly Income]]&lt;5000,"Low", HR_Data[[#This Row],[Monthly Income]]&lt;10000,"Medium",TRUE,"High")</f>
        <v>Medium</v>
      </c>
      <c r="T220" s="1" t="str" cm="1">
        <f t="array" ref="T220">_xlfn.IFS(HR_Data[[#This Row],[Total Working Years]]&lt;=5,"Junior", HR_Data[[#This Row],[Total Working Years]]&lt;=15,"Mid-Level", TRUE, "Senior")</f>
        <v>Senior</v>
      </c>
    </row>
    <row r="221" spans="1:20" x14ac:dyDescent="0.25">
      <c r="A221" s="1">
        <v>303</v>
      </c>
      <c r="B221" s="1">
        <v>54</v>
      </c>
      <c r="C221" t="s">
        <v>9</v>
      </c>
      <c r="D221" t="s">
        <v>5</v>
      </c>
      <c r="E221" t="s">
        <v>21</v>
      </c>
      <c r="F221" t="s">
        <v>7</v>
      </c>
      <c r="G221" t="s">
        <v>8</v>
      </c>
      <c r="H221" s="1">
        <v>1</v>
      </c>
      <c r="I221" s="1">
        <v>5940</v>
      </c>
      <c r="J221" t="s">
        <v>9</v>
      </c>
      <c r="K221" s="1">
        <v>14</v>
      </c>
      <c r="L221" s="1">
        <v>3</v>
      </c>
      <c r="M221" s="1">
        <v>16</v>
      </c>
      <c r="N221" s="1">
        <v>3</v>
      </c>
      <c r="O221" s="1">
        <v>6</v>
      </c>
      <c r="P221" s="1">
        <f>COUNTIF(HR_Data[Employee Number],HR_Data[[#This Row],[Employee Number]])</f>
        <v>1</v>
      </c>
      <c r="Q221" s="1" t="str">
        <f>IF(HR_Data[[#This Row],[Years At Company]]&lt;=HR_Data[[#This Row],[Total Working Years]],"Valid","error")</f>
        <v>Valid</v>
      </c>
      <c r="R221" s="1" t="str" cm="1">
        <f t="array" ref="R221">_xlfn.IFS(HR_Data[[#This Row],[Age]]&lt;=30,"Young", HR_Data[[#This Row],[Age]]&lt;=45,"Mid-Age",HR_Data[[#This Row],[Age]]&gt;45,"Senior")</f>
        <v>Senior</v>
      </c>
      <c r="S221" s="1" t="str" cm="1">
        <f t="array" ref="S221">_xlfn.IFS(HR_Data[[#This Row],[Monthly Income]]&lt;5000,"Low", HR_Data[[#This Row],[Monthly Income]]&lt;10000,"Medium",TRUE,"High")</f>
        <v>Medium</v>
      </c>
      <c r="T221" s="1" t="str" cm="1">
        <f t="array" ref="T221">_xlfn.IFS(HR_Data[[#This Row],[Total Working Years]]&lt;=5,"Junior", HR_Data[[#This Row],[Total Working Years]]&lt;=15,"Mid-Level", TRUE, "Senior")</f>
        <v>Senior</v>
      </c>
    </row>
    <row r="222" spans="1:20" x14ac:dyDescent="0.25">
      <c r="A222" s="1">
        <v>304</v>
      </c>
      <c r="B222" s="1">
        <v>36</v>
      </c>
      <c r="C222" t="s">
        <v>9</v>
      </c>
      <c r="D222" t="s">
        <v>10</v>
      </c>
      <c r="E222" t="s">
        <v>6</v>
      </c>
      <c r="F222" t="s">
        <v>11</v>
      </c>
      <c r="G222" t="s">
        <v>14</v>
      </c>
      <c r="H222" s="1">
        <v>2</v>
      </c>
      <c r="I222" s="1">
        <v>5914</v>
      </c>
      <c r="J222" t="s">
        <v>9</v>
      </c>
      <c r="K222" s="1">
        <v>16</v>
      </c>
      <c r="L222" s="1">
        <v>3</v>
      </c>
      <c r="M222" s="1">
        <v>16</v>
      </c>
      <c r="N222" s="1">
        <v>4</v>
      </c>
      <c r="O222" s="1">
        <v>13</v>
      </c>
      <c r="P222" s="1">
        <f>COUNTIF(HR_Data[Employee Number],HR_Data[[#This Row],[Employee Number]])</f>
        <v>1</v>
      </c>
      <c r="Q222" s="1" t="str">
        <f>IF(HR_Data[[#This Row],[Years At Company]]&lt;=HR_Data[[#This Row],[Total Working Years]],"Valid","error")</f>
        <v>Valid</v>
      </c>
      <c r="R222" s="1" t="str" cm="1">
        <f t="array" ref="R222">_xlfn.IFS(HR_Data[[#This Row],[Age]]&lt;=30,"Young", HR_Data[[#This Row],[Age]]&lt;=45,"Mid-Age",HR_Data[[#This Row],[Age]]&gt;45,"Senior")</f>
        <v>Mid-Age</v>
      </c>
      <c r="S222" s="1" t="str" cm="1">
        <f t="array" ref="S222">_xlfn.IFS(HR_Data[[#This Row],[Monthly Income]]&lt;5000,"Low", HR_Data[[#This Row],[Monthly Income]]&lt;10000,"Medium",TRUE,"High")</f>
        <v>Medium</v>
      </c>
      <c r="T222" s="1" t="str" cm="1">
        <f t="array" ref="T222">_xlfn.IFS(HR_Data[[#This Row],[Total Working Years]]&lt;=5,"Junior", HR_Data[[#This Row],[Total Working Years]]&lt;=15,"Mid-Level", TRUE, "Senior")</f>
        <v>Senior</v>
      </c>
    </row>
    <row r="223" spans="1:20" x14ac:dyDescent="0.25">
      <c r="A223" s="1">
        <v>305</v>
      </c>
      <c r="B223" s="1">
        <v>33</v>
      </c>
      <c r="C223" t="s">
        <v>9</v>
      </c>
      <c r="D223" t="s">
        <v>10</v>
      </c>
      <c r="E223" t="s">
        <v>15</v>
      </c>
      <c r="F223" t="s">
        <v>7</v>
      </c>
      <c r="G223" t="s">
        <v>12</v>
      </c>
      <c r="H223" s="1">
        <v>2</v>
      </c>
      <c r="I223" s="1">
        <v>2622</v>
      </c>
      <c r="J223" t="s">
        <v>9</v>
      </c>
      <c r="K223" s="1">
        <v>21</v>
      </c>
      <c r="L223" s="1">
        <v>4</v>
      </c>
      <c r="M223" s="1">
        <v>7</v>
      </c>
      <c r="N223" s="1">
        <v>3</v>
      </c>
      <c r="O223" s="1">
        <v>3</v>
      </c>
      <c r="P223" s="1">
        <f>COUNTIF(HR_Data[Employee Number],HR_Data[[#This Row],[Employee Number]])</f>
        <v>1</v>
      </c>
      <c r="Q223" s="1" t="str">
        <f>IF(HR_Data[[#This Row],[Years At Company]]&lt;=HR_Data[[#This Row],[Total Working Years]],"Valid","error")</f>
        <v>Valid</v>
      </c>
      <c r="R223" s="1" t="str" cm="1">
        <f t="array" ref="R223">_xlfn.IFS(HR_Data[[#This Row],[Age]]&lt;=30,"Young", HR_Data[[#This Row],[Age]]&lt;=45,"Mid-Age",HR_Data[[#This Row],[Age]]&gt;45,"Senior")</f>
        <v>Mid-Age</v>
      </c>
      <c r="S223" s="1" t="str" cm="1">
        <f t="array" ref="S223">_xlfn.IFS(HR_Data[[#This Row],[Monthly Income]]&lt;5000,"Low", HR_Data[[#This Row],[Monthly Income]]&lt;10000,"Medium",TRUE,"High")</f>
        <v>Low</v>
      </c>
      <c r="T223" s="1" t="str" cm="1">
        <f t="array" ref="T223">_xlfn.IFS(HR_Data[[#This Row],[Total Working Years]]&lt;=5,"Junior", HR_Data[[#This Row],[Total Working Years]]&lt;=15,"Mid-Level", TRUE, "Senior")</f>
        <v>Mid-Level</v>
      </c>
    </row>
    <row r="224" spans="1:20" x14ac:dyDescent="0.25">
      <c r="A224" s="1">
        <v>306</v>
      </c>
      <c r="B224" s="1">
        <v>37</v>
      </c>
      <c r="C224" t="s">
        <v>9</v>
      </c>
      <c r="D224" t="s">
        <v>10</v>
      </c>
      <c r="E224" t="s">
        <v>13</v>
      </c>
      <c r="F224" t="s">
        <v>11</v>
      </c>
      <c r="G224" t="s">
        <v>20</v>
      </c>
      <c r="H224" s="1">
        <v>4</v>
      </c>
      <c r="I224" s="1">
        <v>12185</v>
      </c>
      <c r="J224" t="s">
        <v>4</v>
      </c>
      <c r="K224" s="1">
        <v>14</v>
      </c>
      <c r="L224" s="1">
        <v>3</v>
      </c>
      <c r="M224" s="1">
        <v>10</v>
      </c>
      <c r="N224" s="1">
        <v>3</v>
      </c>
      <c r="O224" s="1">
        <v>10</v>
      </c>
      <c r="P224" s="1">
        <f>COUNTIF(HR_Data[Employee Number],HR_Data[[#This Row],[Employee Number]])</f>
        <v>1</v>
      </c>
      <c r="Q224" s="1" t="str">
        <f>IF(HR_Data[[#This Row],[Years At Company]]&lt;=HR_Data[[#This Row],[Total Working Years]],"Valid","error")</f>
        <v>Valid</v>
      </c>
      <c r="R224" s="1" t="str" cm="1">
        <f t="array" ref="R224">_xlfn.IFS(HR_Data[[#This Row],[Age]]&lt;=30,"Young", HR_Data[[#This Row],[Age]]&lt;=45,"Mid-Age",HR_Data[[#This Row],[Age]]&gt;45,"Senior")</f>
        <v>Mid-Age</v>
      </c>
      <c r="S224" s="1" t="str" cm="1">
        <f t="array" ref="S224">_xlfn.IFS(HR_Data[[#This Row],[Monthly Income]]&lt;5000,"Low", HR_Data[[#This Row],[Monthly Income]]&lt;10000,"Medium",TRUE,"High")</f>
        <v>High</v>
      </c>
      <c r="T224" s="1" t="str" cm="1">
        <f t="array" ref="T224">_xlfn.IFS(HR_Data[[#This Row],[Total Working Years]]&lt;=5,"Junior", HR_Data[[#This Row],[Total Working Years]]&lt;=15,"Mid-Level", TRUE, "Senior")</f>
        <v>Mid-Level</v>
      </c>
    </row>
    <row r="225" spans="1:20" x14ac:dyDescent="0.25">
      <c r="A225" s="1">
        <v>307</v>
      </c>
      <c r="B225" s="1">
        <v>38</v>
      </c>
      <c r="C225" t="s">
        <v>9</v>
      </c>
      <c r="D225" t="s">
        <v>5</v>
      </c>
      <c r="E225" t="s">
        <v>6</v>
      </c>
      <c r="F225" t="s">
        <v>11</v>
      </c>
      <c r="G225" t="s">
        <v>8</v>
      </c>
      <c r="H225" s="1">
        <v>3</v>
      </c>
      <c r="I225" s="1">
        <v>10609</v>
      </c>
      <c r="J225" t="s">
        <v>9</v>
      </c>
      <c r="K225" s="1">
        <v>12</v>
      </c>
      <c r="L225" s="1">
        <v>3</v>
      </c>
      <c r="M225" s="1">
        <v>17</v>
      </c>
      <c r="N225" s="1">
        <v>2</v>
      </c>
      <c r="O225" s="1">
        <v>16</v>
      </c>
      <c r="P225" s="1">
        <f>COUNTIF(HR_Data[Employee Number],HR_Data[[#This Row],[Employee Number]])</f>
        <v>1</v>
      </c>
      <c r="Q225" s="1" t="str">
        <f>IF(HR_Data[[#This Row],[Years At Company]]&lt;=HR_Data[[#This Row],[Total Working Years]],"Valid","error")</f>
        <v>Valid</v>
      </c>
      <c r="R225" s="1" t="str" cm="1">
        <f t="array" ref="R225">_xlfn.IFS(HR_Data[[#This Row],[Age]]&lt;=30,"Young", HR_Data[[#This Row],[Age]]&lt;=45,"Mid-Age",HR_Data[[#This Row],[Age]]&gt;45,"Senior")</f>
        <v>Mid-Age</v>
      </c>
      <c r="S225" s="1" t="str" cm="1">
        <f t="array" ref="S225">_xlfn.IFS(HR_Data[[#This Row],[Monthly Income]]&lt;5000,"Low", HR_Data[[#This Row],[Monthly Income]]&lt;10000,"Medium",TRUE,"High")</f>
        <v>High</v>
      </c>
      <c r="T225" s="1" t="str" cm="1">
        <f t="array" ref="T225">_xlfn.IFS(HR_Data[[#This Row],[Total Working Years]]&lt;=5,"Junior", HR_Data[[#This Row],[Total Working Years]]&lt;=15,"Mid-Level", TRUE, "Senior")</f>
        <v>Senior</v>
      </c>
    </row>
    <row r="226" spans="1:20" x14ac:dyDescent="0.25">
      <c r="A226" s="1">
        <v>308</v>
      </c>
      <c r="B226" s="1">
        <v>31</v>
      </c>
      <c r="C226" t="s">
        <v>9</v>
      </c>
      <c r="D226" t="s">
        <v>10</v>
      </c>
      <c r="E226" t="s">
        <v>15</v>
      </c>
      <c r="F226" t="s">
        <v>11</v>
      </c>
      <c r="G226" t="s">
        <v>16</v>
      </c>
      <c r="H226" s="1">
        <v>3</v>
      </c>
      <c r="I226" s="1">
        <v>4345</v>
      </c>
      <c r="J226" t="s">
        <v>9</v>
      </c>
      <c r="K226" s="1">
        <v>12</v>
      </c>
      <c r="L226" s="1">
        <v>3</v>
      </c>
      <c r="M226" s="1">
        <v>6</v>
      </c>
      <c r="N226" s="1">
        <v>3</v>
      </c>
      <c r="O226" s="1">
        <v>5</v>
      </c>
      <c r="P226" s="1">
        <f>COUNTIF(HR_Data[Employee Number],HR_Data[[#This Row],[Employee Number]])</f>
        <v>1</v>
      </c>
      <c r="Q226" s="1" t="str">
        <f>IF(HR_Data[[#This Row],[Years At Company]]&lt;=HR_Data[[#This Row],[Total Working Years]],"Valid","error")</f>
        <v>Valid</v>
      </c>
      <c r="R226" s="1" t="str" cm="1">
        <f t="array" ref="R226">_xlfn.IFS(HR_Data[[#This Row],[Age]]&lt;=30,"Young", HR_Data[[#This Row],[Age]]&lt;=45,"Mid-Age",HR_Data[[#This Row],[Age]]&gt;45,"Senior")</f>
        <v>Mid-Age</v>
      </c>
      <c r="S226" s="1" t="str" cm="1">
        <f t="array" ref="S226">_xlfn.IFS(HR_Data[[#This Row],[Monthly Income]]&lt;5000,"Low", HR_Data[[#This Row],[Monthly Income]]&lt;10000,"Medium",TRUE,"High")</f>
        <v>Low</v>
      </c>
      <c r="T226" s="1" t="str" cm="1">
        <f t="array" ref="T226">_xlfn.IFS(HR_Data[[#This Row],[Total Working Years]]&lt;=5,"Junior", HR_Data[[#This Row],[Total Working Years]]&lt;=15,"Mid-Level", TRUE, "Senior")</f>
        <v>Mid-Level</v>
      </c>
    </row>
    <row r="227" spans="1:20" x14ac:dyDescent="0.25">
      <c r="A227" s="1">
        <v>309</v>
      </c>
      <c r="B227" s="1">
        <v>59</v>
      </c>
      <c r="C227" t="s">
        <v>9</v>
      </c>
      <c r="D227" t="s">
        <v>10</v>
      </c>
      <c r="E227" t="s">
        <v>6</v>
      </c>
      <c r="F227" t="s">
        <v>11</v>
      </c>
      <c r="G227" t="s">
        <v>12</v>
      </c>
      <c r="H227" s="1">
        <v>4</v>
      </c>
      <c r="I227" s="1">
        <v>2177</v>
      </c>
      <c r="J227" t="s">
        <v>9</v>
      </c>
      <c r="K227" s="1">
        <v>17</v>
      </c>
      <c r="L227" s="1">
        <v>3</v>
      </c>
      <c r="M227" s="1">
        <v>7</v>
      </c>
      <c r="N227" s="1">
        <v>3</v>
      </c>
      <c r="O227" s="1">
        <v>1</v>
      </c>
      <c r="P227" s="1">
        <f>COUNTIF(HR_Data[Employee Number],HR_Data[[#This Row],[Employee Number]])</f>
        <v>1</v>
      </c>
      <c r="Q227" s="1" t="str">
        <f>IF(HR_Data[[#This Row],[Years At Company]]&lt;=HR_Data[[#This Row],[Total Working Years]],"Valid","error")</f>
        <v>Valid</v>
      </c>
      <c r="R227" s="1" t="str" cm="1">
        <f t="array" ref="R227">_xlfn.IFS(HR_Data[[#This Row],[Age]]&lt;=30,"Young", HR_Data[[#This Row],[Age]]&lt;=45,"Mid-Age",HR_Data[[#This Row],[Age]]&gt;45,"Senior")</f>
        <v>Senior</v>
      </c>
      <c r="S227" s="1" t="str" cm="1">
        <f t="array" ref="S227">_xlfn.IFS(HR_Data[[#This Row],[Monthly Income]]&lt;5000,"Low", HR_Data[[#This Row],[Monthly Income]]&lt;10000,"Medium",TRUE,"High")</f>
        <v>Low</v>
      </c>
      <c r="T227" s="1" t="str" cm="1">
        <f t="array" ref="T227">_xlfn.IFS(HR_Data[[#This Row],[Total Working Years]]&lt;=5,"Junior", HR_Data[[#This Row],[Total Working Years]]&lt;=15,"Mid-Level", TRUE, "Senior")</f>
        <v>Mid-Level</v>
      </c>
    </row>
    <row r="228" spans="1:20" x14ac:dyDescent="0.25">
      <c r="A228" s="1">
        <v>311</v>
      </c>
      <c r="B228" s="1">
        <v>37</v>
      </c>
      <c r="C228" t="s">
        <v>9</v>
      </c>
      <c r="D228" t="s">
        <v>5</v>
      </c>
      <c r="E228" t="s">
        <v>21</v>
      </c>
      <c r="F228" t="s">
        <v>11</v>
      </c>
      <c r="G228" t="s">
        <v>19</v>
      </c>
      <c r="H228" s="1">
        <v>4</v>
      </c>
      <c r="I228" s="1">
        <v>2793</v>
      </c>
      <c r="J228" t="s">
        <v>9</v>
      </c>
      <c r="K228" s="1">
        <v>17</v>
      </c>
      <c r="L228" s="1">
        <v>3</v>
      </c>
      <c r="M228" s="1">
        <v>13</v>
      </c>
      <c r="N228" s="1">
        <v>3</v>
      </c>
      <c r="O228" s="1">
        <v>9</v>
      </c>
      <c r="P228" s="1">
        <f>COUNTIF(HR_Data[Employee Number],HR_Data[[#This Row],[Employee Number]])</f>
        <v>1</v>
      </c>
      <c r="Q228" s="1" t="str">
        <f>IF(HR_Data[[#This Row],[Years At Company]]&lt;=HR_Data[[#This Row],[Total Working Years]],"Valid","error")</f>
        <v>Valid</v>
      </c>
      <c r="R228" s="1" t="str" cm="1">
        <f t="array" ref="R228">_xlfn.IFS(HR_Data[[#This Row],[Age]]&lt;=30,"Young", HR_Data[[#This Row],[Age]]&lt;=45,"Mid-Age",HR_Data[[#This Row],[Age]]&gt;45,"Senior")</f>
        <v>Mid-Age</v>
      </c>
      <c r="S228" s="1" t="str" cm="1">
        <f t="array" ref="S228">_xlfn.IFS(HR_Data[[#This Row],[Monthly Income]]&lt;5000,"Low", HR_Data[[#This Row],[Monthly Income]]&lt;10000,"Medium",TRUE,"High")</f>
        <v>Low</v>
      </c>
      <c r="T228" s="1" t="str" cm="1">
        <f t="array" ref="T228">_xlfn.IFS(HR_Data[[#This Row],[Total Working Years]]&lt;=5,"Junior", HR_Data[[#This Row],[Total Working Years]]&lt;=15,"Mid-Level", TRUE, "Senior")</f>
        <v>Mid-Level</v>
      </c>
    </row>
    <row r="229" spans="1:20" x14ac:dyDescent="0.25">
      <c r="A229" s="1">
        <v>312</v>
      </c>
      <c r="B229" s="1">
        <v>29</v>
      </c>
      <c r="C229" t="s">
        <v>9</v>
      </c>
      <c r="D229" t="s">
        <v>5</v>
      </c>
      <c r="E229" t="s">
        <v>15</v>
      </c>
      <c r="F229" t="s">
        <v>7</v>
      </c>
      <c r="G229" t="s">
        <v>8</v>
      </c>
      <c r="H229" s="1">
        <v>4</v>
      </c>
      <c r="I229" s="1">
        <v>7918</v>
      </c>
      <c r="J229" t="s">
        <v>9</v>
      </c>
      <c r="K229" s="1">
        <v>14</v>
      </c>
      <c r="L229" s="1">
        <v>3</v>
      </c>
      <c r="M229" s="1">
        <v>11</v>
      </c>
      <c r="N229" s="1">
        <v>3</v>
      </c>
      <c r="O229" s="1">
        <v>11</v>
      </c>
      <c r="P229" s="1">
        <f>COUNTIF(HR_Data[Employee Number],HR_Data[[#This Row],[Employee Number]])</f>
        <v>1</v>
      </c>
      <c r="Q229" s="1" t="str">
        <f>IF(HR_Data[[#This Row],[Years At Company]]&lt;=HR_Data[[#This Row],[Total Working Years]],"Valid","error")</f>
        <v>Valid</v>
      </c>
      <c r="R229" s="1" t="str" cm="1">
        <f t="array" ref="R229">_xlfn.IFS(HR_Data[[#This Row],[Age]]&lt;=30,"Young", HR_Data[[#This Row],[Age]]&lt;=45,"Mid-Age",HR_Data[[#This Row],[Age]]&gt;45,"Senior")</f>
        <v>Young</v>
      </c>
      <c r="S229" s="1" t="str" cm="1">
        <f t="array" ref="S229">_xlfn.IFS(HR_Data[[#This Row],[Monthly Income]]&lt;5000,"Low", HR_Data[[#This Row],[Monthly Income]]&lt;10000,"Medium",TRUE,"High")</f>
        <v>Medium</v>
      </c>
      <c r="T229" s="1" t="str" cm="1">
        <f t="array" ref="T229">_xlfn.IFS(HR_Data[[#This Row],[Total Working Years]]&lt;=5,"Junior", HR_Data[[#This Row],[Total Working Years]]&lt;=15,"Mid-Level", TRUE, "Senior")</f>
        <v>Mid-Level</v>
      </c>
    </row>
    <row r="230" spans="1:20" x14ac:dyDescent="0.25">
      <c r="A230" s="1">
        <v>314</v>
      </c>
      <c r="B230" s="1">
        <v>35</v>
      </c>
      <c r="C230" t="s">
        <v>9</v>
      </c>
      <c r="D230" t="s">
        <v>5</v>
      </c>
      <c r="E230" t="s">
        <v>21</v>
      </c>
      <c r="F230" t="s">
        <v>7</v>
      </c>
      <c r="G230" t="s">
        <v>8</v>
      </c>
      <c r="H230" s="1">
        <v>3</v>
      </c>
      <c r="I230" s="1">
        <v>8789</v>
      </c>
      <c r="J230" t="s">
        <v>9</v>
      </c>
      <c r="K230" s="1">
        <v>14</v>
      </c>
      <c r="L230" s="1">
        <v>3</v>
      </c>
      <c r="M230" s="1">
        <v>10</v>
      </c>
      <c r="N230" s="1">
        <v>4</v>
      </c>
      <c r="O230" s="1">
        <v>10</v>
      </c>
      <c r="P230" s="1">
        <f>COUNTIF(HR_Data[Employee Number],HR_Data[[#This Row],[Employee Number]])</f>
        <v>1</v>
      </c>
      <c r="Q230" s="1" t="str">
        <f>IF(HR_Data[[#This Row],[Years At Company]]&lt;=HR_Data[[#This Row],[Total Working Years]],"Valid","error")</f>
        <v>Valid</v>
      </c>
      <c r="R230" s="1" t="str" cm="1">
        <f t="array" ref="R230">_xlfn.IFS(HR_Data[[#This Row],[Age]]&lt;=30,"Young", HR_Data[[#This Row],[Age]]&lt;=45,"Mid-Age",HR_Data[[#This Row],[Age]]&gt;45,"Senior")</f>
        <v>Mid-Age</v>
      </c>
      <c r="S230" s="1" t="str" cm="1">
        <f t="array" ref="S230">_xlfn.IFS(HR_Data[[#This Row],[Monthly Income]]&lt;5000,"Low", HR_Data[[#This Row],[Monthly Income]]&lt;10000,"Medium",TRUE,"High")</f>
        <v>Medium</v>
      </c>
      <c r="T230" s="1" t="str" cm="1">
        <f t="array" ref="T230">_xlfn.IFS(HR_Data[[#This Row],[Total Working Years]]&lt;=5,"Junior", HR_Data[[#This Row],[Total Working Years]]&lt;=15,"Mid-Level", TRUE, "Senior")</f>
        <v>Mid-Level</v>
      </c>
    </row>
    <row r="231" spans="1:20" x14ac:dyDescent="0.25">
      <c r="A231" s="1">
        <v>315</v>
      </c>
      <c r="B231" s="1">
        <v>29</v>
      </c>
      <c r="C231" t="s">
        <v>4</v>
      </c>
      <c r="D231" t="s">
        <v>10</v>
      </c>
      <c r="E231" t="s">
        <v>15</v>
      </c>
      <c r="F231" t="s">
        <v>11</v>
      </c>
      <c r="G231" t="s">
        <v>12</v>
      </c>
      <c r="H231" s="1">
        <v>4</v>
      </c>
      <c r="I231" s="1">
        <v>2389</v>
      </c>
      <c r="J231" t="s">
        <v>4</v>
      </c>
      <c r="K231" s="1">
        <v>13</v>
      </c>
      <c r="L231" s="1">
        <v>3</v>
      </c>
      <c r="M231" s="1">
        <v>4</v>
      </c>
      <c r="N231" s="1">
        <v>2</v>
      </c>
      <c r="O231" s="1">
        <v>4</v>
      </c>
      <c r="P231" s="1">
        <f>COUNTIF(HR_Data[Employee Number],HR_Data[[#This Row],[Employee Number]])</f>
        <v>1</v>
      </c>
      <c r="Q231" s="1" t="str">
        <f>IF(HR_Data[[#This Row],[Years At Company]]&lt;=HR_Data[[#This Row],[Total Working Years]],"Valid","error")</f>
        <v>Valid</v>
      </c>
      <c r="R231" s="1" t="str" cm="1">
        <f t="array" ref="R231">_xlfn.IFS(HR_Data[[#This Row],[Age]]&lt;=30,"Young", HR_Data[[#This Row],[Age]]&lt;=45,"Mid-Age",HR_Data[[#This Row],[Age]]&gt;45,"Senior")</f>
        <v>Young</v>
      </c>
      <c r="S231" s="1" t="str" cm="1">
        <f t="array" ref="S231">_xlfn.IFS(HR_Data[[#This Row],[Monthly Income]]&lt;5000,"Low", HR_Data[[#This Row],[Monthly Income]]&lt;10000,"Medium",TRUE,"High")</f>
        <v>Low</v>
      </c>
      <c r="T231" s="1" t="str" cm="1">
        <f t="array" ref="T231">_xlfn.IFS(HR_Data[[#This Row],[Total Working Years]]&lt;=5,"Junior", HR_Data[[#This Row],[Total Working Years]]&lt;=15,"Mid-Level", TRUE, "Senior")</f>
        <v>Junior</v>
      </c>
    </row>
    <row r="232" spans="1:20" x14ac:dyDescent="0.25">
      <c r="A232" s="1">
        <v>316</v>
      </c>
      <c r="B232" s="1">
        <v>52</v>
      </c>
      <c r="C232" t="s">
        <v>9</v>
      </c>
      <c r="D232" t="s">
        <v>10</v>
      </c>
      <c r="E232" t="s">
        <v>6</v>
      </c>
      <c r="F232" t="s">
        <v>7</v>
      </c>
      <c r="G232" t="s">
        <v>14</v>
      </c>
      <c r="H232" s="1">
        <v>4</v>
      </c>
      <c r="I232" s="1">
        <v>3212</v>
      </c>
      <c r="J232" t="s">
        <v>9</v>
      </c>
      <c r="K232" s="1">
        <v>15</v>
      </c>
      <c r="L232" s="1">
        <v>3</v>
      </c>
      <c r="M232" s="1">
        <v>6</v>
      </c>
      <c r="N232" s="1">
        <v>2</v>
      </c>
      <c r="O232" s="1">
        <v>2</v>
      </c>
      <c r="P232" s="1">
        <f>COUNTIF(HR_Data[Employee Number],HR_Data[[#This Row],[Employee Number]])</f>
        <v>1</v>
      </c>
      <c r="Q232" s="1" t="str">
        <f>IF(HR_Data[[#This Row],[Years At Company]]&lt;=HR_Data[[#This Row],[Total Working Years]],"Valid","error")</f>
        <v>Valid</v>
      </c>
      <c r="R232" s="1" t="str" cm="1">
        <f t="array" ref="R232">_xlfn.IFS(HR_Data[[#This Row],[Age]]&lt;=30,"Young", HR_Data[[#This Row],[Age]]&lt;=45,"Mid-Age",HR_Data[[#This Row],[Age]]&gt;45,"Senior")</f>
        <v>Senior</v>
      </c>
      <c r="S232" s="1" t="str" cm="1">
        <f t="array" ref="S232">_xlfn.IFS(HR_Data[[#This Row],[Monthly Income]]&lt;5000,"Low", HR_Data[[#This Row],[Monthly Income]]&lt;10000,"Medium",TRUE,"High")</f>
        <v>Low</v>
      </c>
      <c r="T232" s="1" t="str" cm="1">
        <f t="array" ref="T232">_xlfn.IFS(HR_Data[[#This Row],[Total Working Years]]&lt;=5,"Junior", HR_Data[[#This Row],[Total Working Years]]&lt;=15,"Mid-Level", TRUE, "Senior")</f>
        <v>Mid-Level</v>
      </c>
    </row>
    <row r="233" spans="1:20" x14ac:dyDescent="0.25">
      <c r="A233" s="1">
        <v>319</v>
      </c>
      <c r="B233" s="1">
        <v>42</v>
      </c>
      <c r="C233" t="s">
        <v>9</v>
      </c>
      <c r="D233" t="s">
        <v>10</v>
      </c>
      <c r="E233" t="s">
        <v>22</v>
      </c>
      <c r="F233" t="s">
        <v>11</v>
      </c>
      <c r="G233" t="s">
        <v>18</v>
      </c>
      <c r="H233" s="1">
        <v>4</v>
      </c>
      <c r="I233" s="1">
        <v>19232</v>
      </c>
      <c r="J233" t="s">
        <v>9</v>
      </c>
      <c r="K233" s="1">
        <v>11</v>
      </c>
      <c r="L233" s="1">
        <v>3</v>
      </c>
      <c r="M233" s="1">
        <v>22</v>
      </c>
      <c r="N233" s="1">
        <v>3</v>
      </c>
      <c r="O233" s="1">
        <v>22</v>
      </c>
      <c r="P233" s="1">
        <f>COUNTIF(HR_Data[Employee Number],HR_Data[[#This Row],[Employee Number]])</f>
        <v>1</v>
      </c>
      <c r="Q233" s="1" t="str">
        <f>IF(HR_Data[[#This Row],[Years At Company]]&lt;=HR_Data[[#This Row],[Total Working Years]],"Valid","error")</f>
        <v>Valid</v>
      </c>
      <c r="R233" s="1" t="str" cm="1">
        <f t="array" ref="R233">_xlfn.IFS(HR_Data[[#This Row],[Age]]&lt;=30,"Young", HR_Data[[#This Row],[Age]]&lt;=45,"Mid-Age",HR_Data[[#This Row],[Age]]&gt;45,"Senior")</f>
        <v>Mid-Age</v>
      </c>
      <c r="S233" s="1" t="str" cm="1">
        <f t="array" ref="S233">_xlfn.IFS(HR_Data[[#This Row],[Monthly Income]]&lt;5000,"Low", HR_Data[[#This Row],[Monthly Income]]&lt;10000,"Medium",TRUE,"High")</f>
        <v>High</v>
      </c>
      <c r="T233" s="1" t="str" cm="1">
        <f t="array" ref="T233">_xlfn.IFS(HR_Data[[#This Row],[Total Working Years]]&lt;=5,"Junior", HR_Data[[#This Row],[Total Working Years]]&lt;=15,"Mid-Level", TRUE, "Senior")</f>
        <v>Senior</v>
      </c>
    </row>
    <row r="234" spans="1:20" x14ac:dyDescent="0.25">
      <c r="A234" s="1">
        <v>321</v>
      </c>
      <c r="B234" s="1">
        <v>59</v>
      </c>
      <c r="C234" t="s">
        <v>9</v>
      </c>
      <c r="D234" t="s">
        <v>23</v>
      </c>
      <c r="E234" t="s">
        <v>15</v>
      </c>
      <c r="F234" t="s">
        <v>11</v>
      </c>
      <c r="G234" t="s">
        <v>23</v>
      </c>
      <c r="H234" s="1">
        <v>3</v>
      </c>
      <c r="I234" s="1">
        <v>2267</v>
      </c>
      <c r="J234" t="s">
        <v>9</v>
      </c>
      <c r="K234" s="1">
        <v>17</v>
      </c>
      <c r="L234" s="1">
        <v>3</v>
      </c>
      <c r="M234" s="1">
        <v>7</v>
      </c>
      <c r="N234" s="1">
        <v>2</v>
      </c>
      <c r="O234" s="1">
        <v>2</v>
      </c>
      <c r="P234" s="1">
        <f>COUNTIF(HR_Data[Employee Number],HR_Data[[#This Row],[Employee Number]])</f>
        <v>1</v>
      </c>
      <c r="Q234" s="1" t="str">
        <f>IF(HR_Data[[#This Row],[Years At Company]]&lt;=HR_Data[[#This Row],[Total Working Years]],"Valid","error")</f>
        <v>Valid</v>
      </c>
      <c r="R234" s="1" t="str" cm="1">
        <f t="array" ref="R234">_xlfn.IFS(HR_Data[[#This Row],[Age]]&lt;=30,"Young", HR_Data[[#This Row],[Age]]&lt;=45,"Mid-Age",HR_Data[[#This Row],[Age]]&gt;45,"Senior")</f>
        <v>Senior</v>
      </c>
      <c r="S234" s="1" t="str" cm="1">
        <f t="array" ref="S234">_xlfn.IFS(HR_Data[[#This Row],[Monthly Income]]&lt;5000,"Low", HR_Data[[#This Row],[Monthly Income]]&lt;10000,"Medium",TRUE,"High")</f>
        <v>Low</v>
      </c>
      <c r="T234" s="1" t="str" cm="1">
        <f t="array" ref="T234">_xlfn.IFS(HR_Data[[#This Row],[Total Working Years]]&lt;=5,"Junior", HR_Data[[#This Row],[Total Working Years]]&lt;=15,"Mid-Level", TRUE, "Senior")</f>
        <v>Mid-Level</v>
      </c>
    </row>
    <row r="235" spans="1:20" x14ac:dyDescent="0.25">
      <c r="A235" s="1">
        <v>323</v>
      </c>
      <c r="B235" s="1">
        <v>50</v>
      </c>
      <c r="C235" t="s">
        <v>9</v>
      </c>
      <c r="D235" t="s">
        <v>5</v>
      </c>
      <c r="E235" t="s">
        <v>15</v>
      </c>
      <c r="F235" t="s">
        <v>7</v>
      </c>
      <c r="G235" t="s">
        <v>18</v>
      </c>
      <c r="H235" s="1">
        <v>4</v>
      </c>
      <c r="I235" s="1">
        <v>19517</v>
      </c>
      <c r="J235" t="s">
        <v>9</v>
      </c>
      <c r="K235" s="1">
        <v>11</v>
      </c>
      <c r="L235" s="1">
        <v>3</v>
      </c>
      <c r="M235" s="1">
        <v>32</v>
      </c>
      <c r="N235" s="1">
        <v>2</v>
      </c>
      <c r="O235" s="1">
        <v>7</v>
      </c>
      <c r="P235" s="1">
        <f>COUNTIF(HR_Data[Employee Number],HR_Data[[#This Row],[Employee Number]])</f>
        <v>1</v>
      </c>
      <c r="Q235" s="1" t="str">
        <f>IF(HR_Data[[#This Row],[Years At Company]]&lt;=HR_Data[[#This Row],[Total Working Years]],"Valid","error")</f>
        <v>Valid</v>
      </c>
      <c r="R235" s="1" t="str" cm="1">
        <f t="array" ref="R235">_xlfn.IFS(HR_Data[[#This Row],[Age]]&lt;=30,"Young", HR_Data[[#This Row],[Age]]&lt;=45,"Mid-Age",HR_Data[[#This Row],[Age]]&gt;45,"Senior")</f>
        <v>Senior</v>
      </c>
      <c r="S235" s="1" t="str" cm="1">
        <f t="array" ref="S235">_xlfn.IFS(HR_Data[[#This Row],[Monthly Income]]&lt;5000,"Low", HR_Data[[#This Row],[Monthly Income]]&lt;10000,"Medium",TRUE,"High")</f>
        <v>High</v>
      </c>
      <c r="T235" s="1" t="str" cm="1">
        <f t="array" ref="T235">_xlfn.IFS(HR_Data[[#This Row],[Total Working Years]]&lt;=5,"Junior", HR_Data[[#This Row],[Total Working Years]]&lt;=15,"Mid-Level", TRUE, "Senior")</f>
        <v>Senior</v>
      </c>
    </row>
    <row r="236" spans="1:20" x14ac:dyDescent="0.25">
      <c r="A236" s="1">
        <v>325</v>
      </c>
      <c r="B236" s="1">
        <v>33</v>
      </c>
      <c r="C236" t="s">
        <v>4</v>
      </c>
      <c r="D236" t="s">
        <v>10</v>
      </c>
      <c r="E236" t="s">
        <v>15</v>
      </c>
      <c r="F236" t="s">
        <v>11</v>
      </c>
      <c r="G236" t="s">
        <v>14</v>
      </c>
      <c r="H236" s="1">
        <v>4</v>
      </c>
      <c r="I236" s="1">
        <v>2436</v>
      </c>
      <c r="J236" t="s">
        <v>4</v>
      </c>
      <c r="K236" s="1">
        <v>13</v>
      </c>
      <c r="L236" s="1">
        <v>3</v>
      </c>
      <c r="M236" s="1">
        <v>8</v>
      </c>
      <c r="N236" s="1">
        <v>1</v>
      </c>
      <c r="O236" s="1">
        <v>5</v>
      </c>
      <c r="P236" s="1">
        <f>COUNTIF(HR_Data[Employee Number],HR_Data[[#This Row],[Employee Number]])</f>
        <v>1</v>
      </c>
      <c r="Q236" s="1" t="str">
        <f>IF(HR_Data[[#This Row],[Years At Company]]&lt;=HR_Data[[#This Row],[Total Working Years]],"Valid","error")</f>
        <v>Valid</v>
      </c>
      <c r="R236" s="1" t="str" cm="1">
        <f t="array" ref="R236">_xlfn.IFS(HR_Data[[#This Row],[Age]]&lt;=30,"Young", HR_Data[[#This Row],[Age]]&lt;=45,"Mid-Age",HR_Data[[#This Row],[Age]]&gt;45,"Senior")</f>
        <v>Mid-Age</v>
      </c>
      <c r="S236" s="1" t="str" cm="1">
        <f t="array" ref="S236">_xlfn.IFS(HR_Data[[#This Row],[Monthly Income]]&lt;5000,"Low", HR_Data[[#This Row],[Monthly Income]]&lt;10000,"Medium",TRUE,"High")</f>
        <v>Low</v>
      </c>
      <c r="T236" s="1" t="str" cm="1">
        <f t="array" ref="T236">_xlfn.IFS(HR_Data[[#This Row],[Total Working Years]]&lt;=5,"Junior", HR_Data[[#This Row],[Total Working Years]]&lt;=15,"Mid-Level", TRUE, "Senior")</f>
        <v>Mid-Level</v>
      </c>
    </row>
    <row r="237" spans="1:20" x14ac:dyDescent="0.25">
      <c r="A237" s="1">
        <v>327</v>
      </c>
      <c r="B237" s="1">
        <v>43</v>
      </c>
      <c r="C237" t="s">
        <v>9</v>
      </c>
      <c r="D237" t="s">
        <v>5</v>
      </c>
      <c r="E237" t="s">
        <v>21</v>
      </c>
      <c r="F237" t="s">
        <v>7</v>
      </c>
      <c r="G237" t="s">
        <v>18</v>
      </c>
      <c r="H237" s="1">
        <v>4</v>
      </c>
      <c r="I237" s="1">
        <v>16064</v>
      </c>
      <c r="J237" t="s">
        <v>4</v>
      </c>
      <c r="K237" s="1">
        <v>22</v>
      </c>
      <c r="L237" s="1">
        <v>4</v>
      </c>
      <c r="M237" s="1">
        <v>22</v>
      </c>
      <c r="N237" s="1">
        <v>3</v>
      </c>
      <c r="O237" s="1">
        <v>17</v>
      </c>
      <c r="P237" s="1">
        <f>COUNTIF(HR_Data[Employee Number],HR_Data[[#This Row],[Employee Number]])</f>
        <v>1</v>
      </c>
      <c r="Q237" s="1" t="str">
        <f>IF(HR_Data[[#This Row],[Years At Company]]&lt;=HR_Data[[#This Row],[Total Working Years]],"Valid","error")</f>
        <v>Valid</v>
      </c>
      <c r="R237" s="1" t="str" cm="1">
        <f t="array" ref="R237">_xlfn.IFS(HR_Data[[#This Row],[Age]]&lt;=30,"Young", HR_Data[[#This Row],[Age]]&lt;=45,"Mid-Age",HR_Data[[#This Row],[Age]]&gt;45,"Senior")</f>
        <v>Mid-Age</v>
      </c>
      <c r="S237" s="1" t="str" cm="1">
        <f t="array" ref="S237">_xlfn.IFS(HR_Data[[#This Row],[Monthly Income]]&lt;5000,"Low", HR_Data[[#This Row],[Monthly Income]]&lt;10000,"Medium",TRUE,"High")</f>
        <v>High</v>
      </c>
      <c r="T237" s="1" t="str" cm="1">
        <f t="array" ref="T237">_xlfn.IFS(HR_Data[[#This Row],[Total Working Years]]&lt;=5,"Junior", HR_Data[[#This Row],[Total Working Years]]&lt;=15,"Mid-Level", TRUE, "Senior")</f>
        <v>Senior</v>
      </c>
    </row>
    <row r="238" spans="1:20" x14ac:dyDescent="0.25">
      <c r="A238" s="1">
        <v>328</v>
      </c>
      <c r="B238" s="1">
        <v>33</v>
      </c>
      <c r="C238" t="s">
        <v>4</v>
      </c>
      <c r="D238" t="s">
        <v>10</v>
      </c>
      <c r="E238" t="s">
        <v>6</v>
      </c>
      <c r="F238" t="s">
        <v>7</v>
      </c>
      <c r="G238" t="s">
        <v>14</v>
      </c>
      <c r="H238" s="1">
        <v>1</v>
      </c>
      <c r="I238" s="1">
        <v>2707</v>
      </c>
      <c r="J238" t="s">
        <v>9</v>
      </c>
      <c r="K238" s="1">
        <v>20</v>
      </c>
      <c r="L238" s="1">
        <v>4</v>
      </c>
      <c r="M238" s="1">
        <v>13</v>
      </c>
      <c r="N238" s="1">
        <v>4</v>
      </c>
      <c r="O238" s="1">
        <v>9</v>
      </c>
      <c r="P238" s="1">
        <f>COUNTIF(HR_Data[Employee Number],HR_Data[[#This Row],[Employee Number]])</f>
        <v>1</v>
      </c>
      <c r="Q238" s="1" t="str">
        <f>IF(HR_Data[[#This Row],[Years At Company]]&lt;=HR_Data[[#This Row],[Total Working Years]],"Valid","error")</f>
        <v>Valid</v>
      </c>
      <c r="R238" s="1" t="str" cm="1">
        <f t="array" ref="R238">_xlfn.IFS(HR_Data[[#This Row],[Age]]&lt;=30,"Young", HR_Data[[#This Row],[Age]]&lt;=45,"Mid-Age",HR_Data[[#This Row],[Age]]&gt;45,"Senior")</f>
        <v>Mid-Age</v>
      </c>
      <c r="S238" s="1" t="str" cm="1">
        <f t="array" ref="S238">_xlfn.IFS(HR_Data[[#This Row],[Monthly Income]]&lt;5000,"Low", HR_Data[[#This Row],[Monthly Income]]&lt;10000,"Medium",TRUE,"High")</f>
        <v>Low</v>
      </c>
      <c r="T238" s="1" t="str" cm="1">
        <f t="array" ref="T238">_xlfn.IFS(HR_Data[[#This Row],[Total Working Years]]&lt;=5,"Junior", HR_Data[[#This Row],[Total Working Years]]&lt;=15,"Mid-Level", TRUE, "Senior")</f>
        <v>Mid-Level</v>
      </c>
    </row>
    <row r="239" spans="1:20" x14ac:dyDescent="0.25">
      <c r="A239" s="1">
        <v>329</v>
      </c>
      <c r="B239" s="1">
        <v>52</v>
      </c>
      <c r="C239" t="s">
        <v>9</v>
      </c>
      <c r="D239" t="s">
        <v>5</v>
      </c>
      <c r="E239" t="s">
        <v>6</v>
      </c>
      <c r="F239" t="s">
        <v>11</v>
      </c>
      <c r="G239" t="s">
        <v>18</v>
      </c>
      <c r="H239" s="1">
        <v>3</v>
      </c>
      <c r="I239" s="1">
        <v>19068</v>
      </c>
      <c r="J239" t="s">
        <v>4</v>
      </c>
      <c r="K239" s="1">
        <v>18</v>
      </c>
      <c r="L239" s="1">
        <v>3</v>
      </c>
      <c r="M239" s="1">
        <v>33</v>
      </c>
      <c r="N239" s="1">
        <v>4</v>
      </c>
      <c r="O239" s="1">
        <v>33</v>
      </c>
      <c r="P239" s="1">
        <f>COUNTIF(HR_Data[Employee Number],HR_Data[[#This Row],[Employee Number]])</f>
        <v>1</v>
      </c>
      <c r="Q239" s="1" t="str">
        <f>IF(HR_Data[[#This Row],[Years At Company]]&lt;=HR_Data[[#This Row],[Total Working Years]],"Valid","error")</f>
        <v>Valid</v>
      </c>
      <c r="R239" s="1" t="str" cm="1">
        <f t="array" ref="R239">_xlfn.IFS(HR_Data[[#This Row],[Age]]&lt;=30,"Young", HR_Data[[#This Row],[Age]]&lt;=45,"Mid-Age",HR_Data[[#This Row],[Age]]&gt;45,"Senior")</f>
        <v>Senior</v>
      </c>
      <c r="S239" s="1" t="str" cm="1">
        <f t="array" ref="S239">_xlfn.IFS(HR_Data[[#This Row],[Monthly Income]]&lt;5000,"Low", HR_Data[[#This Row],[Monthly Income]]&lt;10000,"Medium",TRUE,"High")</f>
        <v>High</v>
      </c>
      <c r="T239" s="1" t="str" cm="1">
        <f t="array" ref="T239">_xlfn.IFS(HR_Data[[#This Row],[Total Working Years]]&lt;=5,"Junior", HR_Data[[#This Row],[Total Working Years]]&lt;=15,"Mid-Level", TRUE, "Senior")</f>
        <v>Senior</v>
      </c>
    </row>
    <row r="240" spans="1:20" x14ac:dyDescent="0.25">
      <c r="A240" s="1">
        <v>330</v>
      </c>
      <c r="B240" s="1">
        <v>32</v>
      </c>
      <c r="C240" t="s">
        <v>9</v>
      </c>
      <c r="D240" t="s">
        <v>5</v>
      </c>
      <c r="E240" t="s">
        <v>6</v>
      </c>
      <c r="F240" t="s">
        <v>7</v>
      </c>
      <c r="G240" t="s">
        <v>19</v>
      </c>
      <c r="H240" s="1">
        <v>2</v>
      </c>
      <c r="I240" s="1">
        <v>3931</v>
      </c>
      <c r="J240" t="s">
        <v>9</v>
      </c>
      <c r="K240" s="1">
        <v>11</v>
      </c>
      <c r="L240" s="1">
        <v>3</v>
      </c>
      <c r="M240" s="1">
        <v>6</v>
      </c>
      <c r="N240" s="1">
        <v>3</v>
      </c>
      <c r="O240" s="1">
        <v>4</v>
      </c>
      <c r="P240" s="1">
        <f>COUNTIF(HR_Data[Employee Number],HR_Data[[#This Row],[Employee Number]])</f>
        <v>1</v>
      </c>
      <c r="Q240" s="1" t="str">
        <f>IF(HR_Data[[#This Row],[Years At Company]]&lt;=HR_Data[[#This Row],[Total Working Years]],"Valid","error")</f>
        <v>Valid</v>
      </c>
      <c r="R240" s="1" t="str" cm="1">
        <f t="array" ref="R240">_xlfn.IFS(HR_Data[[#This Row],[Age]]&lt;=30,"Young", HR_Data[[#This Row],[Age]]&lt;=45,"Mid-Age",HR_Data[[#This Row],[Age]]&gt;45,"Senior")</f>
        <v>Mid-Age</v>
      </c>
      <c r="S240" s="1" t="str" cm="1">
        <f t="array" ref="S240">_xlfn.IFS(HR_Data[[#This Row],[Monthly Income]]&lt;5000,"Low", HR_Data[[#This Row],[Monthly Income]]&lt;10000,"Medium",TRUE,"High")</f>
        <v>Low</v>
      </c>
      <c r="T240" s="1" t="str" cm="1">
        <f t="array" ref="T240">_xlfn.IFS(HR_Data[[#This Row],[Total Working Years]]&lt;=5,"Junior", HR_Data[[#This Row],[Total Working Years]]&lt;=15,"Mid-Level", TRUE, "Senior")</f>
        <v>Mid-Level</v>
      </c>
    </row>
    <row r="241" spans="1:20" x14ac:dyDescent="0.25">
      <c r="A241" s="1">
        <v>331</v>
      </c>
      <c r="B241" s="1">
        <v>32</v>
      </c>
      <c r="C241" t="s">
        <v>4</v>
      </c>
      <c r="D241" t="s">
        <v>10</v>
      </c>
      <c r="E241" t="s">
        <v>6</v>
      </c>
      <c r="F241" t="s">
        <v>11</v>
      </c>
      <c r="G241" t="s">
        <v>14</v>
      </c>
      <c r="H241" s="1">
        <v>3</v>
      </c>
      <c r="I241" s="1">
        <v>3730</v>
      </c>
      <c r="J241" t="s">
        <v>4</v>
      </c>
      <c r="K241" s="1">
        <v>14</v>
      </c>
      <c r="L241" s="1">
        <v>3</v>
      </c>
      <c r="M241" s="1">
        <v>4</v>
      </c>
      <c r="N241" s="1">
        <v>1</v>
      </c>
      <c r="O241" s="1">
        <v>3</v>
      </c>
      <c r="P241" s="1">
        <f>COUNTIF(HR_Data[Employee Number],HR_Data[[#This Row],[Employee Number]])</f>
        <v>1</v>
      </c>
      <c r="Q241" s="1" t="str">
        <f>IF(HR_Data[[#This Row],[Years At Company]]&lt;=HR_Data[[#This Row],[Total Working Years]],"Valid","error")</f>
        <v>Valid</v>
      </c>
      <c r="R241" s="1" t="str" cm="1">
        <f t="array" ref="R241">_xlfn.IFS(HR_Data[[#This Row],[Age]]&lt;=30,"Young", HR_Data[[#This Row],[Age]]&lt;=45,"Mid-Age",HR_Data[[#This Row],[Age]]&gt;45,"Senior")</f>
        <v>Mid-Age</v>
      </c>
      <c r="S241" s="1" t="str" cm="1">
        <f t="array" ref="S241">_xlfn.IFS(HR_Data[[#This Row],[Monthly Income]]&lt;5000,"Low", HR_Data[[#This Row],[Monthly Income]]&lt;10000,"Medium",TRUE,"High")</f>
        <v>Low</v>
      </c>
      <c r="T241" s="1" t="str" cm="1">
        <f t="array" ref="T241">_xlfn.IFS(HR_Data[[#This Row],[Total Working Years]]&lt;=5,"Junior", HR_Data[[#This Row],[Total Working Years]]&lt;=15,"Mid-Level", TRUE, "Senior")</f>
        <v>Junior</v>
      </c>
    </row>
    <row r="242" spans="1:20" x14ac:dyDescent="0.25">
      <c r="A242" s="1">
        <v>332</v>
      </c>
      <c r="B242" s="1">
        <v>39</v>
      </c>
      <c r="C242" t="s">
        <v>9</v>
      </c>
      <c r="D242" t="s">
        <v>10</v>
      </c>
      <c r="E242" t="s">
        <v>15</v>
      </c>
      <c r="F242" t="s">
        <v>7</v>
      </c>
      <c r="G242" t="s">
        <v>14</v>
      </c>
      <c r="H242" s="1">
        <v>3</v>
      </c>
      <c r="I242" s="1">
        <v>2232</v>
      </c>
      <c r="J242" t="s">
        <v>9</v>
      </c>
      <c r="K242" s="1">
        <v>14</v>
      </c>
      <c r="L242" s="1">
        <v>3</v>
      </c>
      <c r="M242" s="1">
        <v>7</v>
      </c>
      <c r="N242" s="1">
        <v>3</v>
      </c>
      <c r="O242" s="1">
        <v>3</v>
      </c>
      <c r="P242" s="1">
        <f>COUNTIF(HR_Data[Employee Number],HR_Data[[#This Row],[Employee Number]])</f>
        <v>1</v>
      </c>
      <c r="Q242" s="1" t="str">
        <f>IF(HR_Data[[#This Row],[Years At Company]]&lt;=HR_Data[[#This Row],[Total Working Years]],"Valid","error")</f>
        <v>Valid</v>
      </c>
      <c r="R242" s="1" t="str" cm="1">
        <f t="array" ref="R242">_xlfn.IFS(HR_Data[[#This Row],[Age]]&lt;=30,"Young", HR_Data[[#This Row],[Age]]&lt;=45,"Mid-Age",HR_Data[[#This Row],[Age]]&gt;45,"Senior")</f>
        <v>Mid-Age</v>
      </c>
      <c r="S242" s="1" t="str" cm="1">
        <f t="array" ref="S242">_xlfn.IFS(HR_Data[[#This Row],[Monthly Income]]&lt;5000,"Low", HR_Data[[#This Row],[Monthly Income]]&lt;10000,"Medium",TRUE,"High")</f>
        <v>Low</v>
      </c>
      <c r="T242" s="1" t="str" cm="1">
        <f t="array" ref="T242">_xlfn.IFS(HR_Data[[#This Row],[Total Working Years]]&lt;=5,"Junior", HR_Data[[#This Row],[Total Working Years]]&lt;=15,"Mid-Level", TRUE, "Senior")</f>
        <v>Mid-Level</v>
      </c>
    </row>
    <row r="243" spans="1:20" x14ac:dyDescent="0.25">
      <c r="A243" s="1">
        <v>333</v>
      </c>
      <c r="B243" s="1">
        <v>32</v>
      </c>
      <c r="C243" t="s">
        <v>9</v>
      </c>
      <c r="D243" t="s">
        <v>5</v>
      </c>
      <c r="E243" t="s">
        <v>21</v>
      </c>
      <c r="F243" t="s">
        <v>11</v>
      </c>
      <c r="G243" t="s">
        <v>8</v>
      </c>
      <c r="H243" s="1">
        <v>4</v>
      </c>
      <c r="I243" s="1">
        <v>4465</v>
      </c>
      <c r="J243" t="s">
        <v>9</v>
      </c>
      <c r="K243" s="1">
        <v>18</v>
      </c>
      <c r="L243" s="1">
        <v>3</v>
      </c>
      <c r="M243" s="1">
        <v>4</v>
      </c>
      <c r="N243" s="1">
        <v>3</v>
      </c>
      <c r="O243" s="1">
        <v>3</v>
      </c>
      <c r="P243" s="1">
        <f>COUNTIF(HR_Data[Employee Number],HR_Data[[#This Row],[Employee Number]])</f>
        <v>1</v>
      </c>
      <c r="Q243" s="1" t="str">
        <f>IF(HR_Data[[#This Row],[Years At Company]]&lt;=HR_Data[[#This Row],[Total Working Years]],"Valid","error")</f>
        <v>Valid</v>
      </c>
      <c r="R243" s="1" t="str" cm="1">
        <f t="array" ref="R243">_xlfn.IFS(HR_Data[[#This Row],[Age]]&lt;=30,"Young", HR_Data[[#This Row],[Age]]&lt;=45,"Mid-Age",HR_Data[[#This Row],[Age]]&gt;45,"Senior")</f>
        <v>Mid-Age</v>
      </c>
      <c r="S243" s="1" t="str" cm="1">
        <f t="array" ref="S243">_xlfn.IFS(HR_Data[[#This Row],[Monthly Income]]&lt;5000,"Low", HR_Data[[#This Row],[Monthly Income]]&lt;10000,"Medium",TRUE,"High")</f>
        <v>Low</v>
      </c>
      <c r="T243" s="1" t="str" cm="1">
        <f t="array" ref="T243">_xlfn.IFS(HR_Data[[#This Row],[Total Working Years]]&lt;=5,"Junior", HR_Data[[#This Row],[Total Working Years]]&lt;=15,"Mid-Level", TRUE, "Senior")</f>
        <v>Junior</v>
      </c>
    </row>
    <row r="244" spans="1:20" x14ac:dyDescent="0.25">
      <c r="A244" s="1">
        <v>334</v>
      </c>
      <c r="B244" s="1">
        <v>41</v>
      </c>
      <c r="C244" t="s">
        <v>9</v>
      </c>
      <c r="D244" t="s">
        <v>10</v>
      </c>
      <c r="E244" t="s">
        <v>6</v>
      </c>
      <c r="F244" t="s">
        <v>11</v>
      </c>
      <c r="G244" t="s">
        <v>12</v>
      </c>
      <c r="H244" s="1">
        <v>1</v>
      </c>
      <c r="I244" s="1">
        <v>3072</v>
      </c>
      <c r="J244" t="s">
        <v>9</v>
      </c>
      <c r="K244" s="1">
        <v>16</v>
      </c>
      <c r="L244" s="1">
        <v>3</v>
      </c>
      <c r="M244" s="1">
        <v>17</v>
      </c>
      <c r="N244" s="1">
        <v>2</v>
      </c>
      <c r="O244" s="1">
        <v>1</v>
      </c>
      <c r="P244" s="1">
        <f>COUNTIF(HR_Data[Employee Number],HR_Data[[#This Row],[Employee Number]])</f>
        <v>1</v>
      </c>
      <c r="Q244" s="1" t="str">
        <f>IF(HR_Data[[#This Row],[Years At Company]]&lt;=HR_Data[[#This Row],[Total Working Years]],"Valid","error")</f>
        <v>Valid</v>
      </c>
      <c r="R244" s="1" t="str" cm="1">
        <f t="array" ref="R244">_xlfn.IFS(HR_Data[[#This Row],[Age]]&lt;=30,"Young", HR_Data[[#This Row],[Age]]&lt;=45,"Mid-Age",HR_Data[[#This Row],[Age]]&gt;45,"Senior")</f>
        <v>Mid-Age</v>
      </c>
      <c r="S244" s="1" t="str" cm="1">
        <f t="array" ref="S244">_xlfn.IFS(HR_Data[[#This Row],[Monthly Income]]&lt;5000,"Low", HR_Data[[#This Row],[Monthly Income]]&lt;10000,"Medium",TRUE,"High")</f>
        <v>Low</v>
      </c>
      <c r="T244" s="1" t="str" cm="1">
        <f t="array" ref="T244">_xlfn.IFS(HR_Data[[#This Row],[Total Working Years]]&lt;=5,"Junior", HR_Data[[#This Row],[Total Working Years]]&lt;=15,"Mid-Level", TRUE, "Senior")</f>
        <v>Senior</v>
      </c>
    </row>
    <row r="245" spans="1:20" x14ac:dyDescent="0.25">
      <c r="A245" s="1">
        <v>335</v>
      </c>
      <c r="B245" s="1">
        <v>40</v>
      </c>
      <c r="C245" t="s">
        <v>9</v>
      </c>
      <c r="D245" t="s">
        <v>10</v>
      </c>
      <c r="E245" t="s">
        <v>22</v>
      </c>
      <c r="F245" t="s">
        <v>11</v>
      </c>
      <c r="G245" t="s">
        <v>12</v>
      </c>
      <c r="H245" s="1">
        <v>4</v>
      </c>
      <c r="I245" s="1">
        <v>3319</v>
      </c>
      <c r="J245" t="s">
        <v>9</v>
      </c>
      <c r="K245" s="1">
        <v>17</v>
      </c>
      <c r="L245" s="1">
        <v>3</v>
      </c>
      <c r="M245" s="1">
        <v>9</v>
      </c>
      <c r="N245" s="1">
        <v>3</v>
      </c>
      <c r="O245" s="1">
        <v>9</v>
      </c>
      <c r="P245" s="1">
        <f>COUNTIF(HR_Data[Employee Number],HR_Data[[#This Row],[Employee Number]])</f>
        <v>1</v>
      </c>
      <c r="Q245" s="1" t="str">
        <f>IF(HR_Data[[#This Row],[Years At Company]]&lt;=HR_Data[[#This Row],[Total Working Years]],"Valid","error")</f>
        <v>Valid</v>
      </c>
      <c r="R245" s="1" t="str" cm="1">
        <f t="array" ref="R245">_xlfn.IFS(HR_Data[[#This Row],[Age]]&lt;=30,"Young", HR_Data[[#This Row],[Age]]&lt;=45,"Mid-Age",HR_Data[[#This Row],[Age]]&gt;45,"Senior")</f>
        <v>Mid-Age</v>
      </c>
      <c r="S245" s="1" t="str" cm="1">
        <f t="array" ref="S245">_xlfn.IFS(HR_Data[[#This Row],[Monthly Income]]&lt;5000,"Low", HR_Data[[#This Row],[Monthly Income]]&lt;10000,"Medium",TRUE,"High")</f>
        <v>Low</v>
      </c>
      <c r="T245" s="1" t="str" cm="1">
        <f t="array" ref="T245">_xlfn.IFS(HR_Data[[#This Row],[Total Working Years]]&lt;=5,"Junior", HR_Data[[#This Row],[Total Working Years]]&lt;=15,"Mid-Level", TRUE, "Senior")</f>
        <v>Mid-Level</v>
      </c>
    </row>
    <row r="246" spans="1:20" x14ac:dyDescent="0.25">
      <c r="A246" s="1">
        <v>336</v>
      </c>
      <c r="B246" s="1">
        <v>45</v>
      </c>
      <c r="C246" t="s">
        <v>9</v>
      </c>
      <c r="D246" t="s">
        <v>10</v>
      </c>
      <c r="E246" t="s">
        <v>13</v>
      </c>
      <c r="F246" t="s">
        <v>11</v>
      </c>
      <c r="G246" t="s">
        <v>18</v>
      </c>
      <c r="H246" s="1">
        <v>4</v>
      </c>
      <c r="I246" s="1">
        <v>19202</v>
      </c>
      <c r="J246" t="s">
        <v>9</v>
      </c>
      <c r="K246" s="1">
        <v>11</v>
      </c>
      <c r="L246" s="1">
        <v>3</v>
      </c>
      <c r="M246" s="1">
        <v>25</v>
      </c>
      <c r="N246" s="1">
        <v>3</v>
      </c>
      <c r="O246" s="1">
        <v>24</v>
      </c>
      <c r="P246" s="1">
        <f>COUNTIF(HR_Data[Employee Number],HR_Data[[#This Row],[Employee Number]])</f>
        <v>1</v>
      </c>
      <c r="Q246" s="1" t="str">
        <f>IF(HR_Data[[#This Row],[Years At Company]]&lt;=HR_Data[[#This Row],[Total Working Years]],"Valid","error")</f>
        <v>Valid</v>
      </c>
      <c r="R246" s="1" t="str" cm="1">
        <f t="array" ref="R246">_xlfn.IFS(HR_Data[[#This Row],[Age]]&lt;=30,"Young", HR_Data[[#This Row],[Age]]&lt;=45,"Mid-Age",HR_Data[[#This Row],[Age]]&gt;45,"Senior")</f>
        <v>Mid-Age</v>
      </c>
      <c r="S246" s="1" t="str" cm="1">
        <f t="array" ref="S246">_xlfn.IFS(HR_Data[[#This Row],[Monthly Income]]&lt;5000,"Low", HR_Data[[#This Row],[Monthly Income]]&lt;10000,"Medium",TRUE,"High")</f>
        <v>High</v>
      </c>
      <c r="T246" s="1" t="str" cm="1">
        <f t="array" ref="T246">_xlfn.IFS(HR_Data[[#This Row],[Total Working Years]]&lt;=5,"Junior", HR_Data[[#This Row],[Total Working Years]]&lt;=15,"Mid-Level", TRUE, "Senior")</f>
        <v>Senior</v>
      </c>
    </row>
    <row r="247" spans="1:20" x14ac:dyDescent="0.25">
      <c r="A247" s="1">
        <v>337</v>
      </c>
      <c r="B247" s="1">
        <v>31</v>
      </c>
      <c r="C247" t="s">
        <v>9</v>
      </c>
      <c r="D247" t="s">
        <v>10</v>
      </c>
      <c r="E247" t="s">
        <v>15</v>
      </c>
      <c r="F247" t="s">
        <v>11</v>
      </c>
      <c r="G247" t="s">
        <v>20</v>
      </c>
      <c r="H247" s="1">
        <v>3</v>
      </c>
      <c r="I247" s="1">
        <v>13675</v>
      </c>
      <c r="J247" t="s">
        <v>9</v>
      </c>
      <c r="K247" s="1">
        <v>12</v>
      </c>
      <c r="L247" s="1">
        <v>3</v>
      </c>
      <c r="M247" s="1">
        <v>9</v>
      </c>
      <c r="N247" s="1">
        <v>3</v>
      </c>
      <c r="O247" s="1">
        <v>2</v>
      </c>
      <c r="P247" s="1">
        <f>COUNTIF(HR_Data[Employee Number],HR_Data[[#This Row],[Employee Number]])</f>
        <v>1</v>
      </c>
      <c r="Q247" s="1" t="str">
        <f>IF(HR_Data[[#This Row],[Years At Company]]&lt;=HR_Data[[#This Row],[Total Working Years]],"Valid","error")</f>
        <v>Valid</v>
      </c>
      <c r="R247" s="1" t="str" cm="1">
        <f t="array" ref="R247">_xlfn.IFS(HR_Data[[#This Row],[Age]]&lt;=30,"Young", HR_Data[[#This Row],[Age]]&lt;=45,"Mid-Age",HR_Data[[#This Row],[Age]]&gt;45,"Senior")</f>
        <v>Mid-Age</v>
      </c>
      <c r="S247" s="1" t="str" cm="1">
        <f t="array" ref="S247">_xlfn.IFS(HR_Data[[#This Row],[Monthly Income]]&lt;5000,"Low", HR_Data[[#This Row],[Monthly Income]]&lt;10000,"Medium",TRUE,"High")</f>
        <v>High</v>
      </c>
      <c r="T247" s="1" t="str" cm="1">
        <f t="array" ref="T247">_xlfn.IFS(HR_Data[[#This Row],[Total Working Years]]&lt;=5,"Junior", HR_Data[[#This Row],[Total Working Years]]&lt;=15,"Mid-Level", TRUE, "Senior")</f>
        <v>Mid-Level</v>
      </c>
    </row>
    <row r="248" spans="1:20" x14ac:dyDescent="0.25">
      <c r="A248" s="1">
        <v>338</v>
      </c>
      <c r="B248" s="1">
        <v>33</v>
      </c>
      <c r="C248" t="s">
        <v>9</v>
      </c>
      <c r="D248" t="s">
        <v>10</v>
      </c>
      <c r="E248" t="s">
        <v>6</v>
      </c>
      <c r="F248" t="s">
        <v>7</v>
      </c>
      <c r="G248" t="s">
        <v>12</v>
      </c>
      <c r="H248" s="1">
        <v>4</v>
      </c>
      <c r="I248" s="1">
        <v>2911</v>
      </c>
      <c r="J248" t="s">
        <v>9</v>
      </c>
      <c r="K248" s="1">
        <v>13</v>
      </c>
      <c r="L248" s="1">
        <v>3</v>
      </c>
      <c r="M248" s="1">
        <v>2</v>
      </c>
      <c r="N248" s="1">
        <v>2</v>
      </c>
      <c r="O248" s="1">
        <v>2</v>
      </c>
      <c r="P248" s="1">
        <f>COUNTIF(HR_Data[Employee Number],HR_Data[[#This Row],[Employee Number]])</f>
        <v>1</v>
      </c>
      <c r="Q248" s="1" t="str">
        <f>IF(HR_Data[[#This Row],[Years At Company]]&lt;=HR_Data[[#This Row],[Total Working Years]],"Valid","error")</f>
        <v>Valid</v>
      </c>
      <c r="R248" s="1" t="str" cm="1">
        <f t="array" ref="R248">_xlfn.IFS(HR_Data[[#This Row],[Age]]&lt;=30,"Young", HR_Data[[#This Row],[Age]]&lt;=45,"Mid-Age",HR_Data[[#This Row],[Age]]&gt;45,"Senior")</f>
        <v>Mid-Age</v>
      </c>
      <c r="S248" s="1" t="str" cm="1">
        <f t="array" ref="S248">_xlfn.IFS(HR_Data[[#This Row],[Monthly Income]]&lt;5000,"Low", HR_Data[[#This Row],[Monthly Income]]&lt;10000,"Medium",TRUE,"High")</f>
        <v>Low</v>
      </c>
      <c r="T248" s="1" t="str" cm="1">
        <f t="array" ref="T248">_xlfn.IFS(HR_Data[[#This Row],[Total Working Years]]&lt;=5,"Junior", HR_Data[[#This Row],[Total Working Years]]&lt;=15,"Mid-Level", TRUE, "Senior")</f>
        <v>Junior</v>
      </c>
    </row>
    <row r="249" spans="1:20" x14ac:dyDescent="0.25">
      <c r="A249" s="1">
        <v>339</v>
      </c>
      <c r="B249" s="1">
        <v>34</v>
      </c>
      <c r="C249" t="s">
        <v>9</v>
      </c>
      <c r="D249" t="s">
        <v>10</v>
      </c>
      <c r="E249" t="s">
        <v>6</v>
      </c>
      <c r="F249" t="s">
        <v>11</v>
      </c>
      <c r="G249" t="s">
        <v>16</v>
      </c>
      <c r="H249" s="1">
        <v>1</v>
      </c>
      <c r="I249" s="1">
        <v>5957</v>
      </c>
      <c r="J249" t="s">
        <v>9</v>
      </c>
      <c r="K249" s="1">
        <v>13</v>
      </c>
      <c r="L249" s="1">
        <v>3</v>
      </c>
      <c r="M249" s="1">
        <v>13</v>
      </c>
      <c r="N249" s="1">
        <v>3</v>
      </c>
      <c r="O249" s="1">
        <v>11</v>
      </c>
      <c r="P249" s="1">
        <f>COUNTIF(HR_Data[Employee Number],HR_Data[[#This Row],[Employee Number]])</f>
        <v>1</v>
      </c>
      <c r="Q249" s="1" t="str">
        <f>IF(HR_Data[[#This Row],[Years At Company]]&lt;=HR_Data[[#This Row],[Total Working Years]],"Valid","error")</f>
        <v>Valid</v>
      </c>
      <c r="R249" s="1" t="str" cm="1">
        <f t="array" ref="R249">_xlfn.IFS(HR_Data[[#This Row],[Age]]&lt;=30,"Young", HR_Data[[#This Row],[Age]]&lt;=45,"Mid-Age",HR_Data[[#This Row],[Age]]&gt;45,"Senior")</f>
        <v>Mid-Age</v>
      </c>
      <c r="S249" s="1" t="str" cm="1">
        <f t="array" ref="S249">_xlfn.IFS(HR_Data[[#This Row],[Monthly Income]]&lt;5000,"Low", HR_Data[[#This Row],[Monthly Income]]&lt;10000,"Medium",TRUE,"High")</f>
        <v>Medium</v>
      </c>
      <c r="T249" s="1" t="str" cm="1">
        <f t="array" ref="T249">_xlfn.IFS(HR_Data[[#This Row],[Total Working Years]]&lt;=5,"Junior", HR_Data[[#This Row],[Total Working Years]]&lt;=15,"Mid-Level", TRUE, "Senior")</f>
        <v>Mid-Level</v>
      </c>
    </row>
    <row r="250" spans="1:20" x14ac:dyDescent="0.25">
      <c r="A250" s="1">
        <v>340</v>
      </c>
      <c r="B250" s="1">
        <v>37</v>
      </c>
      <c r="C250" t="s">
        <v>9</v>
      </c>
      <c r="D250" t="s">
        <v>10</v>
      </c>
      <c r="E250" t="s">
        <v>15</v>
      </c>
      <c r="F250" t="s">
        <v>7</v>
      </c>
      <c r="G250" t="s">
        <v>12</v>
      </c>
      <c r="H250" s="1">
        <v>1</v>
      </c>
      <c r="I250" s="1">
        <v>3920</v>
      </c>
      <c r="J250" t="s">
        <v>9</v>
      </c>
      <c r="K250" s="1">
        <v>14</v>
      </c>
      <c r="L250" s="1">
        <v>3</v>
      </c>
      <c r="M250" s="1">
        <v>17</v>
      </c>
      <c r="N250" s="1">
        <v>2</v>
      </c>
      <c r="O250" s="1">
        <v>3</v>
      </c>
      <c r="P250" s="1">
        <f>COUNTIF(HR_Data[Employee Number],HR_Data[[#This Row],[Employee Number]])</f>
        <v>1</v>
      </c>
      <c r="Q250" s="1" t="str">
        <f>IF(HR_Data[[#This Row],[Years At Company]]&lt;=HR_Data[[#This Row],[Total Working Years]],"Valid","error")</f>
        <v>Valid</v>
      </c>
      <c r="R250" s="1" t="str" cm="1">
        <f t="array" ref="R250">_xlfn.IFS(HR_Data[[#This Row],[Age]]&lt;=30,"Young", HR_Data[[#This Row],[Age]]&lt;=45,"Mid-Age",HR_Data[[#This Row],[Age]]&gt;45,"Senior")</f>
        <v>Mid-Age</v>
      </c>
      <c r="S250" s="1" t="str" cm="1">
        <f t="array" ref="S250">_xlfn.IFS(HR_Data[[#This Row],[Monthly Income]]&lt;5000,"Low", HR_Data[[#This Row],[Monthly Income]]&lt;10000,"Medium",TRUE,"High")</f>
        <v>Low</v>
      </c>
      <c r="T250" s="1" t="str" cm="1">
        <f t="array" ref="T250">_xlfn.IFS(HR_Data[[#This Row],[Total Working Years]]&lt;=5,"Junior", HR_Data[[#This Row],[Total Working Years]]&lt;=15,"Mid-Level", TRUE, "Senior")</f>
        <v>Senior</v>
      </c>
    </row>
    <row r="251" spans="1:20" x14ac:dyDescent="0.25">
      <c r="A251" s="1">
        <v>341</v>
      </c>
      <c r="B251" s="1">
        <v>45</v>
      </c>
      <c r="C251" t="s">
        <v>9</v>
      </c>
      <c r="D251" t="s">
        <v>10</v>
      </c>
      <c r="E251" t="s">
        <v>6</v>
      </c>
      <c r="F251" t="s">
        <v>11</v>
      </c>
      <c r="G251" t="s">
        <v>16</v>
      </c>
      <c r="H251" s="1">
        <v>3</v>
      </c>
      <c r="I251" s="1">
        <v>6434</v>
      </c>
      <c r="J251" t="s">
        <v>9</v>
      </c>
      <c r="K251" s="1">
        <v>17</v>
      </c>
      <c r="L251" s="1">
        <v>3</v>
      </c>
      <c r="M251" s="1">
        <v>9</v>
      </c>
      <c r="N251" s="1">
        <v>3</v>
      </c>
      <c r="O251" s="1">
        <v>3</v>
      </c>
      <c r="P251" s="1">
        <f>COUNTIF(HR_Data[Employee Number],HR_Data[[#This Row],[Employee Number]])</f>
        <v>1</v>
      </c>
      <c r="Q251" s="1" t="str">
        <f>IF(HR_Data[[#This Row],[Years At Company]]&lt;=HR_Data[[#This Row],[Total Working Years]],"Valid","error")</f>
        <v>Valid</v>
      </c>
      <c r="R251" s="1" t="str" cm="1">
        <f t="array" ref="R251">_xlfn.IFS(HR_Data[[#This Row],[Age]]&lt;=30,"Young", HR_Data[[#This Row],[Age]]&lt;=45,"Mid-Age",HR_Data[[#This Row],[Age]]&gt;45,"Senior")</f>
        <v>Mid-Age</v>
      </c>
      <c r="S251" s="1" t="str" cm="1">
        <f t="array" ref="S251">_xlfn.IFS(HR_Data[[#This Row],[Monthly Income]]&lt;5000,"Low", HR_Data[[#This Row],[Monthly Income]]&lt;10000,"Medium",TRUE,"High")</f>
        <v>Medium</v>
      </c>
      <c r="T251" s="1" t="str" cm="1">
        <f t="array" ref="T251">_xlfn.IFS(HR_Data[[#This Row],[Total Working Years]]&lt;=5,"Junior", HR_Data[[#This Row],[Total Working Years]]&lt;=15,"Mid-Level", TRUE, "Senior")</f>
        <v>Mid-Level</v>
      </c>
    </row>
    <row r="252" spans="1:20" x14ac:dyDescent="0.25">
      <c r="A252" s="1">
        <v>342</v>
      </c>
      <c r="B252" s="1">
        <v>37</v>
      </c>
      <c r="C252" t="s">
        <v>4</v>
      </c>
      <c r="D252" t="s">
        <v>10</v>
      </c>
      <c r="E252" t="s">
        <v>15</v>
      </c>
      <c r="F252" t="s">
        <v>11</v>
      </c>
      <c r="G252" t="s">
        <v>16</v>
      </c>
      <c r="H252" s="1">
        <v>3</v>
      </c>
      <c r="I252" s="1">
        <v>10048</v>
      </c>
      <c r="J252" t="s">
        <v>9</v>
      </c>
      <c r="K252" s="1">
        <v>11</v>
      </c>
      <c r="L252" s="1">
        <v>3</v>
      </c>
      <c r="M252" s="1">
        <v>17</v>
      </c>
      <c r="N252" s="1">
        <v>3</v>
      </c>
      <c r="O252" s="1">
        <v>1</v>
      </c>
      <c r="P252" s="1">
        <f>COUNTIF(HR_Data[Employee Number],HR_Data[[#This Row],[Employee Number]])</f>
        <v>1</v>
      </c>
      <c r="Q252" s="1" t="str">
        <f>IF(HR_Data[[#This Row],[Years At Company]]&lt;=HR_Data[[#This Row],[Total Working Years]],"Valid","error")</f>
        <v>Valid</v>
      </c>
      <c r="R252" s="1" t="str" cm="1">
        <f t="array" ref="R252">_xlfn.IFS(HR_Data[[#This Row],[Age]]&lt;=30,"Young", HR_Data[[#This Row],[Age]]&lt;=45,"Mid-Age",HR_Data[[#This Row],[Age]]&gt;45,"Senior")</f>
        <v>Mid-Age</v>
      </c>
      <c r="S252" s="1" t="str" cm="1">
        <f t="array" ref="S252">_xlfn.IFS(HR_Data[[#This Row],[Monthly Income]]&lt;5000,"Low", HR_Data[[#This Row],[Monthly Income]]&lt;10000,"Medium",TRUE,"High")</f>
        <v>High</v>
      </c>
      <c r="T252" s="1" t="str" cm="1">
        <f t="array" ref="T252">_xlfn.IFS(HR_Data[[#This Row],[Total Working Years]]&lt;=5,"Junior", HR_Data[[#This Row],[Total Working Years]]&lt;=15,"Mid-Level", TRUE, "Senior")</f>
        <v>Senior</v>
      </c>
    </row>
    <row r="253" spans="1:20" x14ac:dyDescent="0.25">
      <c r="A253" s="1">
        <v>343</v>
      </c>
      <c r="B253" s="1">
        <v>39</v>
      </c>
      <c r="C253" t="s">
        <v>9</v>
      </c>
      <c r="D253" t="s">
        <v>10</v>
      </c>
      <c r="E253" t="s">
        <v>22</v>
      </c>
      <c r="F253" t="s">
        <v>7</v>
      </c>
      <c r="G253" t="s">
        <v>17</v>
      </c>
      <c r="H253" s="1">
        <v>3</v>
      </c>
      <c r="I253" s="1">
        <v>10938</v>
      </c>
      <c r="J253" t="s">
        <v>9</v>
      </c>
      <c r="K253" s="1">
        <v>25</v>
      </c>
      <c r="L253" s="1">
        <v>4</v>
      </c>
      <c r="M253" s="1">
        <v>20</v>
      </c>
      <c r="N253" s="1">
        <v>3</v>
      </c>
      <c r="O253" s="1">
        <v>19</v>
      </c>
      <c r="P253" s="1">
        <f>COUNTIF(HR_Data[Employee Number],HR_Data[[#This Row],[Employee Number]])</f>
        <v>1</v>
      </c>
      <c r="Q253" s="1" t="str">
        <f>IF(HR_Data[[#This Row],[Years At Company]]&lt;=HR_Data[[#This Row],[Total Working Years]],"Valid","error")</f>
        <v>Valid</v>
      </c>
      <c r="R253" s="1" t="str" cm="1">
        <f t="array" ref="R253">_xlfn.IFS(HR_Data[[#This Row],[Age]]&lt;=30,"Young", HR_Data[[#This Row],[Age]]&lt;=45,"Mid-Age",HR_Data[[#This Row],[Age]]&gt;45,"Senior")</f>
        <v>Mid-Age</v>
      </c>
      <c r="S253" s="1" t="str" cm="1">
        <f t="array" ref="S253">_xlfn.IFS(HR_Data[[#This Row],[Monthly Income]]&lt;5000,"Low", HR_Data[[#This Row],[Monthly Income]]&lt;10000,"Medium",TRUE,"High")</f>
        <v>High</v>
      </c>
      <c r="T253" s="1" t="str" cm="1">
        <f t="array" ref="T253">_xlfn.IFS(HR_Data[[#This Row],[Total Working Years]]&lt;=5,"Junior", HR_Data[[#This Row],[Total Working Years]]&lt;=15,"Mid-Level", TRUE, "Senior")</f>
        <v>Senior</v>
      </c>
    </row>
    <row r="254" spans="1:20" x14ac:dyDescent="0.25">
      <c r="A254" s="1">
        <v>346</v>
      </c>
      <c r="B254" s="1">
        <v>29</v>
      </c>
      <c r="C254" t="s">
        <v>9</v>
      </c>
      <c r="D254" t="s">
        <v>10</v>
      </c>
      <c r="E254" t="s">
        <v>6</v>
      </c>
      <c r="F254" t="s">
        <v>11</v>
      </c>
      <c r="G254" t="s">
        <v>12</v>
      </c>
      <c r="H254" s="1">
        <v>4</v>
      </c>
      <c r="I254" s="1">
        <v>2340</v>
      </c>
      <c r="J254" t="s">
        <v>9</v>
      </c>
      <c r="K254" s="1">
        <v>19</v>
      </c>
      <c r="L254" s="1">
        <v>3</v>
      </c>
      <c r="M254" s="1">
        <v>6</v>
      </c>
      <c r="N254" s="1">
        <v>3</v>
      </c>
      <c r="O254" s="1">
        <v>6</v>
      </c>
      <c r="P254" s="1">
        <f>COUNTIF(HR_Data[Employee Number],HR_Data[[#This Row],[Employee Number]])</f>
        <v>1</v>
      </c>
      <c r="Q254" s="1" t="str">
        <f>IF(HR_Data[[#This Row],[Years At Company]]&lt;=HR_Data[[#This Row],[Total Working Years]],"Valid","error")</f>
        <v>Valid</v>
      </c>
      <c r="R254" s="1" t="str" cm="1">
        <f t="array" ref="R254">_xlfn.IFS(HR_Data[[#This Row],[Age]]&lt;=30,"Young", HR_Data[[#This Row],[Age]]&lt;=45,"Mid-Age",HR_Data[[#This Row],[Age]]&gt;45,"Senior")</f>
        <v>Young</v>
      </c>
      <c r="S254" s="1" t="str" cm="1">
        <f t="array" ref="S254">_xlfn.IFS(HR_Data[[#This Row],[Monthly Income]]&lt;5000,"Low", HR_Data[[#This Row],[Monthly Income]]&lt;10000,"Medium",TRUE,"High")</f>
        <v>Low</v>
      </c>
      <c r="T254" s="1" t="str" cm="1">
        <f t="array" ref="T254">_xlfn.IFS(HR_Data[[#This Row],[Total Working Years]]&lt;=5,"Junior", HR_Data[[#This Row],[Total Working Years]]&lt;=15,"Mid-Level", TRUE, "Senior")</f>
        <v>Mid-Level</v>
      </c>
    </row>
    <row r="255" spans="1:20" x14ac:dyDescent="0.25">
      <c r="A255" s="1">
        <v>347</v>
      </c>
      <c r="B255" s="1">
        <v>42</v>
      </c>
      <c r="C255" t="s">
        <v>9</v>
      </c>
      <c r="D255" t="s">
        <v>10</v>
      </c>
      <c r="E255" t="s">
        <v>6</v>
      </c>
      <c r="F255" t="s">
        <v>7</v>
      </c>
      <c r="G255" t="s">
        <v>12</v>
      </c>
      <c r="H255" s="1">
        <v>1</v>
      </c>
      <c r="I255" s="1">
        <v>6545</v>
      </c>
      <c r="J255" t="s">
        <v>4</v>
      </c>
      <c r="K255" s="1">
        <v>13</v>
      </c>
      <c r="L255" s="1">
        <v>3</v>
      </c>
      <c r="M255" s="1">
        <v>10</v>
      </c>
      <c r="N255" s="1">
        <v>3</v>
      </c>
      <c r="O255" s="1">
        <v>3</v>
      </c>
      <c r="P255" s="1">
        <f>COUNTIF(HR_Data[Employee Number],HR_Data[[#This Row],[Employee Number]])</f>
        <v>1</v>
      </c>
      <c r="Q255" s="1" t="str">
        <f>IF(HR_Data[[#This Row],[Years At Company]]&lt;=HR_Data[[#This Row],[Total Working Years]],"Valid","error")</f>
        <v>Valid</v>
      </c>
      <c r="R255" s="1" t="str" cm="1">
        <f t="array" ref="R255">_xlfn.IFS(HR_Data[[#This Row],[Age]]&lt;=30,"Young", HR_Data[[#This Row],[Age]]&lt;=45,"Mid-Age",HR_Data[[#This Row],[Age]]&gt;45,"Senior")</f>
        <v>Mid-Age</v>
      </c>
      <c r="S255" s="1" t="str" cm="1">
        <f t="array" ref="S255">_xlfn.IFS(HR_Data[[#This Row],[Monthly Income]]&lt;5000,"Low", HR_Data[[#This Row],[Monthly Income]]&lt;10000,"Medium",TRUE,"High")</f>
        <v>Medium</v>
      </c>
      <c r="T255" s="1" t="str" cm="1">
        <f t="array" ref="T255">_xlfn.IFS(HR_Data[[#This Row],[Total Working Years]]&lt;=5,"Junior", HR_Data[[#This Row],[Total Working Years]]&lt;=15,"Mid-Level", TRUE, "Senior")</f>
        <v>Mid-Level</v>
      </c>
    </row>
    <row r="256" spans="1:20" x14ac:dyDescent="0.25">
      <c r="A256" s="1">
        <v>349</v>
      </c>
      <c r="B256" s="1">
        <v>29</v>
      </c>
      <c r="C256" t="s">
        <v>9</v>
      </c>
      <c r="D256" t="s">
        <v>5</v>
      </c>
      <c r="E256" t="s">
        <v>21</v>
      </c>
      <c r="F256" t="s">
        <v>11</v>
      </c>
      <c r="G256" t="s">
        <v>8</v>
      </c>
      <c r="H256" s="1">
        <v>4</v>
      </c>
      <c r="I256" s="1">
        <v>6931</v>
      </c>
      <c r="J256" t="s">
        <v>9</v>
      </c>
      <c r="K256" s="1">
        <v>14</v>
      </c>
      <c r="L256" s="1">
        <v>3</v>
      </c>
      <c r="M256" s="1">
        <v>10</v>
      </c>
      <c r="N256" s="1">
        <v>3</v>
      </c>
      <c r="O256" s="1">
        <v>3</v>
      </c>
      <c r="P256" s="1">
        <f>COUNTIF(HR_Data[Employee Number],HR_Data[[#This Row],[Employee Number]])</f>
        <v>1</v>
      </c>
      <c r="Q256" s="1" t="str">
        <f>IF(HR_Data[[#This Row],[Years At Company]]&lt;=HR_Data[[#This Row],[Total Working Years]],"Valid","error")</f>
        <v>Valid</v>
      </c>
      <c r="R256" s="1" t="str" cm="1">
        <f t="array" ref="R256">_xlfn.IFS(HR_Data[[#This Row],[Age]]&lt;=30,"Young", HR_Data[[#This Row],[Age]]&lt;=45,"Mid-Age",HR_Data[[#This Row],[Age]]&gt;45,"Senior")</f>
        <v>Young</v>
      </c>
      <c r="S256" s="1" t="str" cm="1">
        <f t="array" ref="S256">_xlfn.IFS(HR_Data[[#This Row],[Monthly Income]]&lt;5000,"Low", HR_Data[[#This Row],[Monthly Income]]&lt;10000,"Medium",TRUE,"High")</f>
        <v>Medium</v>
      </c>
      <c r="T256" s="1" t="str" cm="1">
        <f t="array" ref="T256">_xlfn.IFS(HR_Data[[#This Row],[Total Working Years]]&lt;=5,"Junior", HR_Data[[#This Row],[Total Working Years]]&lt;=15,"Mid-Level", TRUE, "Senior")</f>
        <v>Mid-Level</v>
      </c>
    </row>
    <row r="257" spans="1:20" x14ac:dyDescent="0.25">
      <c r="A257" s="1">
        <v>350</v>
      </c>
      <c r="B257" s="1">
        <v>25</v>
      </c>
      <c r="C257" t="s">
        <v>9</v>
      </c>
      <c r="D257" t="s">
        <v>10</v>
      </c>
      <c r="E257" t="s">
        <v>6</v>
      </c>
      <c r="F257" t="s">
        <v>7</v>
      </c>
      <c r="G257" t="s">
        <v>16</v>
      </c>
      <c r="H257" s="1">
        <v>3</v>
      </c>
      <c r="I257" s="1">
        <v>4898</v>
      </c>
      <c r="J257" t="s">
        <v>9</v>
      </c>
      <c r="K257" s="1">
        <v>12</v>
      </c>
      <c r="L257" s="1">
        <v>3</v>
      </c>
      <c r="M257" s="1">
        <v>5</v>
      </c>
      <c r="N257" s="1">
        <v>3</v>
      </c>
      <c r="O257" s="1">
        <v>4</v>
      </c>
      <c r="P257" s="1">
        <f>COUNTIF(HR_Data[Employee Number],HR_Data[[#This Row],[Employee Number]])</f>
        <v>1</v>
      </c>
      <c r="Q257" s="1" t="str">
        <f>IF(HR_Data[[#This Row],[Years At Company]]&lt;=HR_Data[[#This Row],[Total Working Years]],"Valid","error")</f>
        <v>Valid</v>
      </c>
      <c r="R257" s="1" t="str" cm="1">
        <f t="array" ref="R257">_xlfn.IFS(HR_Data[[#This Row],[Age]]&lt;=30,"Young", HR_Data[[#This Row],[Age]]&lt;=45,"Mid-Age",HR_Data[[#This Row],[Age]]&gt;45,"Senior")</f>
        <v>Young</v>
      </c>
      <c r="S257" s="1" t="str" cm="1">
        <f t="array" ref="S257">_xlfn.IFS(HR_Data[[#This Row],[Monthly Income]]&lt;5000,"Low", HR_Data[[#This Row],[Monthly Income]]&lt;10000,"Medium",TRUE,"High")</f>
        <v>Low</v>
      </c>
      <c r="T257" s="1" t="str" cm="1">
        <f t="array" ref="T257">_xlfn.IFS(HR_Data[[#This Row],[Total Working Years]]&lt;=5,"Junior", HR_Data[[#This Row],[Total Working Years]]&lt;=15,"Mid-Level", TRUE, "Senior")</f>
        <v>Junior</v>
      </c>
    </row>
    <row r="258" spans="1:20" x14ac:dyDescent="0.25">
      <c r="A258" s="1">
        <v>351</v>
      </c>
      <c r="B258" s="1">
        <v>42</v>
      </c>
      <c r="C258" t="s">
        <v>9</v>
      </c>
      <c r="D258" t="s">
        <v>10</v>
      </c>
      <c r="E258" t="s">
        <v>15</v>
      </c>
      <c r="F258" t="s">
        <v>7</v>
      </c>
      <c r="G258" t="s">
        <v>14</v>
      </c>
      <c r="H258" s="1">
        <v>1</v>
      </c>
      <c r="I258" s="1">
        <v>2593</v>
      </c>
      <c r="J258" t="s">
        <v>4</v>
      </c>
      <c r="K258" s="1">
        <v>11</v>
      </c>
      <c r="L258" s="1">
        <v>3</v>
      </c>
      <c r="M258" s="1">
        <v>10</v>
      </c>
      <c r="N258" s="1">
        <v>3</v>
      </c>
      <c r="O258" s="1">
        <v>9</v>
      </c>
      <c r="P258" s="1">
        <f>COUNTIF(HR_Data[Employee Number],HR_Data[[#This Row],[Employee Number]])</f>
        <v>1</v>
      </c>
      <c r="Q258" s="1" t="str">
        <f>IF(HR_Data[[#This Row],[Years At Company]]&lt;=HR_Data[[#This Row],[Total Working Years]],"Valid","error")</f>
        <v>Valid</v>
      </c>
      <c r="R258" s="1" t="str" cm="1">
        <f t="array" ref="R258">_xlfn.IFS(HR_Data[[#This Row],[Age]]&lt;=30,"Young", HR_Data[[#This Row],[Age]]&lt;=45,"Mid-Age",HR_Data[[#This Row],[Age]]&gt;45,"Senior")</f>
        <v>Mid-Age</v>
      </c>
      <c r="S258" s="1" t="str" cm="1">
        <f t="array" ref="S258">_xlfn.IFS(HR_Data[[#This Row],[Monthly Income]]&lt;5000,"Low", HR_Data[[#This Row],[Monthly Income]]&lt;10000,"Medium",TRUE,"High")</f>
        <v>Low</v>
      </c>
      <c r="T258" s="1" t="str" cm="1">
        <f t="array" ref="T258">_xlfn.IFS(HR_Data[[#This Row],[Total Working Years]]&lt;=5,"Junior", HR_Data[[#This Row],[Total Working Years]]&lt;=15,"Mid-Level", TRUE, "Senior")</f>
        <v>Mid-Level</v>
      </c>
    </row>
    <row r="259" spans="1:20" x14ac:dyDescent="0.25">
      <c r="A259" s="1">
        <v>352</v>
      </c>
      <c r="B259" s="1">
        <v>40</v>
      </c>
      <c r="C259" t="s">
        <v>9</v>
      </c>
      <c r="D259" t="s">
        <v>10</v>
      </c>
      <c r="E259" t="s">
        <v>15</v>
      </c>
      <c r="F259" t="s">
        <v>11</v>
      </c>
      <c r="G259" t="s">
        <v>20</v>
      </c>
      <c r="H259" s="1">
        <v>3</v>
      </c>
      <c r="I259" s="1">
        <v>19436</v>
      </c>
      <c r="J259" t="s">
        <v>9</v>
      </c>
      <c r="K259" s="1">
        <v>19</v>
      </c>
      <c r="L259" s="1">
        <v>3</v>
      </c>
      <c r="M259" s="1">
        <v>22</v>
      </c>
      <c r="N259" s="1">
        <v>3</v>
      </c>
      <c r="O259" s="1">
        <v>21</v>
      </c>
      <c r="P259" s="1">
        <f>COUNTIF(HR_Data[Employee Number],HR_Data[[#This Row],[Employee Number]])</f>
        <v>1</v>
      </c>
      <c r="Q259" s="1" t="str">
        <f>IF(HR_Data[[#This Row],[Years At Company]]&lt;=HR_Data[[#This Row],[Total Working Years]],"Valid","error")</f>
        <v>Valid</v>
      </c>
      <c r="R259" s="1" t="str" cm="1">
        <f t="array" ref="R259">_xlfn.IFS(HR_Data[[#This Row],[Age]]&lt;=30,"Young", HR_Data[[#This Row],[Age]]&lt;=45,"Mid-Age",HR_Data[[#This Row],[Age]]&gt;45,"Senior")</f>
        <v>Mid-Age</v>
      </c>
      <c r="S259" s="1" t="str" cm="1">
        <f t="array" ref="S259">_xlfn.IFS(HR_Data[[#This Row],[Monthly Income]]&lt;5000,"Low", HR_Data[[#This Row],[Monthly Income]]&lt;10000,"Medium",TRUE,"High")</f>
        <v>High</v>
      </c>
      <c r="T259" s="1" t="str" cm="1">
        <f t="array" ref="T259">_xlfn.IFS(HR_Data[[#This Row],[Total Working Years]]&lt;=5,"Junior", HR_Data[[#This Row],[Total Working Years]]&lt;=15,"Mid-Level", TRUE, "Senior")</f>
        <v>Senior</v>
      </c>
    </row>
    <row r="260" spans="1:20" x14ac:dyDescent="0.25">
      <c r="A260" s="1">
        <v>353</v>
      </c>
      <c r="B260" s="1">
        <v>51</v>
      </c>
      <c r="C260" t="s">
        <v>9</v>
      </c>
      <c r="D260" t="s">
        <v>10</v>
      </c>
      <c r="E260" t="s">
        <v>6</v>
      </c>
      <c r="F260" t="s">
        <v>11</v>
      </c>
      <c r="G260" t="s">
        <v>12</v>
      </c>
      <c r="H260" s="1">
        <v>4</v>
      </c>
      <c r="I260" s="1">
        <v>2723</v>
      </c>
      <c r="J260" t="s">
        <v>9</v>
      </c>
      <c r="K260" s="1">
        <v>11</v>
      </c>
      <c r="L260" s="1">
        <v>3</v>
      </c>
      <c r="M260" s="1">
        <v>1</v>
      </c>
      <c r="N260" s="1">
        <v>2</v>
      </c>
      <c r="O260" s="1">
        <v>1</v>
      </c>
      <c r="P260" s="1">
        <f>COUNTIF(HR_Data[Employee Number],HR_Data[[#This Row],[Employee Number]])</f>
        <v>1</v>
      </c>
      <c r="Q260" s="1" t="str">
        <f>IF(HR_Data[[#This Row],[Years At Company]]&lt;=HR_Data[[#This Row],[Total Working Years]],"Valid","error")</f>
        <v>Valid</v>
      </c>
      <c r="R260" s="1" t="str" cm="1">
        <f t="array" ref="R260">_xlfn.IFS(HR_Data[[#This Row],[Age]]&lt;=30,"Young", HR_Data[[#This Row],[Age]]&lt;=45,"Mid-Age",HR_Data[[#This Row],[Age]]&gt;45,"Senior")</f>
        <v>Senior</v>
      </c>
      <c r="S260" s="1" t="str" cm="1">
        <f t="array" ref="S260">_xlfn.IFS(HR_Data[[#This Row],[Monthly Income]]&lt;5000,"Low", HR_Data[[#This Row],[Monthly Income]]&lt;10000,"Medium",TRUE,"High")</f>
        <v>Low</v>
      </c>
      <c r="T260" s="1" t="str" cm="1">
        <f t="array" ref="T260">_xlfn.IFS(HR_Data[[#This Row],[Total Working Years]]&lt;=5,"Junior", HR_Data[[#This Row],[Total Working Years]]&lt;=15,"Mid-Level", TRUE, "Senior")</f>
        <v>Junior</v>
      </c>
    </row>
    <row r="261" spans="1:20" x14ac:dyDescent="0.25">
      <c r="A261" s="1">
        <v>355</v>
      </c>
      <c r="B261" s="1">
        <v>31</v>
      </c>
      <c r="C261" t="s">
        <v>4</v>
      </c>
      <c r="D261" t="s">
        <v>10</v>
      </c>
      <c r="E261" t="s">
        <v>15</v>
      </c>
      <c r="F261" t="s">
        <v>11</v>
      </c>
      <c r="G261" t="s">
        <v>14</v>
      </c>
      <c r="H261" s="1">
        <v>2</v>
      </c>
      <c r="I261" s="1">
        <v>3479</v>
      </c>
      <c r="J261" t="s">
        <v>9</v>
      </c>
      <c r="K261" s="1">
        <v>11</v>
      </c>
      <c r="L261" s="1">
        <v>3</v>
      </c>
      <c r="M261" s="1">
        <v>6</v>
      </c>
      <c r="N261" s="1">
        <v>4</v>
      </c>
      <c r="O261" s="1">
        <v>5</v>
      </c>
      <c r="P261" s="1">
        <f>COUNTIF(HR_Data[Employee Number],HR_Data[[#This Row],[Employee Number]])</f>
        <v>1</v>
      </c>
      <c r="Q261" s="1" t="str">
        <f>IF(HR_Data[[#This Row],[Years At Company]]&lt;=HR_Data[[#This Row],[Total Working Years]],"Valid","error")</f>
        <v>Valid</v>
      </c>
      <c r="R261" s="1" t="str" cm="1">
        <f t="array" ref="R261">_xlfn.IFS(HR_Data[[#This Row],[Age]]&lt;=30,"Young", HR_Data[[#This Row],[Age]]&lt;=45,"Mid-Age",HR_Data[[#This Row],[Age]]&gt;45,"Senior")</f>
        <v>Mid-Age</v>
      </c>
      <c r="S261" s="1" t="str" cm="1">
        <f t="array" ref="S261">_xlfn.IFS(HR_Data[[#This Row],[Monthly Income]]&lt;5000,"Low", HR_Data[[#This Row],[Monthly Income]]&lt;10000,"Medium",TRUE,"High")</f>
        <v>Low</v>
      </c>
      <c r="T261" s="1" t="str" cm="1">
        <f t="array" ref="T261">_xlfn.IFS(HR_Data[[#This Row],[Total Working Years]]&lt;=5,"Junior", HR_Data[[#This Row],[Total Working Years]]&lt;=15,"Mid-Level", TRUE, "Senior")</f>
        <v>Mid-Level</v>
      </c>
    </row>
    <row r="262" spans="1:20" x14ac:dyDescent="0.25">
      <c r="A262" s="1">
        <v>359</v>
      </c>
      <c r="B262" s="1">
        <v>32</v>
      </c>
      <c r="C262" t="s">
        <v>9</v>
      </c>
      <c r="D262" t="s">
        <v>10</v>
      </c>
      <c r="E262" t="s">
        <v>6</v>
      </c>
      <c r="F262" t="s">
        <v>11</v>
      </c>
      <c r="G262" t="s">
        <v>14</v>
      </c>
      <c r="H262" s="1">
        <v>2</v>
      </c>
      <c r="I262" s="1">
        <v>2794</v>
      </c>
      <c r="J262" t="s">
        <v>9</v>
      </c>
      <c r="K262" s="1">
        <v>20</v>
      </c>
      <c r="L262" s="1">
        <v>4</v>
      </c>
      <c r="M262" s="1">
        <v>5</v>
      </c>
      <c r="N262" s="1">
        <v>1</v>
      </c>
      <c r="O262" s="1">
        <v>5</v>
      </c>
      <c r="P262" s="1">
        <f>COUNTIF(HR_Data[Employee Number],HR_Data[[#This Row],[Employee Number]])</f>
        <v>1</v>
      </c>
      <c r="Q262" s="1" t="str">
        <f>IF(HR_Data[[#This Row],[Years At Company]]&lt;=HR_Data[[#This Row],[Total Working Years]],"Valid","error")</f>
        <v>Valid</v>
      </c>
      <c r="R262" s="1" t="str" cm="1">
        <f t="array" ref="R262">_xlfn.IFS(HR_Data[[#This Row],[Age]]&lt;=30,"Young", HR_Data[[#This Row],[Age]]&lt;=45,"Mid-Age",HR_Data[[#This Row],[Age]]&gt;45,"Senior")</f>
        <v>Mid-Age</v>
      </c>
      <c r="S262" s="1" t="str" cm="1">
        <f t="array" ref="S262">_xlfn.IFS(HR_Data[[#This Row],[Monthly Income]]&lt;5000,"Low", HR_Data[[#This Row],[Monthly Income]]&lt;10000,"Medium",TRUE,"High")</f>
        <v>Low</v>
      </c>
      <c r="T262" s="1" t="str" cm="1">
        <f t="array" ref="T262">_xlfn.IFS(HR_Data[[#This Row],[Total Working Years]]&lt;=5,"Junior", HR_Data[[#This Row],[Total Working Years]]&lt;=15,"Mid-Level", TRUE, "Senior")</f>
        <v>Junior</v>
      </c>
    </row>
    <row r="263" spans="1:20" x14ac:dyDescent="0.25">
      <c r="A263" s="1">
        <v>361</v>
      </c>
      <c r="B263" s="1">
        <v>38</v>
      </c>
      <c r="C263" t="s">
        <v>9</v>
      </c>
      <c r="D263" t="s">
        <v>5</v>
      </c>
      <c r="E263" t="s">
        <v>6</v>
      </c>
      <c r="F263" t="s">
        <v>11</v>
      </c>
      <c r="G263" t="s">
        <v>8</v>
      </c>
      <c r="H263" s="1">
        <v>4</v>
      </c>
      <c r="I263" s="1">
        <v>5249</v>
      </c>
      <c r="J263" t="s">
        <v>9</v>
      </c>
      <c r="K263" s="1">
        <v>18</v>
      </c>
      <c r="L263" s="1">
        <v>3</v>
      </c>
      <c r="M263" s="1">
        <v>13</v>
      </c>
      <c r="N263" s="1">
        <v>3</v>
      </c>
      <c r="O263" s="1">
        <v>8</v>
      </c>
      <c r="P263" s="1">
        <f>COUNTIF(HR_Data[Employee Number],HR_Data[[#This Row],[Employee Number]])</f>
        <v>1</v>
      </c>
      <c r="Q263" s="1" t="str">
        <f>IF(HR_Data[[#This Row],[Years At Company]]&lt;=HR_Data[[#This Row],[Total Working Years]],"Valid","error")</f>
        <v>Valid</v>
      </c>
      <c r="R263" s="1" t="str" cm="1">
        <f t="array" ref="R263">_xlfn.IFS(HR_Data[[#This Row],[Age]]&lt;=30,"Young", HR_Data[[#This Row],[Age]]&lt;=45,"Mid-Age",HR_Data[[#This Row],[Age]]&gt;45,"Senior")</f>
        <v>Mid-Age</v>
      </c>
      <c r="S263" s="1" t="str" cm="1">
        <f t="array" ref="S263">_xlfn.IFS(HR_Data[[#This Row],[Monthly Income]]&lt;5000,"Low", HR_Data[[#This Row],[Monthly Income]]&lt;10000,"Medium",TRUE,"High")</f>
        <v>Medium</v>
      </c>
      <c r="T263" s="1" t="str" cm="1">
        <f t="array" ref="T263">_xlfn.IFS(HR_Data[[#This Row],[Total Working Years]]&lt;=5,"Junior", HR_Data[[#This Row],[Total Working Years]]&lt;=15,"Mid-Level", TRUE, "Senior")</f>
        <v>Mid-Level</v>
      </c>
    </row>
    <row r="264" spans="1:20" x14ac:dyDescent="0.25">
      <c r="A264" s="1">
        <v>362</v>
      </c>
      <c r="B264" s="1">
        <v>32</v>
      </c>
      <c r="C264" t="s">
        <v>9</v>
      </c>
      <c r="D264" t="s">
        <v>10</v>
      </c>
      <c r="E264" t="s">
        <v>22</v>
      </c>
      <c r="F264" t="s">
        <v>11</v>
      </c>
      <c r="G264" t="s">
        <v>14</v>
      </c>
      <c r="H264" s="1">
        <v>1</v>
      </c>
      <c r="I264" s="1">
        <v>2176</v>
      </c>
      <c r="J264" t="s">
        <v>9</v>
      </c>
      <c r="K264" s="1">
        <v>13</v>
      </c>
      <c r="L264" s="1">
        <v>3</v>
      </c>
      <c r="M264" s="1">
        <v>9</v>
      </c>
      <c r="N264" s="1">
        <v>3</v>
      </c>
      <c r="O264" s="1">
        <v>6</v>
      </c>
      <c r="P264" s="1">
        <f>COUNTIF(HR_Data[Employee Number],HR_Data[[#This Row],[Employee Number]])</f>
        <v>1</v>
      </c>
      <c r="Q264" s="1" t="str">
        <f>IF(HR_Data[[#This Row],[Years At Company]]&lt;=HR_Data[[#This Row],[Total Working Years]],"Valid","error")</f>
        <v>Valid</v>
      </c>
      <c r="R264" s="1" t="str" cm="1">
        <f t="array" ref="R264">_xlfn.IFS(HR_Data[[#This Row],[Age]]&lt;=30,"Young", HR_Data[[#This Row],[Age]]&lt;=45,"Mid-Age",HR_Data[[#This Row],[Age]]&gt;45,"Senior")</f>
        <v>Mid-Age</v>
      </c>
      <c r="S264" s="1" t="str" cm="1">
        <f t="array" ref="S264">_xlfn.IFS(HR_Data[[#This Row],[Monthly Income]]&lt;5000,"Low", HR_Data[[#This Row],[Monthly Income]]&lt;10000,"Medium",TRUE,"High")</f>
        <v>Low</v>
      </c>
      <c r="T264" s="1" t="str" cm="1">
        <f t="array" ref="T264">_xlfn.IFS(HR_Data[[#This Row],[Total Working Years]]&lt;=5,"Junior", HR_Data[[#This Row],[Total Working Years]]&lt;=15,"Mid-Level", TRUE, "Senior")</f>
        <v>Mid-Level</v>
      </c>
    </row>
    <row r="265" spans="1:20" x14ac:dyDescent="0.25">
      <c r="A265" s="1">
        <v>363</v>
      </c>
      <c r="B265" s="1">
        <v>46</v>
      </c>
      <c r="C265" t="s">
        <v>9</v>
      </c>
      <c r="D265" t="s">
        <v>5</v>
      </c>
      <c r="E265" t="s">
        <v>22</v>
      </c>
      <c r="F265" t="s">
        <v>7</v>
      </c>
      <c r="G265" t="s">
        <v>18</v>
      </c>
      <c r="H265" s="1">
        <v>2</v>
      </c>
      <c r="I265" s="1">
        <v>16872</v>
      </c>
      <c r="J265" t="s">
        <v>4</v>
      </c>
      <c r="K265" s="1">
        <v>12</v>
      </c>
      <c r="L265" s="1">
        <v>3</v>
      </c>
      <c r="M265" s="1">
        <v>28</v>
      </c>
      <c r="N265" s="1">
        <v>2</v>
      </c>
      <c r="O265" s="1">
        <v>7</v>
      </c>
      <c r="P265" s="1">
        <f>COUNTIF(HR_Data[Employee Number],HR_Data[[#This Row],[Employee Number]])</f>
        <v>1</v>
      </c>
      <c r="Q265" s="1" t="str">
        <f>IF(HR_Data[[#This Row],[Years At Company]]&lt;=HR_Data[[#This Row],[Total Working Years]],"Valid","error")</f>
        <v>Valid</v>
      </c>
      <c r="R265" s="1" t="str" cm="1">
        <f t="array" ref="R265">_xlfn.IFS(HR_Data[[#This Row],[Age]]&lt;=30,"Young", HR_Data[[#This Row],[Age]]&lt;=45,"Mid-Age",HR_Data[[#This Row],[Age]]&gt;45,"Senior")</f>
        <v>Senior</v>
      </c>
      <c r="S265" s="1" t="str" cm="1">
        <f t="array" ref="S265">_xlfn.IFS(HR_Data[[#This Row],[Monthly Income]]&lt;5000,"Low", HR_Data[[#This Row],[Monthly Income]]&lt;10000,"Medium",TRUE,"High")</f>
        <v>High</v>
      </c>
      <c r="T265" s="1" t="str" cm="1">
        <f t="array" ref="T265">_xlfn.IFS(HR_Data[[#This Row],[Total Working Years]]&lt;=5,"Junior", HR_Data[[#This Row],[Total Working Years]]&lt;=15,"Mid-Level", TRUE, "Senior")</f>
        <v>Senior</v>
      </c>
    </row>
    <row r="266" spans="1:20" x14ac:dyDescent="0.25">
      <c r="A266" s="1">
        <v>364</v>
      </c>
      <c r="B266" s="1">
        <v>28</v>
      </c>
      <c r="C266" t="s">
        <v>4</v>
      </c>
      <c r="D266" t="s">
        <v>10</v>
      </c>
      <c r="E266" t="s">
        <v>6</v>
      </c>
      <c r="F266" t="s">
        <v>11</v>
      </c>
      <c r="G266" t="s">
        <v>14</v>
      </c>
      <c r="H266" s="1">
        <v>3</v>
      </c>
      <c r="I266" s="1">
        <v>3485</v>
      </c>
      <c r="J266" t="s">
        <v>9</v>
      </c>
      <c r="K266" s="1">
        <v>11</v>
      </c>
      <c r="L266" s="1">
        <v>3</v>
      </c>
      <c r="M266" s="1">
        <v>5</v>
      </c>
      <c r="N266" s="1">
        <v>1</v>
      </c>
      <c r="O266" s="1">
        <v>0</v>
      </c>
      <c r="P266" s="1">
        <f>COUNTIF(HR_Data[Employee Number],HR_Data[[#This Row],[Employee Number]])</f>
        <v>1</v>
      </c>
      <c r="Q266" s="1" t="str">
        <f>IF(HR_Data[[#This Row],[Years At Company]]&lt;=HR_Data[[#This Row],[Total Working Years]],"Valid","error")</f>
        <v>Valid</v>
      </c>
      <c r="R266" s="1" t="str" cm="1">
        <f t="array" ref="R266">_xlfn.IFS(HR_Data[[#This Row],[Age]]&lt;=30,"Young", HR_Data[[#This Row],[Age]]&lt;=45,"Mid-Age",HR_Data[[#This Row],[Age]]&gt;45,"Senior")</f>
        <v>Young</v>
      </c>
      <c r="S266" s="1" t="str" cm="1">
        <f t="array" ref="S266">_xlfn.IFS(HR_Data[[#This Row],[Monthly Income]]&lt;5000,"Low", HR_Data[[#This Row],[Monthly Income]]&lt;10000,"Medium",TRUE,"High")</f>
        <v>Low</v>
      </c>
      <c r="T266" s="1" t="str" cm="1">
        <f t="array" ref="T266">_xlfn.IFS(HR_Data[[#This Row],[Total Working Years]]&lt;=5,"Junior", HR_Data[[#This Row],[Total Working Years]]&lt;=15,"Mid-Level", TRUE, "Senior")</f>
        <v>Junior</v>
      </c>
    </row>
    <row r="267" spans="1:20" x14ac:dyDescent="0.25">
      <c r="A267" s="1">
        <v>366</v>
      </c>
      <c r="B267" s="1">
        <v>29</v>
      </c>
      <c r="C267" t="s">
        <v>9</v>
      </c>
      <c r="D267" t="s">
        <v>5</v>
      </c>
      <c r="E267" t="s">
        <v>15</v>
      </c>
      <c r="F267" t="s">
        <v>11</v>
      </c>
      <c r="G267" t="s">
        <v>8</v>
      </c>
      <c r="H267" s="1">
        <v>2</v>
      </c>
      <c r="I267" s="1">
        <v>6644</v>
      </c>
      <c r="J267" t="s">
        <v>9</v>
      </c>
      <c r="K267" s="1">
        <v>19</v>
      </c>
      <c r="L267" s="1">
        <v>3</v>
      </c>
      <c r="M267" s="1">
        <v>10</v>
      </c>
      <c r="N267" s="1">
        <v>3</v>
      </c>
      <c r="O267" s="1">
        <v>0</v>
      </c>
      <c r="P267" s="1">
        <f>COUNTIF(HR_Data[Employee Number],HR_Data[[#This Row],[Employee Number]])</f>
        <v>1</v>
      </c>
      <c r="Q267" s="1" t="str">
        <f>IF(HR_Data[[#This Row],[Years At Company]]&lt;=HR_Data[[#This Row],[Total Working Years]],"Valid","error")</f>
        <v>Valid</v>
      </c>
      <c r="R267" s="1" t="str" cm="1">
        <f t="array" ref="R267">_xlfn.IFS(HR_Data[[#This Row],[Age]]&lt;=30,"Young", HR_Data[[#This Row],[Age]]&lt;=45,"Mid-Age",HR_Data[[#This Row],[Age]]&gt;45,"Senior")</f>
        <v>Young</v>
      </c>
      <c r="S267" s="1" t="str" cm="1">
        <f t="array" ref="S267">_xlfn.IFS(HR_Data[[#This Row],[Monthly Income]]&lt;5000,"Low", HR_Data[[#This Row],[Monthly Income]]&lt;10000,"Medium",TRUE,"High")</f>
        <v>Medium</v>
      </c>
      <c r="T267" s="1" t="str" cm="1">
        <f t="array" ref="T267">_xlfn.IFS(HR_Data[[#This Row],[Total Working Years]]&lt;=5,"Junior", HR_Data[[#This Row],[Total Working Years]]&lt;=15,"Mid-Level", TRUE, "Senior")</f>
        <v>Mid-Level</v>
      </c>
    </row>
    <row r="268" spans="1:20" x14ac:dyDescent="0.25">
      <c r="A268" s="1">
        <v>367</v>
      </c>
      <c r="B268" s="1">
        <v>31</v>
      </c>
      <c r="C268" t="s">
        <v>9</v>
      </c>
      <c r="D268" t="s">
        <v>10</v>
      </c>
      <c r="E268" t="s">
        <v>15</v>
      </c>
      <c r="F268" t="s">
        <v>11</v>
      </c>
      <c r="G268" t="s">
        <v>17</v>
      </c>
      <c r="H268" s="1">
        <v>4</v>
      </c>
      <c r="I268" s="1">
        <v>5582</v>
      </c>
      <c r="J268" t="s">
        <v>9</v>
      </c>
      <c r="K268" s="1">
        <v>21</v>
      </c>
      <c r="L268" s="1">
        <v>4</v>
      </c>
      <c r="M268" s="1">
        <v>10</v>
      </c>
      <c r="N268" s="1">
        <v>3</v>
      </c>
      <c r="O268" s="1">
        <v>9</v>
      </c>
      <c r="P268" s="1">
        <f>COUNTIF(HR_Data[Employee Number],HR_Data[[#This Row],[Employee Number]])</f>
        <v>1</v>
      </c>
      <c r="Q268" s="1" t="str">
        <f>IF(HR_Data[[#This Row],[Years At Company]]&lt;=HR_Data[[#This Row],[Total Working Years]],"Valid","error")</f>
        <v>Valid</v>
      </c>
      <c r="R268" s="1" t="str" cm="1">
        <f t="array" ref="R268">_xlfn.IFS(HR_Data[[#This Row],[Age]]&lt;=30,"Young", HR_Data[[#This Row],[Age]]&lt;=45,"Mid-Age",HR_Data[[#This Row],[Age]]&gt;45,"Senior")</f>
        <v>Mid-Age</v>
      </c>
      <c r="S268" s="1" t="str" cm="1">
        <f t="array" ref="S268">_xlfn.IFS(HR_Data[[#This Row],[Monthly Income]]&lt;5000,"Low", HR_Data[[#This Row],[Monthly Income]]&lt;10000,"Medium",TRUE,"High")</f>
        <v>Medium</v>
      </c>
      <c r="T268" s="1" t="str" cm="1">
        <f t="array" ref="T268">_xlfn.IFS(HR_Data[[#This Row],[Total Working Years]]&lt;=5,"Junior", HR_Data[[#This Row],[Total Working Years]]&lt;=15,"Mid-Level", TRUE, "Senior")</f>
        <v>Mid-Level</v>
      </c>
    </row>
    <row r="269" spans="1:20" x14ac:dyDescent="0.25">
      <c r="A269" s="1">
        <v>369</v>
      </c>
      <c r="B269" s="1">
        <v>25</v>
      </c>
      <c r="C269" t="s">
        <v>9</v>
      </c>
      <c r="D269" t="s">
        <v>10</v>
      </c>
      <c r="E269" t="s">
        <v>6</v>
      </c>
      <c r="F269" t="s">
        <v>11</v>
      </c>
      <c r="G269" t="s">
        <v>17</v>
      </c>
      <c r="H269" s="1">
        <v>1</v>
      </c>
      <c r="I269" s="1">
        <v>4000</v>
      </c>
      <c r="J269" t="s">
        <v>9</v>
      </c>
      <c r="K269" s="1">
        <v>12</v>
      </c>
      <c r="L269" s="1">
        <v>3</v>
      </c>
      <c r="M269" s="1">
        <v>6</v>
      </c>
      <c r="N269" s="1">
        <v>3</v>
      </c>
      <c r="O269" s="1">
        <v>6</v>
      </c>
      <c r="P269" s="1">
        <f>COUNTIF(HR_Data[Employee Number],HR_Data[[#This Row],[Employee Number]])</f>
        <v>1</v>
      </c>
      <c r="Q269" s="1" t="str">
        <f>IF(HR_Data[[#This Row],[Years At Company]]&lt;=HR_Data[[#This Row],[Total Working Years]],"Valid","error")</f>
        <v>Valid</v>
      </c>
      <c r="R269" s="1" t="str" cm="1">
        <f t="array" ref="R269">_xlfn.IFS(HR_Data[[#This Row],[Age]]&lt;=30,"Young", HR_Data[[#This Row],[Age]]&lt;=45,"Mid-Age",HR_Data[[#This Row],[Age]]&gt;45,"Senior")</f>
        <v>Young</v>
      </c>
      <c r="S269" s="1" t="str" cm="1">
        <f t="array" ref="S269">_xlfn.IFS(HR_Data[[#This Row],[Monthly Income]]&lt;5000,"Low", HR_Data[[#This Row],[Monthly Income]]&lt;10000,"Medium",TRUE,"High")</f>
        <v>Low</v>
      </c>
      <c r="T269" s="1" t="str" cm="1">
        <f t="array" ref="T269">_xlfn.IFS(HR_Data[[#This Row],[Total Working Years]]&lt;=5,"Junior", HR_Data[[#This Row],[Total Working Years]]&lt;=15,"Mid-Level", TRUE, "Senior")</f>
        <v>Mid-Level</v>
      </c>
    </row>
    <row r="270" spans="1:20" x14ac:dyDescent="0.25">
      <c r="A270" s="1">
        <v>372</v>
      </c>
      <c r="B270" s="1">
        <v>45</v>
      </c>
      <c r="C270" t="s">
        <v>9</v>
      </c>
      <c r="D270" t="s">
        <v>10</v>
      </c>
      <c r="E270" t="s">
        <v>15</v>
      </c>
      <c r="F270" t="s">
        <v>11</v>
      </c>
      <c r="G270" t="s">
        <v>17</v>
      </c>
      <c r="H270" s="1">
        <v>4</v>
      </c>
      <c r="I270" s="1">
        <v>13496</v>
      </c>
      <c r="J270" t="s">
        <v>4</v>
      </c>
      <c r="K270" s="1">
        <v>14</v>
      </c>
      <c r="L270" s="1">
        <v>3</v>
      </c>
      <c r="M270" s="1">
        <v>21</v>
      </c>
      <c r="N270" s="1">
        <v>3</v>
      </c>
      <c r="O270" s="1">
        <v>20</v>
      </c>
      <c r="P270" s="1">
        <f>COUNTIF(HR_Data[Employee Number],HR_Data[[#This Row],[Employee Number]])</f>
        <v>1</v>
      </c>
      <c r="Q270" s="1" t="str">
        <f>IF(HR_Data[[#This Row],[Years At Company]]&lt;=HR_Data[[#This Row],[Total Working Years]],"Valid","error")</f>
        <v>Valid</v>
      </c>
      <c r="R270" s="1" t="str" cm="1">
        <f t="array" ref="R270">_xlfn.IFS(HR_Data[[#This Row],[Age]]&lt;=30,"Young", HR_Data[[#This Row],[Age]]&lt;=45,"Mid-Age",HR_Data[[#This Row],[Age]]&gt;45,"Senior")</f>
        <v>Mid-Age</v>
      </c>
      <c r="S270" s="1" t="str" cm="1">
        <f t="array" ref="S270">_xlfn.IFS(HR_Data[[#This Row],[Monthly Income]]&lt;5000,"Low", HR_Data[[#This Row],[Monthly Income]]&lt;10000,"Medium",TRUE,"High")</f>
        <v>High</v>
      </c>
      <c r="T270" s="1" t="str" cm="1">
        <f t="array" ref="T270">_xlfn.IFS(HR_Data[[#This Row],[Total Working Years]]&lt;=5,"Junior", HR_Data[[#This Row],[Total Working Years]]&lt;=15,"Mid-Level", TRUE, "Senior")</f>
        <v>Senior</v>
      </c>
    </row>
    <row r="271" spans="1:20" x14ac:dyDescent="0.25">
      <c r="A271" s="1">
        <v>373</v>
      </c>
      <c r="B271" s="1">
        <v>36</v>
      </c>
      <c r="C271" t="s">
        <v>9</v>
      </c>
      <c r="D271" t="s">
        <v>10</v>
      </c>
      <c r="E271" t="s">
        <v>6</v>
      </c>
      <c r="F271" t="s">
        <v>11</v>
      </c>
      <c r="G271" t="s">
        <v>14</v>
      </c>
      <c r="H271" s="1">
        <v>4</v>
      </c>
      <c r="I271" s="1">
        <v>3210</v>
      </c>
      <c r="J271" t="s">
        <v>9</v>
      </c>
      <c r="K271" s="1">
        <v>11</v>
      </c>
      <c r="L271" s="1">
        <v>3</v>
      </c>
      <c r="M271" s="1">
        <v>16</v>
      </c>
      <c r="N271" s="1">
        <v>3</v>
      </c>
      <c r="O271" s="1">
        <v>15</v>
      </c>
      <c r="P271" s="1">
        <f>COUNTIF(HR_Data[Employee Number],HR_Data[[#This Row],[Employee Number]])</f>
        <v>1</v>
      </c>
      <c r="Q271" s="1" t="str">
        <f>IF(HR_Data[[#This Row],[Years At Company]]&lt;=HR_Data[[#This Row],[Total Working Years]],"Valid","error")</f>
        <v>Valid</v>
      </c>
      <c r="R271" s="1" t="str" cm="1">
        <f t="array" ref="R271">_xlfn.IFS(HR_Data[[#This Row],[Age]]&lt;=30,"Young", HR_Data[[#This Row],[Age]]&lt;=45,"Mid-Age",HR_Data[[#This Row],[Age]]&gt;45,"Senior")</f>
        <v>Mid-Age</v>
      </c>
      <c r="S271" s="1" t="str" cm="1">
        <f t="array" ref="S271">_xlfn.IFS(HR_Data[[#This Row],[Monthly Income]]&lt;5000,"Low", HR_Data[[#This Row],[Monthly Income]]&lt;10000,"Medium",TRUE,"High")</f>
        <v>Low</v>
      </c>
      <c r="T271" s="1" t="str" cm="1">
        <f t="array" ref="T271">_xlfn.IFS(HR_Data[[#This Row],[Total Working Years]]&lt;=5,"Junior", HR_Data[[#This Row],[Total Working Years]]&lt;=15,"Mid-Level", TRUE, "Senior")</f>
        <v>Senior</v>
      </c>
    </row>
    <row r="272" spans="1:20" x14ac:dyDescent="0.25">
      <c r="A272" s="1">
        <v>374</v>
      </c>
      <c r="B272" s="1">
        <v>55</v>
      </c>
      <c r="C272" t="s">
        <v>9</v>
      </c>
      <c r="D272" t="s">
        <v>10</v>
      </c>
      <c r="E272" t="s">
        <v>15</v>
      </c>
      <c r="F272" t="s">
        <v>11</v>
      </c>
      <c r="G272" t="s">
        <v>18</v>
      </c>
      <c r="H272" s="1">
        <v>1</v>
      </c>
      <c r="I272" s="1">
        <v>19045</v>
      </c>
      <c r="J272" t="s">
        <v>4</v>
      </c>
      <c r="K272" s="1">
        <v>14</v>
      </c>
      <c r="L272" s="1">
        <v>3</v>
      </c>
      <c r="M272" s="1">
        <v>37</v>
      </c>
      <c r="N272" s="1">
        <v>3</v>
      </c>
      <c r="O272" s="1">
        <v>36</v>
      </c>
      <c r="P272" s="1">
        <f>COUNTIF(HR_Data[Employee Number],HR_Data[[#This Row],[Employee Number]])</f>
        <v>1</v>
      </c>
      <c r="Q272" s="1" t="str">
        <f>IF(HR_Data[[#This Row],[Years At Company]]&lt;=HR_Data[[#This Row],[Total Working Years]],"Valid","error")</f>
        <v>Valid</v>
      </c>
      <c r="R272" s="1" t="str" cm="1">
        <f t="array" ref="R272">_xlfn.IFS(HR_Data[[#This Row],[Age]]&lt;=30,"Young", HR_Data[[#This Row],[Age]]&lt;=45,"Mid-Age",HR_Data[[#This Row],[Age]]&gt;45,"Senior")</f>
        <v>Senior</v>
      </c>
      <c r="S272" s="1" t="str" cm="1">
        <f t="array" ref="S272">_xlfn.IFS(HR_Data[[#This Row],[Monthly Income]]&lt;5000,"Low", HR_Data[[#This Row],[Monthly Income]]&lt;10000,"Medium",TRUE,"High")</f>
        <v>High</v>
      </c>
      <c r="T272" s="1" t="str" cm="1">
        <f t="array" ref="T272">_xlfn.IFS(HR_Data[[#This Row],[Total Working Years]]&lt;=5,"Junior", HR_Data[[#This Row],[Total Working Years]]&lt;=15,"Mid-Level", TRUE, "Senior")</f>
        <v>Senior</v>
      </c>
    </row>
    <row r="273" spans="1:20" x14ac:dyDescent="0.25">
      <c r="A273" s="1">
        <v>376</v>
      </c>
      <c r="B273" s="1">
        <v>47</v>
      </c>
      <c r="C273" t="s">
        <v>4</v>
      </c>
      <c r="D273" t="s">
        <v>10</v>
      </c>
      <c r="E273" t="s">
        <v>6</v>
      </c>
      <c r="F273" t="s">
        <v>11</v>
      </c>
      <c r="G273" t="s">
        <v>18</v>
      </c>
      <c r="H273" s="1">
        <v>2</v>
      </c>
      <c r="I273" s="1">
        <v>11849</v>
      </c>
      <c r="J273" t="s">
        <v>4</v>
      </c>
      <c r="K273" s="1">
        <v>12</v>
      </c>
      <c r="L273" s="1">
        <v>3</v>
      </c>
      <c r="M273" s="1">
        <v>10</v>
      </c>
      <c r="N273" s="1">
        <v>2</v>
      </c>
      <c r="O273" s="1">
        <v>10</v>
      </c>
      <c r="P273" s="1">
        <f>COUNTIF(HR_Data[Employee Number],HR_Data[[#This Row],[Employee Number]])</f>
        <v>1</v>
      </c>
      <c r="Q273" s="1" t="str">
        <f>IF(HR_Data[[#This Row],[Years At Company]]&lt;=HR_Data[[#This Row],[Total Working Years]],"Valid","error")</f>
        <v>Valid</v>
      </c>
      <c r="R273" s="1" t="str" cm="1">
        <f t="array" ref="R273">_xlfn.IFS(HR_Data[[#This Row],[Age]]&lt;=30,"Young", HR_Data[[#This Row],[Age]]&lt;=45,"Mid-Age",HR_Data[[#This Row],[Age]]&gt;45,"Senior")</f>
        <v>Senior</v>
      </c>
      <c r="S273" s="1" t="str" cm="1">
        <f t="array" ref="S273">_xlfn.IFS(HR_Data[[#This Row],[Monthly Income]]&lt;5000,"Low", HR_Data[[#This Row],[Monthly Income]]&lt;10000,"Medium",TRUE,"High")</f>
        <v>High</v>
      </c>
      <c r="T273" s="1" t="str" cm="1">
        <f t="array" ref="T273">_xlfn.IFS(HR_Data[[#This Row],[Total Working Years]]&lt;=5,"Junior", HR_Data[[#This Row],[Total Working Years]]&lt;=15,"Mid-Level", TRUE, "Senior")</f>
        <v>Mid-Level</v>
      </c>
    </row>
    <row r="274" spans="1:20" x14ac:dyDescent="0.25">
      <c r="A274" s="1">
        <v>377</v>
      </c>
      <c r="B274" s="1">
        <v>28</v>
      </c>
      <c r="C274" t="s">
        <v>9</v>
      </c>
      <c r="D274" t="s">
        <v>10</v>
      </c>
      <c r="E274" t="s">
        <v>15</v>
      </c>
      <c r="F274" t="s">
        <v>11</v>
      </c>
      <c r="G274" t="s">
        <v>12</v>
      </c>
      <c r="H274" s="1">
        <v>4</v>
      </c>
      <c r="I274" s="1">
        <v>2070</v>
      </c>
      <c r="J274" t="s">
        <v>9</v>
      </c>
      <c r="K274" s="1">
        <v>23</v>
      </c>
      <c r="L274" s="1">
        <v>4</v>
      </c>
      <c r="M274" s="1">
        <v>5</v>
      </c>
      <c r="N274" s="1">
        <v>2</v>
      </c>
      <c r="O274" s="1">
        <v>5</v>
      </c>
      <c r="P274" s="1">
        <f>COUNTIF(HR_Data[Employee Number],HR_Data[[#This Row],[Employee Number]])</f>
        <v>1</v>
      </c>
      <c r="Q274" s="1" t="str">
        <f>IF(HR_Data[[#This Row],[Years At Company]]&lt;=HR_Data[[#This Row],[Total Working Years]],"Valid","error")</f>
        <v>Valid</v>
      </c>
      <c r="R274" s="1" t="str" cm="1">
        <f t="array" ref="R274">_xlfn.IFS(HR_Data[[#This Row],[Age]]&lt;=30,"Young", HR_Data[[#This Row],[Age]]&lt;=45,"Mid-Age",HR_Data[[#This Row],[Age]]&gt;45,"Senior")</f>
        <v>Young</v>
      </c>
      <c r="S274" s="1" t="str" cm="1">
        <f t="array" ref="S274">_xlfn.IFS(HR_Data[[#This Row],[Monthly Income]]&lt;5000,"Low", HR_Data[[#This Row],[Monthly Income]]&lt;10000,"Medium",TRUE,"High")</f>
        <v>Low</v>
      </c>
      <c r="T274" s="1" t="str" cm="1">
        <f t="array" ref="T274">_xlfn.IFS(HR_Data[[#This Row],[Total Working Years]]&lt;=5,"Junior", HR_Data[[#This Row],[Total Working Years]]&lt;=15,"Mid-Level", TRUE, "Senior")</f>
        <v>Junior</v>
      </c>
    </row>
    <row r="275" spans="1:20" x14ac:dyDescent="0.25">
      <c r="A275" s="1">
        <v>378</v>
      </c>
      <c r="B275" s="1">
        <v>37</v>
      </c>
      <c r="C275" t="s">
        <v>9</v>
      </c>
      <c r="D275" t="s">
        <v>5</v>
      </c>
      <c r="E275" t="s">
        <v>15</v>
      </c>
      <c r="F275" t="s">
        <v>11</v>
      </c>
      <c r="G275" t="s">
        <v>8</v>
      </c>
      <c r="H275" s="1">
        <v>4</v>
      </c>
      <c r="I275" s="1">
        <v>6502</v>
      </c>
      <c r="J275" t="s">
        <v>9</v>
      </c>
      <c r="K275" s="1">
        <v>14</v>
      </c>
      <c r="L275" s="1">
        <v>3</v>
      </c>
      <c r="M275" s="1">
        <v>7</v>
      </c>
      <c r="N275" s="1">
        <v>4</v>
      </c>
      <c r="O275" s="1">
        <v>5</v>
      </c>
      <c r="P275" s="1">
        <f>COUNTIF(HR_Data[Employee Number],HR_Data[[#This Row],[Employee Number]])</f>
        <v>1</v>
      </c>
      <c r="Q275" s="1" t="str">
        <f>IF(HR_Data[[#This Row],[Years At Company]]&lt;=HR_Data[[#This Row],[Total Working Years]],"Valid","error")</f>
        <v>Valid</v>
      </c>
      <c r="R275" s="1" t="str" cm="1">
        <f t="array" ref="R275">_xlfn.IFS(HR_Data[[#This Row],[Age]]&lt;=30,"Young", HR_Data[[#This Row],[Age]]&lt;=45,"Mid-Age",HR_Data[[#This Row],[Age]]&gt;45,"Senior")</f>
        <v>Mid-Age</v>
      </c>
      <c r="S275" s="1" t="str" cm="1">
        <f t="array" ref="S275">_xlfn.IFS(HR_Data[[#This Row],[Monthly Income]]&lt;5000,"Low", HR_Data[[#This Row],[Monthly Income]]&lt;10000,"Medium",TRUE,"High")</f>
        <v>Medium</v>
      </c>
      <c r="T275" s="1" t="str" cm="1">
        <f t="array" ref="T275">_xlfn.IFS(HR_Data[[#This Row],[Total Working Years]]&lt;=5,"Junior", HR_Data[[#This Row],[Total Working Years]]&lt;=15,"Mid-Level", TRUE, "Senior")</f>
        <v>Mid-Level</v>
      </c>
    </row>
    <row r="276" spans="1:20" x14ac:dyDescent="0.25">
      <c r="A276" s="1">
        <v>379</v>
      </c>
      <c r="B276" s="1">
        <v>21</v>
      </c>
      <c r="C276" t="s">
        <v>9</v>
      </c>
      <c r="D276" t="s">
        <v>10</v>
      </c>
      <c r="E276" t="s">
        <v>15</v>
      </c>
      <c r="F276" t="s">
        <v>11</v>
      </c>
      <c r="G276" t="s">
        <v>12</v>
      </c>
      <c r="H276" s="1">
        <v>3</v>
      </c>
      <c r="I276" s="1">
        <v>3230</v>
      </c>
      <c r="J276" t="s">
        <v>9</v>
      </c>
      <c r="K276" s="1">
        <v>17</v>
      </c>
      <c r="L276" s="1">
        <v>3</v>
      </c>
      <c r="M276" s="1">
        <v>3</v>
      </c>
      <c r="N276" s="1">
        <v>4</v>
      </c>
      <c r="O276" s="1">
        <v>3</v>
      </c>
      <c r="P276" s="1">
        <f>COUNTIF(HR_Data[Employee Number],HR_Data[[#This Row],[Employee Number]])</f>
        <v>1</v>
      </c>
      <c r="Q276" s="1" t="str">
        <f>IF(HR_Data[[#This Row],[Years At Company]]&lt;=HR_Data[[#This Row],[Total Working Years]],"Valid","error")</f>
        <v>Valid</v>
      </c>
      <c r="R276" s="1" t="str" cm="1">
        <f t="array" ref="R276">_xlfn.IFS(HR_Data[[#This Row],[Age]]&lt;=30,"Young", HR_Data[[#This Row],[Age]]&lt;=45,"Mid-Age",HR_Data[[#This Row],[Age]]&gt;45,"Senior")</f>
        <v>Young</v>
      </c>
      <c r="S276" s="1" t="str" cm="1">
        <f t="array" ref="S276">_xlfn.IFS(HR_Data[[#This Row],[Monthly Income]]&lt;5000,"Low", HR_Data[[#This Row],[Monthly Income]]&lt;10000,"Medium",TRUE,"High")</f>
        <v>Low</v>
      </c>
      <c r="T276" s="1" t="str" cm="1">
        <f t="array" ref="T276">_xlfn.IFS(HR_Data[[#This Row],[Total Working Years]]&lt;=5,"Junior", HR_Data[[#This Row],[Total Working Years]]&lt;=15,"Mid-Level", TRUE, "Senior")</f>
        <v>Junior</v>
      </c>
    </row>
    <row r="277" spans="1:20" x14ac:dyDescent="0.25">
      <c r="A277" s="1">
        <v>380</v>
      </c>
      <c r="B277" s="1">
        <v>37</v>
      </c>
      <c r="C277" t="s">
        <v>9</v>
      </c>
      <c r="D277" t="s">
        <v>10</v>
      </c>
      <c r="E277" t="s">
        <v>15</v>
      </c>
      <c r="F277" t="s">
        <v>7</v>
      </c>
      <c r="G277" t="s">
        <v>20</v>
      </c>
      <c r="H277" s="1">
        <v>4</v>
      </c>
      <c r="I277" s="1">
        <v>13603</v>
      </c>
      <c r="J277" t="s">
        <v>4</v>
      </c>
      <c r="K277" s="1">
        <v>18</v>
      </c>
      <c r="L277" s="1">
        <v>3</v>
      </c>
      <c r="M277" s="1">
        <v>15</v>
      </c>
      <c r="N277" s="1">
        <v>3</v>
      </c>
      <c r="O277" s="1">
        <v>5</v>
      </c>
      <c r="P277" s="1">
        <f>COUNTIF(HR_Data[Employee Number],HR_Data[[#This Row],[Employee Number]])</f>
        <v>1</v>
      </c>
      <c r="Q277" s="1" t="str">
        <f>IF(HR_Data[[#This Row],[Years At Company]]&lt;=HR_Data[[#This Row],[Total Working Years]],"Valid","error")</f>
        <v>Valid</v>
      </c>
      <c r="R277" s="1" t="str" cm="1">
        <f t="array" ref="R277">_xlfn.IFS(HR_Data[[#This Row],[Age]]&lt;=30,"Young", HR_Data[[#This Row],[Age]]&lt;=45,"Mid-Age",HR_Data[[#This Row],[Age]]&gt;45,"Senior")</f>
        <v>Mid-Age</v>
      </c>
      <c r="S277" s="1" t="str" cm="1">
        <f t="array" ref="S277">_xlfn.IFS(HR_Data[[#This Row],[Monthly Income]]&lt;5000,"Low", HR_Data[[#This Row],[Monthly Income]]&lt;10000,"Medium",TRUE,"High")</f>
        <v>High</v>
      </c>
      <c r="T277" s="1" t="str" cm="1">
        <f t="array" ref="T277">_xlfn.IFS(HR_Data[[#This Row],[Total Working Years]]&lt;=5,"Junior", HR_Data[[#This Row],[Total Working Years]]&lt;=15,"Mid-Level", TRUE, "Senior")</f>
        <v>Mid-Level</v>
      </c>
    </row>
    <row r="278" spans="1:20" x14ac:dyDescent="0.25">
      <c r="A278" s="1">
        <v>381</v>
      </c>
      <c r="B278" s="1">
        <v>35</v>
      </c>
      <c r="C278" t="s">
        <v>9</v>
      </c>
      <c r="D278" t="s">
        <v>10</v>
      </c>
      <c r="E278" t="s">
        <v>6</v>
      </c>
      <c r="F278" t="s">
        <v>7</v>
      </c>
      <c r="G278" t="s">
        <v>18</v>
      </c>
      <c r="H278" s="1">
        <v>2</v>
      </c>
      <c r="I278" s="1">
        <v>11996</v>
      </c>
      <c r="J278" t="s">
        <v>9</v>
      </c>
      <c r="K278" s="1">
        <v>18</v>
      </c>
      <c r="L278" s="1">
        <v>3</v>
      </c>
      <c r="M278" s="1">
        <v>10</v>
      </c>
      <c r="N278" s="1">
        <v>2</v>
      </c>
      <c r="O278" s="1">
        <v>7</v>
      </c>
      <c r="P278" s="1">
        <f>COUNTIF(HR_Data[Employee Number],HR_Data[[#This Row],[Employee Number]])</f>
        <v>1</v>
      </c>
      <c r="Q278" s="1" t="str">
        <f>IF(HR_Data[[#This Row],[Years At Company]]&lt;=HR_Data[[#This Row],[Total Working Years]],"Valid","error")</f>
        <v>Valid</v>
      </c>
      <c r="R278" s="1" t="str" cm="1">
        <f t="array" ref="R278">_xlfn.IFS(HR_Data[[#This Row],[Age]]&lt;=30,"Young", HR_Data[[#This Row],[Age]]&lt;=45,"Mid-Age",HR_Data[[#This Row],[Age]]&gt;45,"Senior")</f>
        <v>Mid-Age</v>
      </c>
      <c r="S278" s="1" t="str" cm="1">
        <f t="array" ref="S278">_xlfn.IFS(HR_Data[[#This Row],[Monthly Income]]&lt;5000,"Low", HR_Data[[#This Row],[Monthly Income]]&lt;10000,"Medium",TRUE,"High")</f>
        <v>High</v>
      </c>
      <c r="T278" s="1" t="str" cm="1">
        <f t="array" ref="T278">_xlfn.IFS(HR_Data[[#This Row],[Total Working Years]]&lt;=5,"Junior", HR_Data[[#This Row],[Total Working Years]]&lt;=15,"Mid-Level", TRUE, "Senior")</f>
        <v>Mid-Level</v>
      </c>
    </row>
    <row r="279" spans="1:20" x14ac:dyDescent="0.25">
      <c r="A279" s="1">
        <v>382</v>
      </c>
      <c r="B279" s="1">
        <v>38</v>
      </c>
      <c r="C279" t="s">
        <v>9</v>
      </c>
      <c r="D279" t="s">
        <v>5</v>
      </c>
      <c r="E279" t="s">
        <v>15</v>
      </c>
      <c r="F279" t="s">
        <v>7</v>
      </c>
      <c r="G279" t="s">
        <v>8</v>
      </c>
      <c r="H279" s="1">
        <v>1</v>
      </c>
      <c r="I279" s="1">
        <v>5605</v>
      </c>
      <c r="J279" t="s">
        <v>4</v>
      </c>
      <c r="K279" s="1">
        <v>24</v>
      </c>
      <c r="L279" s="1">
        <v>4</v>
      </c>
      <c r="M279" s="1">
        <v>8</v>
      </c>
      <c r="N279" s="1">
        <v>3</v>
      </c>
      <c r="O279" s="1">
        <v>8</v>
      </c>
      <c r="P279" s="1">
        <f>COUNTIF(HR_Data[Employee Number],HR_Data[[#This Row],[Employee Number]])</f>
        <v>1</v>
      </c>
      <c r="Q279" s="1" t="str">
        <f>IF(HR_Data[[#This Row],[Years At Company]]&lt;=HR_Data[[#This Row],[Total Working Years]],"Valid","error")</f>
        <v>Valid</v>
      </c>
      <c r="R279" s="1" t="str" cm="1">
        <f t="array" ref="R279">_xlfn.IFS(HR_Data[[#This Row],[Age]]&lt;=30,"Young", HR_Data[[#This Row],[Age]]&lt;=45,"Mid-Age",HR_Data[[#This Row],[Age]]&gt;45,"Senior")</f>
        <v>Mid-Age</v>
      </c>
      <c r="S279" s="1" t="str" cm="1">
        <f t="array" ref="S279">_xlfn.IFS(HR_Data[[#This Row],[Monthly Income]]&lt;5000,"Low", HR_Data[[#This Row],[Monthly Income]]&lt;10000,"Medium",TRUE,"High")</f>
        <v>Medium</v>
      </c>
      <c r="T279" s="1" t="str" cm="1">
        <f t="array" ref="T279">_xlfn.IFS(HR_Data[[#This Row],[Total Working Years]]&lt;=5,"Junior", HR_Data[[#This Row],[Total Working Years]]&lt;=15,"Mid-Level", TRUE, "Senior")</f>
        <v>Mid-Level</v>
      </c>
    </row>
    <row r="280" spans="1:20" x14ac:dyDescent="0.25">
      <c r="A280" s="1">
        <v>384</v>
      </c>
      <c r="B280" s="1">
        <v>26</v>
      </c>
      <c r="C280" t="s">
        <v>9</v>
      </c>
      <c r="D280" t="s">
        <v>10</v>
      </c>
      <c r="E280" t="s">
        <v>6</v>
      </c>
      <c r="F280" t="s">
        <v>7</v>
      </c>
      <c r="G280" t="s">
        <v>16</v>
      </c>
      <c r="H280" s="1">
        <v>2</v>
      </c>
      <c r="I280" s="1">
        <v>6397</v>
      </c>
      <c r="J280" t="s">
        <v>9</v>
      </c>
      <c r="K280" s="1">
        <v>20</v>
      </c>
      <c r="L280" s="1">
        <v>4</v>
      </c>
      <c r="M280" s="1">
        <v>6</v>
      </c>
      <c r="N280" s="1">
        <v>1</v>
      </c>
      <c r="O280" s="1">
        <v>6</v>
      </c>
      <c r="P280" s="1">
        <f>COUNTIF(HR_Data[Employee Number],HR_Data[[#This Row],[Employee Number]])</f>
        <v>1</v>
      </c>
      <c r="Q280" s="1" t="str">
        <f>IF(HR_Data[[#This Row],[Years At Company]]&lt;=HR_Data[[#This Row],[Total Working Years]],"Valid","error")</f>
        <v>Valid</v>
      </c>
      <c r="R280" s="1" t="str" cm="1">
        <f t="array" ref="R280">_xlfn.IFS(HR_Data[[#This Row],[Age]]&lt;=30,"Young", HR_Data[[#This Row],[Age]]&lt;=45,"Mid-Age",HR_Data[[#This Row],[Age]]&gt;45,"Senior")</f>
        <v>Young</v>
      </c>
      <c r="S280" s="1" t="str" cm="1">
        <f t="array" ref="S280">_xlfn.IFS(HR_Data[[#This Row],[Monthly Income]]&lt;5000,"Low", HR_Data[[#This Row],[Monthly Income]]&lt;10000,"Medium",TRUE,"High")</f>
        <v>Medium</v>
      </c>
      <c r="T280" s="1" t="str" cm="1">
        <f t="array" ref="T280">_xlfn.IFS(HR_Data[[#This Row],[Total Working Years]]&lt;=5,"Junior", HR_Data[[#This Row],[Total Working Years]]&lt;=15,"Mid-Level", TRUE, "Senior")</f>
        <v>Mid-Level</v>
      </c>
    </row>
    <row r="281" spans="1:20" x14ac:dyDescent="0.25">
      <c r="A281" s="1">
        <v>385</v>
      </c>
      <c r="B281" s="1">
        <v>50</v>
      </c>
      <c r="C281" t="s">
        <v>9</v>
      </c>
      <c r="D281" t="s">
        <v>10</v>
      </c>
      <c r="E281" t="s">
        <v>6</v>
      </c>
      <c r="F281" t="s">
        <v>11</v>
      </c>
      <c r="G281" t="s">
        <v>20</v>
      </c>
      <c r="H281" s="1">
        <v>2</v>
      </c>
      <c r="I281" s="1">
        <v>19144</v>
      </c>
      <c r="J281" t="s">
        <v>9</v>
      </c>
      <c r="K281" s="1">
        <v>14</v>
      </c>
      <c r="L281" s="1">
        <v>3</v>
      </c>
      <c r="M281" s="1">
        <v>28</v>
      </c>
      <c r="N281" s="1">
        <v>2</v>
      </c>
      <c r="O281" s="1">
        <v>10</v>
      </c>
      <c r="P281" s="1">
        <f>COUNTIF(HR_Data[Employee Number],HR_Data[[#This Row],[Employee Number]])</f>
        <v>1</v>
      </c>
      <c r="Q281" s="1" t="str">
        <f>IF(HR_Data[[#This Row],[Years At Company]]&lt;=HR_Data[[#This Row],[Total Working Years]],"Valid","error")</f>
        <v>Valid</v>
      </c>
      <c r="R281" s="1" t="str" cm="1">
        <f t="array" ref="R281">_xlfn.IFS(HR_Data[[#This Row],[Age]]&lt;=30,"Young", HR_Data[[#This Row],[Age]]&lt;=45,"Mid-Age",HR_Data[[#This Row],[Age]]&gt;45,"Senior")</f>
        <v>Senior</v>
      </c>
      <c r="S281" s="1" t="str" cm="1">
        <f t="array" ref="S281">_xlfn.IFS(HR_Data[[#This Row],[Monthly Income]]&lt;5000,"Low", HR_Data[[#This Row],[Monthly Income]]&lt;10000,"Medium",TRUE,"High")</f>
        <v>High</v>
      </c>
      <c r="T281" s="1" t="str" cm="1">
        <f t="array" ref="T281">_xlfn.IFS(HR_Data[[#This Row],[Total Working Years]]&lt;=5,"Junior", HR_Data[[#This Row],[Total Working Years]]&lt;=15,"Mid-Level", TRUE, "Senior")</f>
        <v>Senior</v>
      </c>
    </row>
    <row r="282" spans="1:20" x14ac:dyDescent="0.25">
      <c r="A282" s="1">
        <v>386</v>
      </c>
      <c r="B282" s="1">
        <v>53</v>
      </c>
      <c r="C282" t="s">
        <v>9</v>
      </c>
      <c r="D282" t="s">
        <v>10</v>
      </c>
      <c r="E282" t="s">
        <v>15</v>
      </c>
      <c r="F282" t="s">
        <v>11</v>
      </c>
      <c r="G282" t="s">
        <v>20</v>
      </c>
      <c r="H282" s="1">
        <v>3</v>
      </c>
      <c r="I282" s="1">
        <v>17584</v>
      </c>
      <c r="J282" t="s">
        <v>4</v>
      </c>
      <c r="K282" s="1">
        <v>16</v>
      </c>
      <c r="L282" s="1">
        <v>3</v>
      </c>
      <c r="M282" s="1">
        <v>21</v>
      </c>
      <c r="N282" s="1">
        <v>2</v>
      </c>
      <c r="O282" s="1">
        <v>5</v>
      </c>
      <c r="P282" s="1">
        <f>COUNTIF(HR_Data[Employee Number],HR_Data[[#This Row],[Employee Number]])</f>
        <v>1</v>
      </c>
      <c r="Q282" s="1" t="str">
        <f>IF(HR_Data[[#This Row],[Years At Company]]&lt;=HR_Data[[#This Row],[Total Working Years]],"Valid","error")</f>
        <v>Valid</v>
      </c>
      <c r="R282" s="1" t="str" cm="1">
        <f t="array" ref="R282">_xlfn.IFS(HR_Data[[#This Row],[Age]]&lt;=30,"Young", HR_Data[[#This Row],[Age]]&lt;=45,"Mid-Age",HR_Data[[#This Row],[Age]]&gt;45,"Senior")</f>
        <v>Senior</v>
      </c>
      <c r="S282" s="1" t="str" cm="1">
        <f t="array" ref="S282">_xlfn.IFS(HR_Data[[#This Row],[Monthly Income]]&lt;5000,"Low", HR_Data[[#This Row],[Monthly Income]]&lt;10000,"Medium",TRUE,"High")</f>
        <v>High</v>
      </c>
      <c r="T282" s="1" t="str" cm="1">
        <f t="array" ref="T282">_xlfn.IFS(HR_Data[[#This Row],[Total Working Years]]&lt;=5,"Junior", HR_Data[[#This Row],[Total Working Years]]&lt;=15,"Mid-Level", TRUE, "Senior")</f>
        <v>Senior</v>
      </c>
    </row>
    <row r="283" spans="1:20" x14ac:dyDescent="0.25">
      <c r="A283" s="1">
        <v>387</v>
      </c>
      <c r="B283" s="1">
        <v>42</v>
      </c>
      <c r="C283" t="s">
        <v>9</v>
      </c>
      <c r="D283" t="s">
        <v>5</v>
      </c>
      <c r="E283" t="s">
        <v>6</v>
      </c>
      <c r="F283" t="s">
        <v>11</v>
      </c>
      <c r="G283" t="s">
        <v>8</v>
      </c>
      <c r="H283" s="1">
        <v>3</v>
      </c>
      <c r="I283" s="1">
        <v>4907</v>
      </c>
      <c r="J283" t="s">
        <v>9</v>
      </c>
      <c r="K283" s="1">
        <v>25</v>
      </c>
      <c r="L283" s="1">
        <v>4</v>
      </c>
      <c r="M283" s="1">
        <v>20</v>
      </c>
      <c r="N283" s="1">
        <v>3</v>
      </c>
      <c r="O283" s="1">
        <v>20</v>
      </c>
      <c r="P283" s="1">
        <f>COUNTIF(HR_Data[Employee Number],HR_Data[[#This Row],[Employee Number]])</f>
        <v>1</v>
      </c>
      <c r="Q283" s="1" t="str">
        <f>IF(HR_Data[[#This Row],[Years At Company]]&lt;=HR_Data[[#This Row],[Total Working Years]],"Valid","error")</f>
        <v>Valid</v>
      </c>
      <c r="R283" s="1" t="str" cm="1">
        <f t="array" ref="R283">_xlfn.IFS(HR_Data[[#This Row],[Age]]&lt;=30,"Young", HR_Data[[#This Row],[Age]]&lt;=45,"Mid-Age",HR_Data[[#This Row],[Age]]&gt;45,"Senior")</f>
        <v>Mid-Age</v>
      </c>
      <c r="S283" s="1" t="str" cm="1">
        <f t="array" ref="S283">_xlfn.IFS(HR_Data[[#This Row],[Monthly Income]]&lt;5000,"Low", HR_Data[[#This Row],[Monthly Income]]&lt;10000,"Medium",TRUE,"High")</f>
        <v>Low</v>
      </c>
      <c r="T283" s="1" t="str" cm="1">
        <f t="array" ref="T283">_xlfn.IFS(HR_Data[[#This Row],[Total Working Years]]&lt;=5,"Junior", HR_Data[[#This Row],[Total Working Years]]&lt;=15,"Mid-Level", TRUE, "Senior")</f>
        <v>Senior</v>
      </c>
    </row>
    <row r="284" spans="1:20" x14ac:dyDescent="0.25">
      <c r="A284" s="1">
        <v>388</v>
      </c>
      <c r="B284" s="1">
        <v>29</v>
      </c>
      <c r="C284" t="s">
        <v>9</v>
      </c>
      <c r="D284" t="s">
        <v>5</v>
      </c>
      <c r="E284" t="s">
        <v>6</v>
      </c>
      <c r="F284" t="s">
        <v>11</v>
      </c>
      <c r="G284" t="s">
        <v>8</v>
      </c>
      <c r="H284" s="1">
        <v>4</v>
      </c>
      <c r="I284" s="1">
        <v>4554</v>
      </c>
      <c r="J284" t="s">
        <v>9</v>
      </c>
      <c r="K284" s="1">
        <v>18</v>
      </c>
      <c r="L284" s="1">
        <v>3</v>
      </c>
      <c r="M284" s="1">
        <v>10</v>
      </c>
      <c r="N284" s="1">
        <v>2</v>
      </c>
      <c r="O284" s="1">
        <v>10</v>
      </c>
      <c r="P284" s="1">
        <f>COUNTIF(HR_Data[Employee Number],HR_Data[[#This Row],[Employee Number]])</f>
        <v>1</v>
      </c>
      <c r="Q284" s="1" t="str">
        <f>IF(HR_Data[[#This Row],[Years At Company]]&lt;=HR_Data[[#This Row],[Total Working Years]],"Valid","error")</f>
        <v>Valid</v>
      </c>
      <c r="R284" s="1" t="str" cm="1">
        <f t="array" ref="R284">_xlfn.IFS(HR_Data[[#This Row],[Age]]&lt;=30,"Young", HR_Data[[#This Row],[Age]]&lt;=45,"Mid-Age",HR_Data[[#This Row],[Age]]&gt;45,"Senior")</f>
        <v>Young</v>
      </c>
      <c r="S284" s="1" t="str" cm="1">
        <f t="array" ref="S284">_xlfn.IFS(HR_Data[[#This Row],[Monthly Income]]&lt;5000,"Low", HR_Data[[#This Row],[Monthly Income]]&lt;10000,"Medium",TRUE,"High")</f>
        <v>Low</v>
      </c>
      <c r="T284" s="1" t="str" cm="1">
        <f t="array" ref="T284">_xlfn.IFS(HR_Data[[#This Row],[Total Working Years]]&lt;=5,"Junior", HR_Data[[#This Row],[Total Working Years]]&lt;=15,"Mid-Level", TRUE, "Senior")</f>
        <v>Mid-Level</v>
      </c>
    </row>
    <row r="285" spans="1:20" x14ac:dyDescent="0.25">
      <c r="A285" s="1">
        <v>389</v>
      </c>
      <c r="B285" s="1">
        <v>55</v>
      </c>
      <c r="C285" t="s">
        <v>9</v>
      </c>
      <c r="D285" t="s">
        <v>10</v>
      </c>
      <c r="E285" t="s">
        <v>22</v>
      </c>
      <c r="F285" t="s">
        <v>11</v>
      </c>
      <c r="G285" t="s">
        <v>14</v>
      </c>
      <c r="H285" s="1">
        <v>4</v>
      </c>
      <c r="I285" s="1">
        <v>5415</v>
      </c>
      <c r="J285" t="s">
        <v>4</v>
      </c>
      <c r="K285" s="1">
        <v>19</v>
      </c>
      <c r="L285" s="1">
        <v>3</v>
      </c>
      <c r="M285" s="1">
        <v>12</v>
      </c>
      <c r="N285" s="1">
        <v>3</v>
      </c>
      <c r="O285" s="1">
        <v>10</v>
      </c>
      <c r="P285" s="1">
        <f>COUNTIF(HR_Data[Employee Number],HR_Data[[#This Row],[Employee Number]])</f>
        <v>1</v>
      </c>
      <c r="Q285" s="1" t="str">
        <f>IF(HR_Data[[#This Row],[Years At Company]]&lt;=HR_Data[[#This Row],[Total Working Years]],"Valid","error")</f>
        <v>Valid</v>
      </c>
      <c r="R285" s="1" t="str" cm="1">
        <f t="array" ref="R285">_xlfn.IFS(HR_Data[[#This Row],[Age]]&lt;=30,"Young", HR_Data[[#This Row],[Age]]&lt;=45,"Mid-Age",HR_Data[[#This Row],[Age]]&gt;45,"Senior")</f>
        <v>Senior</v>
      </c>
      <c r="S285" s="1" t="str" cm="1">
        <f t="array" ref="S285">_xlfn.IFS(HR_Data[[#This Row],[Monthly Income]]&lt;5000,"Low", HR_Data[[#This Row],[Monthly Income]]&lt;10000,"Medium",TRUE,"High")</f>
        <v>Medium</v>
      </c>
      <c r="T285" s="1" t="str" cm="1">
        <f t="array" ref="T285">_xlfn.IFS(HR_Data[[#This Row],[Total Working Years]]&lt;=5,"Junior", HR_Data[[#This Row],[Total Working Years]]&lt;=15,"Mid-Level", TRUE, "Senior")</f>
        <v>Mid-Level</v>
      </c>
    </row>
    <row r="286" spans="1:20" x14ac:dyDescent="0.25">
      <c r="A286" s="1">
        <v>390</v>
      </c>
      <c r="B286" s="1">
        <v>26</v>
      </c>
      <c r="C286" t="s">
        <v>9</v>
      </c>
      <c r="D286" t="s">
        <v>10</v>
      </c>
      <c r="E286" t="s">
        <v>15</v>
      </c>
      <c r="F286" t="s">
        <v>11</v>
      </c>
      <c r="G286" t="s">
        <v>17</v>
      </c>
      <c r="H286" s="1">
        <v>1</v>
      </c>
      <c r="I286" s="1">
        <v>4741</v>
      </c>
      <c r="J286" t="s">
        <v>4</v>
      </c>
      <c r="K286" s="1">
        <v>13</v>
      </c>
      <c r="L286" s="1">
        <v>3</v>
      </c>
      <c r="M286" s="1">
        <v>5</v>
      </c>
      <c r="N286" s="1">
        <v>3</v>
      </c>
      <c r="O286" s="1">
        <v>5</v>
      </c>
      <c r="P286" s="1">
        <f>COUNTIF(HR_Data[Employee Number],HR_Data[[#This Row],[Employee Number]])</f>
        <v>1</v>
      </c>
      <c r="Q286" s="1" t="str">
        <f>IF(HR_Data[[#This Row],[Years At Company]]&lt;=HR_Data[[#This Row],[Total Working Years]],"Valid","error")</f>
        <v>Valid</v>
      </c>
      <c r="R286" s="1" t="str" cm="1">
        <f t="array" ref="R286">_xlfn.IFS(HR_Data[[#This Row],[Age]]&lt;=30,"Young", HR_Data[[#This Row],[Age]]&lt;=45,"Mid-Age",HR_Data[[#This Row],[Age]]&gt;45,"Senior")</f>
        <v>Young</v>
      </c>
      <c r="S286" s="1" t="str" cm="1">
        <f t="array" ref="S286">_xlfn.IFS(HR_Data[[#This Row],[Monthly Income]]&lt;5000,"Low", HR_Data[[#This Row],[Monthly Income]]&lt;10000,"Medium",TRUE,"High")</f>
        <v>Low</v>
      </c>
      <c r="T286" s="1" t="str" cm="1">
        <f t="array" ref="T286">_xlfn.IFS(HR_Data[[#This Row],[Total Working Years]]&lt;=5,"Junior", HR_Data[[#This Row],[Total Working Years]]&lt;=15,"Mid-Level", TRUE, "Senior")</f>
        <v>Junior</v>
      </c>
    </row>
    <row r="287" spans="1:20" x14ac:dyDescent="0.25">
      <c r="A287" s="1">
        <v>391</v>
      </c>
      <c r="B287" s="1">
        <v>37</v>
      </c>
      <c r="C287" t="s">
        <v>9</v>
      </c>
      <c r="D287" t="s">
        <v>10</v>
      </c>
      <c r="E287" t="s">
        <v>6</v>
      </c>
      <c r="F287" t="s">
        <v>7</v>
      </c>
      <c r="G287" t="s">
        <v>12</v>
      </c>
      <c r="H287" s="1">
        <v>4</v>
      </c>
      <c r="I287" s="1">
        <v>2115</v>
      </c>
      <c r="J287" t="s">
        <v>9</v>
      </c>
      <c r="K287" s="1">
        <v>12</v>
      </c>
      <c r="L287" s="1">
        <v>3</v>
      </c>
      <c r="M287" s="1">
        <v>17</v>
      </c>
      <c r="N287" s="1">
        <v>3</v>
      </c>
      <c r="O287" s="1">
        <v>17</v>
      </c>
      <c r="P287" s="1">
        <f>COUNTIF(HR_Data[Employee Number],HR_Data[[#This Row],[Employee Number]])</f>
        <v>1</v>
      </c>
      <c r="Q287" s="1" t="str">
        <f>IF(HR_Data[[#This Row],[Years At Company]]&lt;=HR_Data[[#This Row],[Total Working Years]],"Valid","error")</f>
        <v>Valid</v>
      </c>
      <c r="R287" s="1" t="str" cm="1">
        <f t="array" ref="R287">_xlfn.IFS(HR_Data[[#This Row],[Age]]&lt;=30,"Young", HR_Data[[#This Row],[Age]]&lt;=45,"Mid-Age",HR_Data[[#This Row],[Age]]&gt;45,"Senior")</f>
        <v>Mid-Age</v>
      </c>
      <c r="S287" s="1" t="str" cm="1">
        <f t="array" ref="S287">_xlfn.IFS(HR_Data[[#This Row],[Monthly Income]]&lt;5000,"Low", HR_Data[[#This Row],[Monthly Income]]&lt;10000,"Medium",TRUE,"High")</f>
        <v>Low</v>
      </c>
      <c r="T287" s="1" t="str" cm="1">
        <f t="array" ref="T287">_xlfn.IFS(HR_Data[[#This Row],[Total Working Years]]&lt;=5,"Junior", HR_Data[[#This Row],[Total Working Years]]&lt;=15,"Mid-Level", TRUE, "Senior")</f>
        <v>Senior</v>
      </c>
    </row>
    <row r="288" spans="1:20" x14ac:dyDescent="0.25">
      <c r="A288" s="1">
        <v>392</v>
      </c>
      <c r="B288" s="1">
        <v>44</v>
      </c>
      <c r="C288" t="s">
        <v>4</v>
      </c>
      <c r="D288" t="s">
        <v>10</v>
      </c>
      <c r="E288" t="s">
        <v>6</v>
      </c>
      <c r="F288" t="s">
        <v>11</v>
      </c>
      <c r="G288" t="s">
        <v>14</v>
      </c>
      <c r="H288" s="1">
        <v>3</v>
      </c>
      <c r="I288" s="1">
        <v>3161</v>
      </c>
      <c r="J288" t="s">
        <v>4</v>
      </c>
      <c r="K288" s="1">
        <v>22</v>
      </c>
      <c r="L288" s="1">
        <v>4</v>
      </c>
      <c r="M288" s="1">
        <v>19</v>
      </c>
      <c r="N288" s="1">
        <v>1</v>
      </c>
      <c r="O288" s="1">
        <v>1</v>
      </c>
      <c r="P288" s="1">
        <f>COUNTIF(HR_Data[Employee Number],HR_Data[[#This Row],[Employee Number]])</f>
        <v>1</v>
      </c>
      <c r="Q288" s="1" t="str">
        <f>IF(HR_Data[[#This Row],[Years At Company]]&lt;=HR_Data[[#This Row],[Total Working Years]],"Valid","error")</f>
        <v>Valid</v>
      </c>
      <c r="R288" s="1" t="str" cm="1">
        <f t="array" ref="R288">_xlfn.IFS(HR_Data[[#This Row],[Age]]&lt;=30,"Young", HR_Data[[#This Row],[Age]]&lt;=45,"Mid-Age",HR_Data[[#This Row],[Age]]&gt;45,"Senior")</f>
        <v>Mid-Age</v>
      </c>
      <c r="S288" s="1" t="str" cm="1">
        <f t="array" ref="S288">_xlfn.IFS(HR_Data[[#This Row],[Monthly Income]]&lt;5000,"Low", HR_Data[[#This Row],[Monthly Income]]&lt;10000,"Medium",TRUE,"High")</f>
        <v>Low</v>
      </c>
      <c r="T288" s="1" t="str" cm="1">
        <f t="array" ref="T288">_xlfn.IFS(HR_Data[[#This Row],[Total Working Years]]&lt;=5,"Junior", HR_Data[[#This Row],[Total Working Years]]&lt;=15,"Mid-Level", TRUE, "Senior")</f>
        <v>Senior</v>
      </c>
    </row>
    <row r="289" spans="1:20" x14ac:dyDescent="0.25">
      <c r="A289" s="1">
        <v>393</v>
      </c>
      <c r="B289" s="1">
        <v>38</v>
      </c>
      <c r="C289" t="s">
        <v>9</v>
      </c>
      <c r="D289" t="s">
        <v>10</v>
      </c>
      <c r="E289" t="s">
        <v>6</v>
      </c>
      <c r="F289" t="s">
        <v>11</v>
      </c>
      <c r="G289" t="s">
        <v>17</v>
      </c>
      <c r="H289" s="1">
        <v>4</v>
      </c>
      <c r="I289" s="1">
        <v>5745</v>
      </c>
      <c r="J289" t="s">
        <v>9</v>
      </c>
      <c r="K289" s="1">
        <v>14</v>
      </c>
      <c r="L289" s="1">
        <v>3</v>
      </c>
      <c r="M289" s="1">
        <v>10</v>
      </c>
      <c r="N289" s="1">
        <v>3</v>
      </c>
      <c r="O289" s="1">
        <v>2</v>
      </c>
      <c r="P289" s="1">
        <f>COUNTIF(HR_Data[Employee Number],HR_Data[[#This Row],[Employee Number]])</f>
        <v>1</v>
      </c>
      <c r="Q289" s="1" t="str">
        <f>IF(HR_Data[[#This Row],[Years At Company]]&lt;=HR_Data[[#This Row],[Total Working Years]],"Valid","error")</f>
        <v>Valid</v>
      </c>
      <c r="R289" s="1" t="str" cm="1">
        <f t="array" ref="R289">_xlfn.IFS(HR_Data[[#This Row],[Age]]&lt;=30,"Young", HR_Data[[#This Row],[Age]]&lt;=45,"Mid-Age",HR_Data[[#This Row],[Age]]&gt;45,"Senior")</f>
        <v>Mid-Age</v>
      </c>
      <c r="S289" s="1" t="str" cm="1">
        <f t="array" ref="S289">_xlfn.IFS(HR_Data[[#This Row],[Monthly Income]]&lt;5000,"Low", HR_Data[[#This Row],[Monthly Income]]&lt;10000,"Medium",TRUE,"High")</f>
        <v>Medium</v>
      </c>
      <c r="T289" s="1" t="str" cm="1">
        <f t="array" ref="T289">_xlfn.IFS(HR_Data[[#This Row],[Total Working Years]]&lt;=5,"Junior", HR_Data[[#This Row],[Total Working Years]]&lt;=15,"Mid-Level", TRUE, "Senior")</f>
        <v>Mid-Level</v>
      </c>
    </row>
    <row r="290" spans="1:20" x14ac:dyDescent="0.25">
      <c r="A290" s="1">
        <v>394</v>
      </c>
      <c r="B290" s="1">
        <v>26</v>
      </c>
      <c r="C290" t="s">
        <v>4</v>
      </c>
      <c r="D290" t="s">
        <v>10</v>
      </c>
      <c r="E290" t="s">
        <v>15</v>
      </c>
      <c r="F290" t="s">
        <v>11</v>
      </c>
      <c r="G290" t="s">
        <v>14</v>
      </c>
      <c r="H290" s="1">
        <v>2</v>
      </c>
      <c r="I290" s="1">
        <v>2373</v>
      </c>
      <c r="J290" t="s">
        <v>4</v>
      </c>
      <c r="K290" s="1">
        <v>13</v>
      </c>
      <c r="L290" s="1">
        <v>3</v>
      </c>
      <c r="M290" s="1">
        <v>5</v>
      </c>
      <c r="N290" s="1">
        <v>3</v>
      </c>
      <c r="O290" s="1">
        <v>3</v>
      </c>
      <c r="P290" s="1">
        <f>COUNTIF(HR_Data[Employee Number],HR_Data[[#This Row],[Employee Number]])</f>
        <v>1</v>
      </c>
      <c r="Q290" s="1" t="str">
        <f>IF(HR_Data[[#This Row],[Years At Company]]&lt;=HR_Data[[#This Row],[Total Working Years]],"Valid","error")</f>
        <v>Valid</v>
      </c>
      <c r="R290" s="1" t="str" cm="1">
        <f t="array" ref="R290">_xlfn.IFS(HR_Data[[#This Row],[Age]]&lt;=30,"Young", HR_Data[[#This Row],[Age]]&lt;=45,"Mid-Age",HR_Data[[#This Row],[Age]]&gt;45,"Senior")</f>
        <v>Young</v>
      </c>
      <c r="S290" s="1" t="str" cm="1">
        <f t="array" ref="S290">_xlfn.IFS(HR_Data[[#This Row],[Monthly Income]]&lt;5000,"Low", HR_Data[[#This Row],[Monthly Income]]&lt;10000,"Medium",TRUE,"High")</f>
        <v>Low</v>
      </c>
      <c r="T290" s="1" t="str" cm="1">
        <f t="array" ref="T290">_xlfn.IFS(HR_Data[[#This Row],[Total Working Years]]&lt;=5,"Junior", HR_Data[[#This Row],[Total Working Years]]&lt;=15,"Mid-Level", TRUE, "Senior")</f>
        <v>Junior</v>
      </c>
    </row>
    <row r="291" spans="1:20" x14ac:dyDescent="0.25">
      <c r="A291" s="1">
        <v>395</v>
      </c>
      <c r="B291" s="1">
        <v>28</v>
      </c>
      <c r="C291" t="s">
        <v>9</v>
      </c>
      <c r="D291" t="s">
        <v>10</v>
      </c>
      <c r="E291" t="s">
        <v>6</v>
      </c>
      <c r="F291" t="s">
        <v>7</v>
      </c>
      <c r="G291" t="s">
        <v>12</v>
      </c>
      <c r="H291" s="1">
        <v>4</v>
      </c>
      <c r="I291" s="1">
        <v>3310</v>
      </c>
      <c r="J291" t="s">
        <v>9</v>
      </c>
      <c r="K291" s="1">
        <v>21</v>
      </c>
      <c r="L291" s="1">
        <v>4</v>
      </c>
      <c r="M291" s="1">
        <v>5</v>
      </c>
      <c r="N291" s="1">
        <v>3</v>
      </c>
      <c r="O291" s="1">
        <v>5</v>
      </c>
      <c r="P291" s="1">
        <f>COUNTIF(HR_Data[Employee Number],HR_Data[[#This Row],[Employee Number]])</f>
        <v>1</v>
      </c>
      <c r="Q291" s="1" t="str">
        <f>IF(HR_Data[[#This Row],[Years At Company]]&lt;=HR_Data[[#This Row],[Total Working Years]],"Valid","error")</f>
        <v>Valid</v>
      </c>
      <c r="R291" s="1" t="str" cm="1">
        <f t="array" ref="R291">_xlfn.IFS(HR_Data[[#This Row],[Age]]&lt;=30,"Young", HR_Data[[#This Row],[Age]]&lt;=45,"Mid-Age",HR_Data[[#This Row],[Age]]&gt;45,"Senior")</f>
        <v>Young</v>
      </c>
      <c r="S291" s="1" t="str" cm="1">
        <f t="array" ref="S291">_xlfn.IFS(HR_Data[[#This Row],[Monthly Income]]&lt;5000,"Low", HR_Data[[#This Row],[Monthly Income]]&lt;10000,"Medium",TRUE,"High")</f>
        <v>Low</v>
      </c>
      <c r="T291" s="1" t="str" cm="1">
        <f t="array" ref="T291">_xlfn.IFS(HR_Data[[#This Row],[Total Working Years]]&lt;=5,"Junior", HR_Data[[#This Row],[Total Working Years]]&lt;=15,"Mid-Level", TRUE, "Senior")</f>
        <v>Junior</v>
      </c>
    </row>
    <row r="292" spans="1:20" x14ac:dyDescent="0.25">
      <c r="A292" s="1">
        <v>396</v>
      </c>
      <c r="B292" s="1">
        <v>49</v>
      </c>
      <c r="C292" t="s">
        <v>9</v>
      </c>
      <c r="D292" t="s">
        <v>10</v>
      </c>
      <c r="E292" t="s">
        <v>6</v>
      </c>
      <c r="F292" t="s">
        <v>7</v>
      </c>
      <c r="G292" t="s">
        <v>20</v>
      </c>
      <c r="H292" s="1">
        <v>1</v>
      </c>
      <c r="I292" s="1">
        <v>18665</v>
      </c>
      <c r="J292" t="s">
        <v>4</v>
      </c>
      <c r="K292" s="1">
        <v>11</v>
      </c>
      <c r="L292" s="1">
        <v>3</v>
      </c>
      <c r="M292" s="1">
        <v>22</v>
      </c>
      <c r="N292" s="1">
        <v>3</v>
      </c>
      <c r="O292" s="1">
        <v>3</v>
      </c>
      <c r="P292" s="1">
        <f>COUNTIF(HR_Data[Employee Number],HR_Data[[#This Row],[Employee Number]])</f>
        <v>1</v>
      </c>
      <c r="Q292" s="1" t="str">
        <f>IF(HR_Data[[#This Row],[Years At Company]]&lt;=HR_Data[[#This Row],[Total Working Years]],"Valid","error")</f>
        <v>Valid</v>
      </c>
      <c r="R292" s="1" t="str" cm="1">
        <f t="array" ref="R292">_xlfn.IFS(HR_Data[[#This Row],[Age]]&lt;=30,"Young", HR_Data[[#This Row],[Age]]&lt;=45,"Mid-Age",HR_Data[[#This Row],[Age]]&gt;45,"Senior")</f>
        <v>Senior</v>
      </c>
      <c r="S292" s="1" t="str" cm="1">
        <f t="array" ref="S292">_xlfn.IFS(HR_Data[[#This Row],[Monthly Income]]&lt;5000,"Low", HR_Data[[#This Row],[Monthly Income]]&lt;10000,"Medium",TRUE,"High")</f>
        <v>High</v>
      </c>
      <c r="T292" s="1" t="str" cm="1">
        <f t="array" ref="T292">_xlfn.IFS(HR_Data[[#This Row],[Total Working Years]]&lt;=5,"Junior", HR_Data[[#This Row],[Total Working Years]]&lt;=15,"Mid-Level", TRUE, "Senior")</f>
        <v>Senior</v>
      </c>
    </row>
    <row r="293" spans="1:20" x14ac:dyDescent="0.25">
      <c r="A293" s="1">
        <v>397</v>
      </c>
      <c r="B293" s="1">
        <v>36</v>
      </c>
      <c r="C293" t="s">
        <v>9</v>
      </c>
      <c r="D293" t="s">
        <v>10</v>
      </c>
      <c r="E293" t="s">
        <v>22</v>
      </c>
      <c r="F293" t="s">
        <v>11</v>
      </c>
      <c r="G293" t="s">
        <v>12</v>
      </c>
      <c r="H293" s="1">
        <v>2</v>
      </c>
      <c r="I293" s="1">
        <v>4485</v>
      </c>
      <c r="J293" t="s">
        <v>9</v>
      </c>
      <c r="K293" s="1">
        <v>12</v>
      </c>
      <c r="L293" s="1">
        <v>3</v>
      </c>
      <c r="M293" s="1">
        <v>10</v>
      </c>
      <c r="N293" s="1">
        <v>3</v>
      </c>
      <c r="O293" s="1">
        <v>8</v>
      </c>
      <c r="P293" s="1">
        <f>COUNTIF(HR_Data[Employee Number],HR_Data[[#This Row],[Employee Number]])</f>
        <v>1</v>
      </c>
      <c r="Q293" s="1" t="str">
        <f>IF(HR_Data[[#This Row],[Years At Company]]&lt;=HR_Data[[#This Row],[Total Working Years]],"Valid","error")</f>
        <v>Valid</v>
      </c>
      <c r="R293" s="1" t="str" cm="1">
        <f t="array" ref="R293">_xlfn.IFS(HR_Data[[#This Row],[Age]]&lt;=30,"Young", HR_Data[[#This Row],[Age]]&lt;=45,"Mid-Age",HR_Data[[#This Row],[Age]]&gt;45,"Senior")</f>
        <v>Mid-Age</v>
      </c>
      <c r="S293" s="1" t="str" cm="1">
        <f t="array" ref="S293">_xlfn.IFS(HR_Data[[#This Row],[Monthly Income]]&lt;5000,"Low", HR_Data[[#This Row],[Monthly Income]]&lt;10000,"Medium",TRUE,"High")</f>
        <v>Low</v>
      </c>
      <c r="T293" s="1" t="str" cm="1">
        <f t="array" ref="T293">_xlfn.IFS(HR_Data[[#This Row],[Total Working Years]]&lt;=5,"Junior", HR_Data[[#This Row],[Total Working Years]]&lt;=15,"Mid-Level", TRUE, "Senior")</f>
        <v>Mid-Level</v>
      </c>
    </row>
    <row r="294" spans="1:20" x14ac:dyDescent="0.25">
      <c r="A294" s="1">
        <v>399</v>
      </c>
      <c r="B294" s="1">
        <v>31</v>
      </c>
      <c r="C294" t="s">
        <v>9</v>
      </c>
      <c r="D294" t="s">
        <v>5</v>
      </c>
      <c r="E294" t="s">
        <v>21</v>
      </c>
      <c r="F294" t="s">
        <v>7</v>
      </c>
      <c r="G294" t="s">
        <v>19</v>
      </c>
      <c r="H294" s="1">
        <v>2</v>
      </c>
      <c r="I294" s="1">
        <v>2789</v>
      </c>
      <c r="J294" t="s">
        <v>9</v>
      </c>
      <c r="K294" s="1">
        <v>11</v>
      </c>
      <c r="L294" s="1">
        <v>3</v>
      </c>
      <c r="M294" s="1">
        <v>2</v>
      </c>
      <c r="N294" s="1">
        <v>2</v>
      </c>
      <c r="O294" s="1">
        <v>2</v>
      </c>
      <c r="P294" s="1">
        <f>COUNTIF(HR_Data[Employee Number],HR_Data[[#This Row],[Employee Number]])</f>
        <v>1</v>
      </c>
      <c r="Q294" s="1" t="str">
        <f>IF(HR_Data[[#This Row],[Years At Company]]&lt;=HR_Data[[#This Row],[Total Working Years]],"Valid","error")</f>
        <v>Valid</v>
      </c>
      <c r="R294" s="1" t="str" cm="1">
        <f t="array" ref="R294">_xlfn.IFS(HR_Data[[#This Row],[Age]]&lt;=30,"Young", HR_Data[[#This Row],[Age]]&lt;=45,"Mid-Age",HR_Data[[#This Row],[Age]]&gt;45,"Senior")</f>
        <v>Mid-Age</v>
      </c>
      <c r="S294" s="1" t="str" cm="1">
        <f t="array" ref="S294">_xlfn.IFS(HR_Data[[#This Row],[Monthly Income]]&lt;5000,"Low", HR_Data[[#This Row],[Monthly Income]]&lt;10000,"Medium",TRUE,"High")</f>
        <v>Low</v>
      </c>
      <c r="T294" s="1" t="str" cm="1">
        <f t="array" ref="T294">_xlfn.IFS(HR_Data[[#This Row],[Total Working Years]]&lt;=5,"Junior", HR_Data[[#This Row],[Total Working Years]]&lt;=15,"Mid-Level", TRUE, "Senior")</f>
        <v>Junior</v>
      </c>
    </row>
    <row r="295" spans="1:20" x14ac:dyDescent="0.25">
      <c r="A295" s="1">
        <v>401</v>
      </c>
      <c r="B295" s="1">
        <v>26</v>
      </c>
      <c r="C295" t="s">
        <v>4</v>
      </c>
      <c r="D295" t="s">
        <v>5</v>
      </c>
      <c r="E295" t="s">
        <v>21</v>
      </c>
      <c r="F295" t="s">
        <v>11</v>
      </c>
      <c r="G295" t="s">
        <v>8</v>
      </c>
      <c r="H295" s="1">
        <v>4</v>
      </c>
      <c r="I295" s="1">
        <v>5828</v>
      </c>
      <c r="J295" t="s">
        <v>4</v>
      </c>
      <c r="K295" s="1">
        <v>12</v>
      </c>
      <c r="L295" s="1">
        <v>3</v>
      </c>
      <c r="M295" s="1">
        <v>8</v>
      </c>
      <c r="N295" s="1">
        <v>3</v>
      </c>
      <c r="O295" s="1">
        <v>8</v>
      </c>
      <c r="P295" s="1">
        <f>COUNTIF(HR_Data[Employee Number],HR_Data[[#This Row],[Employee Number]])</f>
        <v>1</v>
      </c>
      <c r="Q295" s="1" t="str">
        <f>IF(HR_Data[[#This Row],[Years At Company]]&lt;=HR_Data[[#This Row],[Total Working Years]],"Valid","error")</f>
        <v>Valid</v>
      </c>
      <c r="R295" s="1" t="str" cm="1">
        <f t="array" ref="R295">_xlfn.IFS(HR_Data[[#This Row],[Age]]&lt;=30,"Young", HR_Data[[#This Row],[Age]]&lt;=45,"Mid-Age",HR_Data[[#This Row],[Age]]&gt;45,"Senior")</f>
        <v>Young</v>
      </c>
      <c r="S295" s="1" t="str" cm="1">
        <f t="array" ref="S295">_xlfn.IFS(HR_Data[[#This Row],[Monthly Income]]&lt;5000,"Low", HR_Data[[#This Row],[Monthly Income]]&lt;10000,"Medium",TRUE,"High")</f>
        <v>Medium</v>
      </c>
      <c r="T295" s="1" t="str" cm="1">
        <f t="array" ref="T295">_xlfn.IFS(HR_Data[[#This Row],[Total Working Years]]&lt;=5,"Junior", HR_Data[[#This Row],[Total Working Years]]&lt;=15,"Mid-Level", TRUE, "Senior")</f>
        <v>Mid-Level</v>
      </c>
    </row>
    <row r="296" spans="1:20" x14ac:dyDescent="0.25">
      <c r="A296" s="1">
        <v>403</v>
      </c>
      <c r="B296" s="1">
        <v>37</v>
      </c>
      <c r="C296" t="s">
        <v>9</v>
      </c>
      <c r="D296" t="s">
        <v>10</v>
      </c>
      <c r="E296" t="s">
        <v>15</v>
      </c>
      <c r="F296" t="s">
        <v>11</v>
      </c>
      <c r="G296" t="s">
        <v>12</v>
      </c>
      <c r="H296" s="1">
        <v>4</v>
      </c>
      <c r="I296" s="1">
        <v>2326</v>
      </c>
      <c r="J296" t="s">
        <v>4</v>
      </c>
      <c r="K296" s="1">
        <v>12</v>
      </c>
      <c r="L296" s="1">
        <v>3</v>
      </c>
      <c r="M296" s="1">
        <v>4</v>
      </c>
      <c r="N296" s="1">
        <v>2</v>
      </c>
      <c r="O296" s="1">
        <v>4</v>
      </c>
      <c r="P296" s="1">
        <f>COUNTIF(HR_Data[Employee Number],HR_Data[[#This Row],[Employee Number]])</f>
        <v>1</v>
      </c>
      <c r="Q296" s="1" t="str">
        <f>IF(HR_Data[[#This Row],[Years At Company]]&lt;=HR_Data[[#This Row],[Total Working Years]],"Valid","error")</f>
        <v>Valid</v>
      </c>
      <c r="R296" s="1" t="str" cm="1">
        <f t="array" ref="R296">_xlfn.IFS(HR_Data[[#This Row],[Age]]&lt;=30,"Young", HR_Data[[#This Row],[Age]]&lt;=45,"Mid-Age",HR_Data[[#This Row],[Age]]&gt;45,"Senior")</f>
        <v>Mid-Age</v>
      </c>
      <c r="S296" s="1" t="str" cm="1">
        <f t="array" ref="S296">_xlfn.IFS(HR_Data[[#This Row],[Monthly Income]]&lt;5000,"Low", HR_Data[[#This Row],[Monthly Income]]&lt;10000,"Medium",TRUE,"High")</f>
        <v>Low</v>
      </c>
      <c r="T296" s="1" t="str" cm="1">
        <f t="array" ref="T296">_xlfn.IFS(HR_Data[[#This Row],[Total Working Years]]&lt;=5,"Junior", HR_Data[[#This Row],[Total Working Years]]&lt;=15,"Mid-Level", TRUE, "Senior")</f>
        <v>Junior</v>
      </c>
    </row>
    <row r="297" spans="1:20" x14ac:dyDescent="0.25">
      <c r="A297" s="1">
        <v>404</v>
      </c>
      <c r="B297" s="1">
        <v>42</v>
      </c>
      <c r="C297" t="s">
        <v>9</v>
      </c>
      <c r="D297" t="s">
        <v>5</v>
      </c>
      <c r="E297" t="s">
        <v>21</v>
      </c>
      <c r="F297" t="s">
        <v>7</v>
      </c>
      <c r="G297" t="s">
        <v>8</v>
      </c>
      <c r="H297" s="1">
        <v>2</v>
      </c>
      <c r="I297" s="1">
        <v>13525</v>
      </c>
      <c r="J297" t="s">
        <v>9</v>
      </c>
      <c r="K297" s="1">
        <v>14</v>
      </c>
      <c r="L297" s="1">
        <v>3</v>
      </c>
      <c r="M297" s="1">
        <v>23</v>
      </c>
      <c r="N297" s="1">
        <v>4</v>
      </c>
      <c r="O297" s="1">
        <v>20</v>
      </c>
      <c r="P297" s="1">
        <f>COUNTIF(HR_Data[Employee Number],HR_Data[[#This Row],[Employee Number]])</f>
        <v>1</v>
      </c>
      <c r="Q297" s="1" t="str">
        <f>IF(HR_Data[[#This Row],[Years At Company]]&lt;=HR_Data[[#This Row],[Total Working Years]],"Valid","error")</f>
        <v>Valid</v>
      </c>
      <c r="R297" s="1" t="str" cm="1">
        <f t="array" ref="R297">_xlfn.IFS(HR_Data[[#This Row],[Age]]&lt;=30,"Young", HR_Data[[#This Row],[Age]]&lt;=45,"Mid-Age",HR_Data[[#This Row],[Age]]&gt;45,"Senior")</f>
        <v>Mid-Age</v>
      </c>
      <c r="S297" s="1" t="str" cm="1">
        <f t="array" ref="S297">_xlfn.IFS(HR_Data[[#This Row],[Monthly Income]]&lt;5000,"Low", HR_Data[[#This Row],[Monthly Income]]&lt;10000,"Medium",TRUE,"High")</f>
        <v>High</v>
      </c>
      <c r="T297" s="1" t="str" cm="1">
        <f t="array" ref="T297">_xlfn.IFS(HR_Data[[#This Row],[Total Working Years]]&lt;=5,"Junior", HR_Data[[#This Row],[Total Working Years]]&lt;=15,"Mid-Level", TRUE, "Senior")</f>
        <v>Senior</v>
      </c>
    </row>
    <row r="298" spans="1:20" x14ac:dyDescent="0.25">
      <c r="A298" s="1">
        <v>405</v>
      </c>
      <c r="B298" s="1">
        <v>18</v>
      </c>
      <c r="C298" t="s">
        <v>4</v>
      </c>
      <c r="D298" t="s">
        <v>10</v>
      </c>
      <c r="E298" t="s">
        <v>6</v>
      </c>
      <c r="F298" t="s">
        <v>11</v>
      </c>
      <c r="G298" t="s">
        <v>14</v>
      </c>
      <c r="H298" s="1">
        <v>3</v>
      </c>
      <c r="I298" s="1">
        <v>1420</v>
      </c>
      <c r="J298" t="s">
        <v>9</v>
      </c>
      <c r="K298" s="1">
        <v>13</v>
      </c>
      <c r="L298" s="1">
        <v>3</v>
      </c>
      <c r="M298" s="1">
        <v>0</v>
      </c>
      <c r="N298" s="1">
        <v>3</v>
      </c>
      <c r="O298" s="1">
        <v>0</v>
      </c>
      <c r="P298" s="1">
        <f>COUNTIF(HR_Data[Employee Number],HR_Data[[#This Row],[Employee Number]])</f>
        <v>1</v>
      </c>
      <c r="Q298" s="1" t="str">
        <f>IF(HR_Data[[#This Row],[Years At Company]]&lt;=HR_Data[[#This Row],[Total Working Years]],"Valid","error")</f>
        <v>Valid</v>
      </c>
      <c r="R298" s="1" t="str" cm="1">
        <f t="array" ref="R298">_xlfn.IFS(HR_Data[[#This Row],[Age]]&lt;=30,"Young", HR_Data[[#This Row],[Age]]&lt;=45,"Mid-Age",HR_Data[[#This Row],[Age]]&gt;45,"Senior")</f>
        <v>Young</v>
      </c>
      <c r="S298" s="1" t="str" cm="1">
        <f t="array" ref="S298">_xlfn.IFS(HR_Data[[#This Row],[Monthly Income]]&lt;5000,"Low", HR_Data[[#This Row],[Monthly Income]]&lt;10000,"Medium",TRUE,"High")</f>
        <v>Low</v>
      </c>
      <c r="T298" s="1" t="str" cm="1">
        <f t="array" ref="T298">_xlfn.IFS(HR_Data[[#This Row],[Total Working Years]]&lt;=5,"Junior", HR_Data[[#This Row],[Total Working Years]]&lt;=15,"Mid-Level", TRUE, "Senior")</f>
        <v>Junior</v>
      </c>
    </row>
    <row r="299" spans="1:20" x14ac:dyDescent="0.25">
      <c r="A299" s="1">
        <v>406</v>
      </c>
      <c r="B299" s="1">
        <v>35</v>
      </c>
      <c r="C299" t="s">
        <v>9</v>
      </c>
      <c r="D299" t="s">
        <v>5</v>
      </c>
      <c r="E299" t="s">
        <v>21</v>
      </c>
      <c r="F299" t="s">
        <v>11</v>
      </c>
      <c r="G299" t="s">
        <v>8</v>
      </c>
      <c r="H299" s="1">
        <v>2</v>
      </c>
      <c r="I299" s="1">
        <v>8020</v>
      </c>
      <c r="J299" t="s">
        <v>9</v>
      </c>
      <c r="K299" s="1">
        <v>15</v>
      </c>
      <c r="L299" s="1">
        <v>3</v>
      </c>
      <c r="M299" s="1">
        <v>12</v>
      </c>
      <c r="N299" s="1">
        <v>2</v>
      </c>
      <c r="O299" s="1">
        <v>11</v>
      </c>
      <c r="P299" s="1">
        <f>COUNTIF(HR_Data[Employee Number],HR_Data[[#This Row],[Employee Number]])</f>
        <v>1</v>
      </c>
      <c r="Q299" s="1" t="str">
        <f>IF(HR_Data[[#This Row],[Years At Company]]&lt;=HR_Data[[#This Row],[Total Working Years]],"Valid","error")</f>
        <v>Valid</v>
      </c>
      <c r="R299" s="1" t="str" cm="1">
        <f t="array" ref="R299">_xlfn.IFS(HR_Data[[#This Row],[Age]]&lt;=30,"Young", HR_Data[[#This Row],[Age]]&lt;=45,"Mid-Age",HR_Data[[#This Row],[Age]]&gt;45,"Senior")</f>
        <v>Mid-Age</v>
      </c>
      <c r="S299" s="1" t="str" cm="1">
        <f t="array" ref="S299">_xlfn.IFS(HR_Data[[#This Row],[Monthly Income]]&lt;5000,"Low", HR_Data[[#This Row],[Monthly Income]]&lt;10000,"Medium",TRUE,"High")</f>
        <v>Medium</v>
      </c>
      <c r="T299" s="1" t="str" cm="1">
        <f t="array" ref="T299">_xlfn.IFS(HR_Data[[#This Row],[Total Working Years]]&lt;=5,"Junior", HR_Data[[#This Row],[Total Working Years]]&lt;=15,"Mid-Level", TRUE, "Senior")</f>
        <v>Mid-Level</v>
      </c>
    </row>
    <row r="300" spans="1:20" x14ac:dyDescent="0.25">
      <c r="A300" s="1">
        <v>407</v>
      </c>
      <c r="B300" s="1">
        <v>36</v>
      </c>
      <c r="C300" t="s">
        <v>9</v>
      </c>
      <c r="D300" t="s">
        <v>10</v>
      </c>
      <c r="E300" t="s">
        <v>6</v>
      </c>
      <c r="F300" t="s">
        <v>11</v>
      </c>
      <c r="G300" t="s">
        <v>14</v>
      </c>
      <c r="H300" s="1">
        <v>4</v>
      </c>
      <c r="I300" s="1">
        <v>3688</v>
      </c>
      <c r="J300" t="s">
        <v>9</v>
      </c>
      <c r="K300" s="1">
        <v>18</v>
      </c>
      <c r="L300" s="1">
        <v>3</v>
      </c>
      <c r="M300" s="1">
        <v>4</v>
      </c>
      <c r="N300" s="1">
        <v>3</v>
      </c>
      <c r="O300" s="1">
        <v>1</v>
      </c>
      <c r="P300" s="1">
        <f>COUNTIF(HR_Data[Employee Number],HR_Data[[#This Row],[Employee Number]])</f>
        <v>1</v>
      </c>
      <c r="Q300" s="1" t="str">
        <f>IF(HR_Data[[#This Row],[Years At Company]]&lt;=HR_Data[[#This Row],[Total Working Years]],"Valid","error")</f>
        <v>Valid</v>
      </c>
      <c r="R300" s="1" t="str" cm="1">
        <f t="array" ref="R300">_xlfn.IFS(HR_Data[[#This Row],[Age]]&lt;=30,"Young", HR_Data[[#This Row],[Age]]&lt;=45,"Mid-Age",HR_Data[[#This Row],[Age]]&gt;45,"Senior")</f>
        <v>Mid-Age</v>
      </c>
      <c r="S300" s="1" t="str" cm="1">
        <f t="array" ref="S300">_xlfn.IFS(HR_Data[[#This Row],[Monthly Income]]&lt;5000,"Low", HR_Data[[#This Row],[Monthly Income]]&lt;10000,"Medium",TRUE,"High")</f>
        <v>Low</v>
      </c>
      <c r="T300" s="1" t="str" cm="1">
        <f t="array" ref="T300">_xlfn.IFS(HR_Data[[#This Row],[Total Working Years]]&lt;=5,"Junior", HR_Data[[#This Row],[Total Working Years]]&lt;=15,"Mid-Level", TRUE, "Senior")</f>
        <v>Junior</v>
      </c>
    </row>
    <row r="301" spans="1:20" x14ac:dyDescent="0.25">
      <c r="A301" s="1">
        <v>408</v>
      </c>
      <c r="B301" s="1">
        <v>51</v>
      </c>
      <c r="C301" t="s">
        <v>9</v>
      </c>
      <c r="D301" t="s">
        <v>10</v>
      </c>
      <c r="E301" t="s">
        <v>15</v>
      </c>
      <c r="F301" t="s">
        <v>11</v>
      </c>
      <c r="G301" t="s">
        <v>16</v>
      </c>
      <c r="H301" s="1">
        <v>2</v>
      </c>
      <c r="I301" s="1">
        <v>5482</v>
      </c>
      <c r="J301" t="s">
        <v>9</v>
      </c>
      <c r="K301" s="1">
        <v>18</v>
      </c>
      <c r="L301" s="1">
        <v>3</v>
      </c>
      <c r="M301" s="1">
        <v>13</v>
      </c>
      <c r="N301" s="1">
        <v>3</v>
      </c>
      <c r="O301" s="1">
        <v>4</v>
      </c>
      <c r="P301" s="1">
        <f>COUNTIF(HR_Data[Employee Number],HR_Data[[#This Row],[Employee Number]])</f>
        <v>1</v>
      </c>
      <c r="Q301" s="1" t="str">
        <f>IF(HR_Data[[#This Row],[Years At Company]]&lt;=HR_Data[[#This Row],[Total Working Years]],"Valid","error")</f>
        <v>Valid</v>
      </c>
      <c r="R301" s="1" t="str" cm="1">
        <f t="array" ref="R301">_xlfn.IFS(HR_Data[[#This Row],[Age]]&lt;=30,"Young", HR_Data[[#This Row],[Age]]&lt;=45,"Mid-Age",HR_Data[[#This Row],[Age]]&gt;45,"Senior")</f>
        <v>Senior</v>
      </c>
      <c r="S301" s="1" t="str" cm="1">
        <f t="array" ref="S301">_xlfn.IFS(HR_Data[[#This Row],[Monthly Income]]&lt;5000,"Low", HR_Data[[#This Row],[Monthly Income]]&lt;10000,"Medium",TRUE,"High")</f>
        <v>Medium</v>
      </c>
      <c r="T301" s="1" t="str" cm="1">
        <f t="array" ref="T301">_xlfn.IFS(HR_Data[[#This Row],[Total Working Years]]&lt;=5,"Junior", HR_Data[[#This Row],[Total Working Years]]&lt;=15,"Mid-Level", TRUE, "Senior")</f>
        <v>Mid-Level</v>
      </c>
    </row>
    <row r="302" spans="1:20" x14ac:dyDescent="0.25">
      <c r="A302" s="1">
        <v>410</v>
      </c>
      <c r="B302" s="1">
        <v>41</v>
      </c>
      <c r="C302" t="s">
        <v>9</v>
      </c>
      <c r="D302" t="s">
        <v>5</v>
      </c>
      <c r="E302" t="s">
        <v>6</v>
      </c>
      <c r="F302" t="s">
        <v>11</v>
      </c>
      <c r="G302" t="s">
        <v>18</v>
      </c>
      <c r="H302" s="1">
        <v>2</v>
      </c>
      <c r="I302" s="1">
        <v>16015</v>
      </c>
      <c r="J302" t="s">
        <v>9</v>
      </c>
      <c r="K302" s="1">
        <v>19</v>
      </c>
      <c r="L302" s="1">
        <v>3</v>
      </c>
      <c r="M302" s="1">
        <v>22</v>
      </c>
      <c r="N302" s="1">
        <v>3</v>
      </c>
      <c r="O302" s="1">
        <v>22</v>
      </c>
      <c r="P302" s="1">
        <f>COUNTIF(HR_Data[Employee Number],HR_Data[[#This Row],[Employee Number]])</f>
        <v>1</v>
      </c>
      <c r="Q302" s="1" t="str">
        <f>IF(HR_Data[[#This Row],[Years At Company]]&lt;=HR_Data[[#This Row],[Total Working Years]],"Valid","error")</f>
        <v>Valid</v>
      </c>
      <c r="R302" s="1" t="str" cm="1">
        <f t="array" ref="R302">_xlfn.IFS(HR_Data[[#This Row],[Age]]&lt;=30,"Young", HR_Data[[#This Row],[Age]]&lt;=45,"Mid-Age",HR_Data[[#This Row],[Age]]&gt;45,"Senior")</f>
        <v>Mid-Age</v>
      </c>
      <c r="S302" s="1" t="str" cm="1">
        <f t="array" ref="S302">_xlfn.IFS(HR_Data[[#This Row],[Monthly Income]]&lt;5000,"Low", HR_Data[[#This Row],[Monthly Income]]&lt;10000,"Medium",TRUE,"High")</f>
        <v>High</v>
      </c>
      <c r="T302" s="1" t="str" cm="1">
        <f t="array" ref="T302">_xlfn.IFS(HR_Data[[#This Row],[Total Working Years]]&lt;=5,"Junior", HR_Data[[#This Row],[Total Working Years]]&lt;=15,"Mid-Level", TRUE, "Senior")</f>
        <v>Senior</v>
      </c>
    </row>
    <row r="303" spans="1:20" x14ac:dyDescent="0.25">
      <c r="A303" s="1">
        <v>411</v>
      </c>
      <c r="B303" s="1">
        <v>18</v>
      </c>
      <c r="C303" t="s">
        <v>9</v>
      </c>
      <c r="D303" t="s">
        <v>5</v>
      </c>
      <c r="E303" t="s">
        <v>15</v>
      </c>
      <c r="F303" t="s">
        <v>7</v>
      </c>
      <c r="G303" t="s">
        <v>19</v>
      </c>
      <c r="H303" s="1">
        <v>3</v>
      </c>
      <c r="I303" s="1">
        <v>1200</v>
      </c>
      <c r="J303" t="s">
        <v>9</v>
      </c>
      <c r="K303" s="1">
        <v>12</v>
      </c>
      <c r="L303" s="1">
        <v>3</v>
      </c>
      <c r="M303" s="1">
        <v>0</v>
      </c>
      <c r="N303" s="1">
        <v>3</v>
      </c>
      <c r="O303" s="1">
        <v>0</v>
      </c>
      <c r="P303" s="1">
        <f>COUNTIF(HR_Data[Employee Number],HR_Data[[#This Row],[Employee Number]])</f>
        <v>1</v>
      </c>
      <c r="Q303" s="1" t="str">
        <f>IF(HR_Data[[#This Row],[Years At Company]]&lt;=HR_Data[[#This Row],[Total Working Years]],"Valid","error")</f>
        <v>Valid</v>
      </c>
      <c r="R303" s="1" t="str" cm="1">
        <f t="array" ref="R303">_xlfn.IFS(HR_Data[[#This Row],[Age]]&lt;=30,"Young", HR_Data[[#This Row],[Age]]&lt;=45,"Mid-Age",HR_Data[[#This Row],[Age]]&gt;45,"Senior")</f>
        <v>Young</v>
      </c>
      <c r="S303" s="1" t="str" cm="1">
        <f t="array" ref="S303">_xlfn.IFS(HR_Data[[#This Row],[Monthly Income]]&lt;5000,"Low", HR_Data[[#This Row],[Monthly Income]]&lt;10000,"Medium",TRUE,"High")</f>
        <v>Low</v>
      </c>
      <c r="T303" s="1" t="str" cm="1">
        <f t="array" ref="T303">_xlfn.IFS(HR_Data[[#This Row],[Total Working Years]]&lt;=5,"Junior", HR_Data[[#This Row],[Total Working Years]]&lt;=15,"Mid-Level", TRUE, "Senior")</f>
        <v>Junior</v>
      </c>
    </row>
    <row r="304" spans="1:20" x14ac:dyDescent="0.25">
      <c r="A304" s="1">
        <v>412</v>
      </c>
      <c r="B304" s="1">
        <v>28</v>
      </c>
      <c r="C304" t="s">
        <v>9</v>
      </c>
      <c r="D304" t="s">
        <v>10</v>
      </c>
      <c r="E304" t="s">
        <v>15</v>
      </c>
      <c r="F304" t="s">
        <v>11</v>
      </c>
      <c r="G304" t="s">
        <v>17</v>
      </c>
      <c r="H304" s="1">
        <v>1</v>
      </c>
      <c r="I304" s="1">
        <v>5661</v>
      </c>
      <c r="J304" t="s">
        <v>9</v>
      </c>
      <c r="K304" s="1">
        <v>19</v>
      </c>
      <c r="L304" s="1">
        <v>3</v>
      </c>
      <c r="M304" s="1">
        <v>9</v>
      </c>
      <c r="N304" s="1">
        <v>3</v>
      </c>
      <c r="O304" s="1">
        <v>8</v>
      </c>
      <c r="P304" s="1">
        <f>COUNTIF(HR_Data[Employee Number],HR_Data[[#This Row],[Employee Number]])</f>
        <v>1</v>
      </c>
      <c r="Q304" s="1" t="str">
        <f>IF(HR_Data[[#This Row],[Years At Company]]&lt;=HR_Data[[#This Row],[Total Working Years]],"Valid","error")</f>
        <v>Valid</v>
      </c>
      <c r="R304" s="1" t="str" cm="1">
        <f t="array" ref="R304">_xlfn.IFS(HR_Data[[#This Row],[Age]]&lt;=30,"Young", HR_Data[[#This Row],[Age]]&lt;=45,"Mid-Age",HR_Data[[#This Row],[Age]]&gt;45,"Senior")</f>
        <v>Young</v>
      </c>
      <c r="S304" s="1" t="str" cm="1">
        <f t="array" ref="S304">_xlfn.IFS(HR_Data[[#This Row],[Monthly Income]]&lt;5000,"Low", HR_Data[[#This Row],[Monthly Income]]&lt;10000,"Medium",TRUE,"High")</f>
        <v>Medium</v>
      </c>
      <c r="T304" s="1" t="str" cm="1">
        <f t="array" ref="T304">_xlfn.IFS(HR_Data[[#This Row],[Total Working Years]]&lt;=5,"Junior", HR_Data[[#This Row],[Total Working Years]]&lt;=15,"Mid-Level", TRUE, "Senior")</f>
        <v>Mid-Level</v>
      </c>
    </row>
    <row r="305" spans="1:20" x14ac:dyDescent="0.25">
      <c r="A305" s="1">
        <v>416</v>
      </c>
      <c r="B305" s="1">
        <v>31</v>
      </c>
      <c r="C305" t="s">
        <v>9</v>
      </c>
      <c r="D305" t="s">
        <v>5</v>
      </c>
      <c r="E305" t="s">
        <v>22</v>
      </c>
      <c r="F305" t="s">
        <v>11</v>
      </c>
      <c r="G305" t="s">
        <v>8</v>
      </c>
      <c r="H305" s="1">
        <v>4</v>
      </c>
      <c r="I305" s="1">
        <v>6929</v>
      </c>
      <c r="J305" t="s">
        <v>9</v>
      </c>
      <c r="K305" s="1">
        <v>11</v>
      </c>
      <c r="L305" s="1">
        <v>3</v>
      </c>
      <c r="M305" s="1">
        <v>10</v>
      </c>
      <c r="N305" s="1">
        <v>2</v>
      </c>
      <c r="O305" s="1">
        <v>8</v>
      </c>
      <c r="P305" s="1">
        <f>COUNTIF(HR_Data[Employee Number],HR_Data[[#This Row],[Employee Number]])</f>
        <v>1</v>
      </c>
      <c r="Q305" s="1" t="str">
        <f>IF(HR_Data[[#This Row],[Years At Company]]&lt;=HR_Data[[#This Row],[Total Working Years]],"Valid","error")</f>
        <v>Valid</v>
      </c>
      <c r="R305" s="1" t="str" cm="1">
        <f t="array" ref="R305">_xlfn.IFS(HR_Data[[#This Row],[Age]]&lt;=30,"Young", HR_Data[[#This Row],[Age]]&lt;=45,"Mid-Age",HR_Data[[#This Row],[Age]]&gt;45,"Senior")</f>
        <v>Mid-Age</v>
      </c>
      <c r="S305" s="1" t="str" cm="1">
        <f t="array" ref="S305">_xlfn.IFS(HR_Data[[#This Row],[Monthly Income]]&lt;5000,"Low", HR_Data[[#This Row],[Monthly Income]]&lt;10000,"Medium",TRUE,"High")</f>
        <v>Medium</v>
      </c>
      <c r="T305" s="1" t="str" cm="1">
        <f t="array" ref="T305">_xlfn.IFS(HR_Data[[#This Row],[Total Working Years]]&lt;=5,"Junior", HR_Data[[#This Row],[Total Working Years]]&lt;=15,"Mid-Level", TRUE, "Senior")</f>
        <v>Mid-Level</v>
      </c>
    </row>
    <row r="306" spans="1:20" x14ac:dyDescent="0.25">
      <c r="A306" s="1">
        <v>417</v>
      </c>
      <c r="B306" s="1">
        <v>39</v>
      </c>
      <c r="C306" t="s">
        <v>9</v>
      </c>
      <c r="D306" t="s">
        <v>10</v>
      </c>
      <c r="E306" t="s">
        <v>15</v>
      </c>
      <c r="F306" t="s">
        <v>11</v>
      </c>
      <c r="G306" t="s">
        <v>17</v>
      </c>
      <c r="H306" s="1">
        <v>4</v>
      </c>
      <c r="I306" s="1">
        <v>9613</v>
      </c>
      <c r="J306" t="s">
        <v>9</v>
      </c>
      <c r="K306" s="1">
        <v>17</v>
      </c>
      <c r="L306" s="1">
        <v>3</v>
      </c>
      <c r="M306" s="1">
        <v>19</v>
      </c>
      <c r="N306" s="1">
        <v>2</v>
      </c>
      <c r="O306" s="1">
        <v>18</v>
      </c>
      <c r="P306" s="1">
        <f>COUNTIF(HR_Data[Employee Number],HR_Data[[#This Row],[Employee Number]])</f>
        <v>1</v>
      </c>
      <c r="Q306" s="1" t="str">
        <f>IF(HR_Data[[#This Row],[Years At Company]]&lt;=HR_Data[[#This Row],[Total Working Years]],"Valid","error")</f>
        <v>Valid</v>
      </c>
      <c r="R306" s="1" t="str" cm="1">
        <f t="array" ref="R306">_xlfn.IFS(HR_Data[[#This Row],[Age]]&lt;=30,"Young", HR_Data[[#This Row],[Age]]&lt;=45,"Mid-Age",HR_Data[[#This Row],[Age]]&gt;45,"Senior")</f>
        <v>Mid-Age</v>
      </c>
      <c r="S306" s="1" t="str" cm="1">
        <f t="array" ref="S306">_xlfn.IFS(HR_Data[[#This Row],[Monthly Income]]&lt;5000,"Low", HR_Data[[#This Row],[Monthly Income]]&lt;10000,"Medium",TRUE,"High")</f>
        <v>Medium</v>
      </c>
      <c r="T306" s="1" t="str" cm="1">
        <f t="array" ref="T306">_xlfn.IFS(HR_Data[[#This Row],[Total Working Years]]&lt;=5,"Junior", HR_Data[[#This Row],[Total Working Years]]&lt;=15,"Mid-Level", TRUE, "Senior")</f>
        <v>Senior</v>
      </c>
    </row>
    <row r="307" spans="1:20" x14ac:dyDescent="0.25">
      <c r="A307" s="1">
        <v>419</v>
      </c>
      <c r="B307" s="1">
        <v>36</v>
      </c>
      <c r="C307" t="s">
        <v>9</v>
      </c>
      <c r="D307" t="s">
        <v>10</v>
      </c>
      <c r="E307" t="s">
        <v>6</v>
      </c>
      <c r="F307" t="s">
        <v>7</v>
      </c>
      <c r="G307" t="s">
        <v>14</v>
      </c>
      <c r="H307" s="1">
        <v>2</v>
      </c>
      <c r="I307" s="1">
        <v>5674</v>
      </c>
      <c r="J307" t="s">
        <v>9</v>
      </c>
      <c r="K307" s="1">
        <v>15</v>
      </c>
      <c r="L307" s="1">
        <v>3</v>
      </c>
      <c r="M307" s="1">
        <v>11</v>
      </c>
      <c r="N307" s="1">
        <v>3</v>
      </c>
      <c r="O307" s="1">
        <v>9</v>
      </c>
      <c r="P307" s="1">
        <f>COUNTIF(HR_Data[Employee Number],HR_Data[[#This Row],[Employee Number]])</f>
        <v>1</v>
      </c>
      <c r="Q307" s="1" t="str">
        <f>IF(HR_Data[[#This Row],[Years At Company]]&lt;=HR_Data[[#This Row],[Total Working Years]],"Valid","error")</f>
        <v>Valid</v>
      </c>
      <c r="R307" s="1" t="str" cm="1">
        <f t="array" ref="R307">_xlfn.IFS(HR_Data[[#This Row],[Age]]&lt;=30,"Young", HR_Data[[#This Row],[Age]]&lt;=45,"Mid-Age",HR_Data[[#This Row],[Age]]&gt;45,"Senior")</f>
        <v>Mid-Age</v>
      </c>
      <c r="S307" s="1" t="str" cm="1">
        <f t="array" ref="S307">_xlfn.IFS(HR_Data[[#This Row],[Monthly Income]]&lt;5000,"Low", HR_Data[[#This Row],[Monthly Income]]&lt;10000,"Medium",TRUE,"High")</f>
        <v>Medium</v>
      </c>
      <c r="T307" s="1" t="str" cm="1">
        <f t="array" ref="T307">_xlfn.IFS(HR_Data[[#This Row],[Total Working Years]]&lt;=5,"Junior", HR_Data[[#This Row],[Total Working Years]]&lt;=15,"Mid-Level", TRUE, "Senior")</f>
        <v>Mid-Level</v>
      </c>
    </row>
    <row r="308" spans="1:20" x14ac:dyDescent="0.25">
      <c r="A308" s="1">
        <v>420</v>
      </c>
      <c r="B308" s="1">
        <v>32</v>
      </c>
      <c r="C308" t="s">
        <v>9</v>
      </c>
      <c r="D308" t="s">
        <v>5</v>
      </c>
      <c r="E308" t="s">
        <v>6</v>
      </c>
      <c r="F308" t="s">
        <v>11</v>
      </c>
      <c r="G308" t="s">
        <v>8</v>
      </c>
      <c r="H308" s="1">
        <v>3</v>
      </c>
      <c r="I308" s="1">
        <v>5484</v>
      </c>
      <c r="J308" t="s">
        <v>9</v>
      </c>
      <c r="K308" s="1">
        <v>14</v>
      </c>
      <c r="L308" s="1">
        <v>3</v>
      </c>
      <c r="M308" s="1">
        <v>13</v>
      </c>
      <c r="N308" s="1">
        <v>2</v>
      </c>
      <c r="O308" s="1">
        <v>13</v>
      </c>
      <c r="P308" s="1">
        <f>COUNTIF(HR_Data[Employee Number],HR_Data[[#This Row],[Employee Number]])</f>
        <v>1</v>
      </c>
      <c r="Q308" s="1" t="str">
        <f>IF(HR_Data[[#This Row],[Years At Company]]&lt;=HR_Data[[#This Row],[Total Working Years]],"Valid","error")</f>
        <v>Valid</v>
      </c>
      <c r="R308" s="1" t="str" cm="1">
        <f t="array" ref="R308">_xlfn.IFS(HR_Data[[#This Row],[Age]]&lt;=30,"Young", HR_Data[[#This Row],[Age]]&lt;=45,"Mid-Age",HR_Data[[#This Row],[Age]]&gt;45,"Senior")</f>
        <v>Mid-Age</v>
      </c>
      <c r="S308" s="1" t="str" cm="1">
        <f t="array" ref="S308">_xlfn.IFS(HR_Data[[#This Row],[Monthly Income]]&lt;5000,"Low", HR_Data[[#This Row],[Monthly Income]]&lt;10000,"Medium",TRUE,"High")</f>
        <v>Medium</v>
      </c>
      <c r="T308" s="1" t="str" cm="1">
        <f t="array" ref="T308">_xlfn.IFS(HR_Data[[#This Row],[Total Working Years]]&lt;=5,"Junior", HR_Data[[#This Row],[Total Working Years]]&lt;=15,"Mid-Level", TRUE, "Senior")</f>
        <v>Mid-Level</v>
      </c>
    </row>
    <row r="309" spans="1:20" x14ac:dyDescent="0.25">
      <c r="A309" s="1">
        <v>421</v>
      </c>
      <c r="B309" s="1">
        <v>38</v>
      </c>
      <c r="C309" t="s">
        <v>9</v>
      </c>
      <c r="D309" t="s">
        <v>10</v>
      </c>
      <c r="E309" t="s">
        <v>6</v>
      </c>
      <c r="F309" t="s">
        <v>7</v>
      </c>
      <c r="G309" t="s">
        <v>20</v>
      </c>
      <c r="H309" s="1">
        <v>2</v>
      </c>
      <c r="I309" s="1">
        <v>12061</v>
      </c>
      <c r="J309" t="s">
        <v>9</v>
      </c>
      <c r="K309" s="1">
        <v>17</v>
      </c>
      <c r="L309" s="1">
        <v>3</v>
      </c>
      <c r="M309" s="1">
        <v>19</v>
      </c>
      <c r="N309" s="1">
        <v>3</v>
      </c>
      <c r="O309" s="1">
        <v>10</v>
      </c>
      <c r="P309" s="1">
        <f>COUNTIF(HR_Data[Employee Number],HR_Data[[#This Row],[Employee Number]])</f>
        <v>1</v>
      </c>
      <c r="Q309" s="1" t="str">
        <f>IF(HR_Data[[#This Row],[Years At Company]]&lt;=HR_Data[[#This Row],[Total Working Years]],"Valid","error")</f>
        <v>Valid</v>
      </c>
      <c r="R309" s="1" t="str" cm="1">
        <f t="array" ref="R309">_xlfn.IFS(HR_Data[[#This Row],[Age]]&lt;=30,"Young", HR_Data[[#This Row],[Age]]&lt;=45,"Mid-Age",HR_Data[[#This Row],[Age]]&gt;45,"Senior")</f>
        <v>Mid-Age</v>
      </c>
      <c r="S309" s="1" t="str" cm="1">
        <f t="array" ref="S309">_xlfn.IFS(HR_Data[[#This Row],[Monthly Income]]&lt;5000,"Low", HR_Data[[#This Row],[Monthly Income]]&lt;10000,"Medium",TRUE,"High")</f>
        <v>High</v>
      </c>
      <c r="T309" s="1" t="str" cm="1">
        <f t="array" ref="T309">_xlfn.IFS(HR_Data[[#This Row],[Total Working Years]]&lt;=5,"Junior", HR_Data[[#This Row],[Total Working Years]]&lt;=15,"Mid-Level", TRUE, "Senior")</f>
        <v>Senior</v>
      </c>
    </row>
    <row r="310" spans="1:20" x14ac:dyDescent="0.25">
      <c r="A310" s="1">
        <v>422</v>
      </c>
      <c r="B310" s="1">
        <v>58</v>
      </c>
      <c r="C310" t="s">
        <v>9</v>
      </c>
      <c r="D310" t="s">
        <v>10</v>
      </c>
      <c r="E310" t="s">
        <v>6</v>
      </c>
      <c r="F310" t="s">
        <v>11</v>
      </c>
      <c r="G310" t="s">
        <v>17</v>
      </c>
      <c r="H310" s="1">
        <v>3</v>
      </c>
      <c r="I310" s="1">
        <v>5660</v>
      </c>
      <c r="J310" t="s">
        <v>4</v>
      </c>
      <c r="K310" s="1">
        <v>13</v>
      </c>
      <c r="L310" s="1">
        <v>3</v>
      </c>
      <c r="M310" s="1">
        <v>12</v>
      </c>
      <c r="N310" s="1">
        <v>3</v>
      </c>
      <c r="O310" s="1">
        <v>5</v>
      </c>
      <c r="P310" s="1">
        <f>COUNTIF(HR_Data[Employee Number],HR_Data[[#This Row],[Employee Number]])</f>
        <v>1</v>
      </c>
      <c r="Q310" s="1" t="str">
        <f>IF(HR_Data[[#This Row],[Years At Company]]&lt;=HR_Data[[#This Row],[Total Working Years]],"Valid","error")</f>
        <v>Valid</v>
      </c>
      <c r="R310" s="1" t="str" cm="1">
        <f t="array" ref="R310">_xlfn.IFS(HR_Data[[#This Row],[Age]]&lt;=30,"Young", HR_Data[[#This Row],[Age]]&lt;=45,"Mid-Age",HR_Data[[#This Row],[Age]]&gt;45,"Senior")</f>
        <v>Senior</v>
      </c>
      <c r="S310" s="1" t="str" cm="1">
        <f t="array" ref="S310">_xlfn.IFS(HR_Data[[#This Row],[Monthly Income]]&lt;5000,"Low", HR_Data[[#This Row],[Monthly Income]]&lt;10000,"Medium",TRUE,"High")</f>
        <v>Medium</v>
      </c>
      <c r="T310" s="1" t="str" cm="1">
        <f t="array" ref="T310">_xlfn.IFS(HR_Data[[#This Row],[Total Working Years]]&lt;=5,"Junior", HR_Data[[#This Row],[Total Working Years]]&lt;=15,"Mid-Level", TRUE, "Senior")</f>
        <v>Mid-Level</v>
      </c>
    </row>
    <row r="311" spans="1:20" x14ac:dyDescent="0.25">
      <c r="A311" s="1">
        <v>423</v>
      </c>
      <c r="B311" s="1">
        <v>31</v>
      </c>
      <c r="C311" t="s">
        <v>9</v>
      </c>
      <c r="D311" t="s">
        <v>10</v>
      </c>
      <c r="E311" t="s">
        <v>22</v>
      </c>
      <c r="F311" t="s">
        <v>11</v>
      </c>
      <c r="G311" t="s">
        <v>12</v>
      </c>
      <c r="H311" s="1">
        <v>4</v>
      </c>
      <c r="I311" s="1">
        <v>4821</v>
      </c>
      <c r="J311" t="s">
        <v>4</v>
      </c>
      <c r="K311" s="1">
        <v>12</v>
      </c>
      <c r="L311" s="1">
        <v>3</v>
      </c>
      <c r="M311" s="1">
        <v>6</v>
      </c>
      <c r="N311" s="1">
        <v>3</v>
      </c>
      <c r="O311" s="1">
        <v>5</v>
      </c>
      <c r="P311" s="1">
        <f>COUNTIF(HR_Data[Employee Number],HR_Data[[#This Row],[Employee Number]])</f>
        <v>1</v>
      </c>
      <c r="Q311" s="1" t="str">
        <f>IF(HR_Data[[#This Row],[Years At Company]]&lt;=HR_Data[[#This Row],[Total Working Years]],"Valid","error")</f>
        <v>Valid</v>
      </c>
      <c r="R311" s="1" t="str" cm="1">
        <f t="array" ref="R311">_xlfn.IFS(HR_Data[[#This Row],[Age]]&lt;=30,"Young", HR_Data[[#This Row],[Age]]&lt;=45,"Mid-Age",HR_Data[[#This Row],[Age]]&gt;45,"Senior")</f>
        <v>Mid-Age</v>
      </c>
      <c r="S311" s="1" t="str" cm="1">
        <f t="array" ref="S311">_xlfn.IFS(HR_Data[[#This Row],[Monthly Income]]&lt;5000,"Low", HR_Data[[#This Row],[Monthly Income]]&lt;10000,"Medium",TRUE,"High")</f>
        <v>Low</v>
      </c>
      <c r="T311" s="1" t="str" cm="1">
        <f t="array" ref="T311">_xlfn.IFS(HR_Data[[#This Row],[Total Working Years]]&lt;=5,"Junior", HR_Data[[#This Row],[Total Working Years]]&lt;=15,"Mid-Level", TRUE, "Senior")</f>
        <v>Mid-Level</v>
      </c>
    </row>
    <row r="312" spans="1:20" x14ac:dyDescent="0.25">
      <c r="A312" s="1">
        <v>424</v>
      </c>
      <c r="B312" s="1">
        <v>31</v>
      </c>
      <c r="C312" t="s">
        <v>9</v>
      </c>
      <c r="D312" t="s">
        <v>23</v>
      </c>
      <c r="E312" t="s">
        <v>23</v>
      </c>
      <c r="F312" t="s">
        <v>11</v>
      </c>
      <c r="G312" t="s">
        <v>23</v>
      </c>
      <c r="H312" s="1">
        <v>1</v>
      </c>
      <c r="I312" s="1">
        <v>6410</v>
      </c>
      <c r="J312" t="s">
        <v>9</v>
      </c>
      <c r="K312" s="1">
        <v>12</v>
      </c>
      <c r="L312" s="1">
        <v>3</v>
      </c>
      <c r="M312" s="1">
        <v>9</v>
      </c>
      <c r="N312" s="1">
        <v>3</v>
      </c>
      <c r="O312" s="1">
        <v>2</v>
      </c>
      <c r="P312" s="1">
        <f>COUNTIF(HR_Data[Employee Number],HR_Data[[#This Row],[Employee Number]])</f>
        <v>1</v>
      </c>
      <c r="Q312" s="1" t="str">
        <f>IF(HR_Data[[#This Row],[Years At Company]]&lt;=HR_Data[[#This Row],[Total Working Years]],"Valid","error")</f>
        <v>Valid</v>
      </c>
      <c r="R312" s="1" t="str" cm="1">
        <f t="array" ref="R312">_xlfn.IFS(HR_Data[[#This Row],[Age]]&lt;=30,"Young", HR_Data[[#This Row],[Age]]&lt;=45,"Mid-Age",HR_Data[[#This Row],[Age]]&gt;45,"Senior")</f>
        <v>Mid-Age</v>
      </c>
      <c r="S312" s="1" t="str" cm="1">
        <f t="array" ref="S312">_xlfn.IFS(HR_Data[[#This Row],[Monthly Income]]&lt;5000,"Low", HR_Data[[#This Row],[Monthly Income]]&lt;10000,"Medium",TRUE,"High")</f>
        <v>Medium</v>
      </c>
      <c r="T312" s="1" t="str" cm="1">
        <f t="array" ref="T312">_xlfn.IFS(HR_Data[[#This Row],[Total Working Years]]&lt;=5,"Junior", HR_Data[[#This Row],[Total Working Years]]&lt;=15,"Mid-Level", TRUE, "Senior")</f>
        <v>Mid-Level</v>
      </c>
    </row>
    <row r="313" spans="1:20" x14ac:dyDescent="0.25">
      <c r="A313" s="1">
        <v>425</v>
      </c>
      <c r="B313" s="1">
        <v>45</v>
      </c>
      <c r="C313" t="s">
        <v>9</v>
      </c>
      <c r="D313" t="s">
        <v>10</v>
      </c>
      <c r="E313" t="s">
        <v>6</v>
      </c>
      <c r="F313" t="s">
        <v>11</v>
      </c>
      <c r="G313" t="s">
        <v>14</v>
      </c>
      <c r="H313" s="1">
        <v>1</v>
      </c>
      <c r="I313" s="1">
        <v>5210</v>
      </c>
      <c r="J313" t="s">
        <v>9</v>
      </c>
      <c r="K313" s="1">
        <v>18</v>
      </c>
      <c r="L313" s="1">
        <v>3</v>
      </c>
      <c r="M313" s="1">
        <v>24</v>
      </c>
      <c r="N313" s="1">
        <v>3</v>
      </c>
      <c r="O313" s="1">
        <v>24</v>
      </c>
      <c r="P313" s="1">
        <f>COUNTIF(HR_Data[Employee Number],HR_Data[[#This Row],[Employee Number]])</f>
        <v>1</v>
      </c>
      <c r="Q313" s="1" t="str">
        <f>IF(HR_Data[[#This Row],[Years At Company]]&lt;=HR_Data[[#This Row],[Total Working Years]],"Valid","error")</f>
        <v>Valid</v>
      </c>
      <c r="R313" s="1" t="str" cm="1">
        <f t="array" ref="R313">_xlfn.IFS(HR_Data[[#This Row],[Age]]&lt;=30,"Young", HR_Data[[#This Row],[Age]]&lt;=45,"Mid-Age",HR_Data[[#This Row],[Age]]&gt;45,"Senior")</f>
        <v>Mid-Age</v>
      </c>
      <c r="S313" s="1" t="str" cm="1">
        <f t="array" ref="S313">_xlfn.IFS(HR_Data[[#This Row],[Monthly Income]]&lt;5000,"Low", HR_Data[[#This Row],[Monthly Income]]&lt;10000,"Medium",TRUE,"High")</f>
        <v>Medium</v>
      </c>
      <c r="T313" s="1" t="str" cm="1">
        <f t="array" ref="T313">_xlfn.IFS(HR_Data[[#This Row],[Total Working Years]]&lt;=5,"Junior", HR_Data[[#This Row],[Total Working Years]]&lt;=15,"Mid-Level", TRUE, "Senior")</f>
        <v>Senior</v>
      </c>
    </row>
    <row r="314" spans="1:20" x14ac:dyDescent="0.25">
      <c r="A314" s="1">
        <v>426</v>
      </c>
      <c r="B314" s="1">
        <v>31</v>
      </c>
      <c r="C314" t="s">
        <v>9</v>
      </c>
      <c r="D314" t="s">
        <v>10</v>
      </c>
      <c r="E314" t="s">
        <v>6</v>
      </c>
      <c r="F314" t="s">
        <v>11</v>
      </c>
      <c r="G314" t="s">
        <v>12</v>
      </c>
      <c r="H314" s="1">
        <v>4</v>
      </c>
      <c r="I314" s="1">
        <v>2695</v>
      </c>
      <c r="J314" t="s">
        <v>4</v>
      </c>
      <c r="K314" s="1">
        <v>18</v>
      </c>
      <c r="L314" s="1">
        <v>3</v>
      </c>
      <c r="M314" s="1">
        <v>3</v>
      </c>
      <c r="N314" s="1">
        <v>1</v>
      </c>
      <c r="O314" s="1">
        <v>2</v>
      </c>
      <c r="P314" s="1">
        <f>COUNTIF(HR_Data[Employee Number],HR_Data[[#This Row],[Employee Number]])</f>
        <v>1</v>
      </c>
      <c r="Q314" s="1" t="str">
        <f>IF(HR_Data[[#This Row],[Years At Company]]&lt;=HR_Data[[#This Row],[Total Working Years]],"Valid","error")</f>
        <v>Valid</v>
      </c>
      <c r="R314" s="1" t="str" cm="1">
        <f t="array" ref="R314">_xlfn.IFS(HR_Data[[#This Row],[Age]]&lt;=30,"Young", HR_Data[[#This Row],[Age]]&lt;=45,"Mid-Age",HR_Data[[#This Row],[Age]]&gt;45,"Senior")</f>
        <v>Mid-Age</v>
      </c>
      <c r="S314" s="1" t="str" cm="1">
        <f t="array" ref="S314">_xlfn.IFS(HR_Data[[#This Row],[Monthly Income]]&lt;5000,"Low", HR_Data[[#This Row],[Monthly Income]]&lt;10000,"Medium",TRUE,"High")</f>
        <v>Low</v>
      </c>
      <c r="T314" s="1" t="str" cm="1">
        <f t="array" ref="T314">_xlfn.IFS(HR_Data[[#This Row],[Total Working Years]]&lt;=5,"Junior", HR_Data[[#This Row],[Total Working Years]]&lt;=15,"Mid-Level", TRUE, "Senior")</f>
        <v>Junior</v>
      </c>
    </row>
    <row r="315" spans="1:20" x14ac:dyDescent="0.25">
      <c r="A315" s="1">
        <v>428</v>
      </c>
      <c r="B315" s="1">
        <v>33</v>
      </c>
      <c r="C315" t="s">
        <v>9</v>
      </c>
      <c r="D315" t="s">
        <v>10</v>
      </c>
      <c r="E315" t="s">
        <v>6</v>
      </c>
      <c r="F315" t="s">
        <v>7</v>
      </c>
      <c r="G315" t="s">
        <v>18</v>
      </c>
      <c r="H315" s="1">
        <v>2</v>
      </c>
      <c r="I315" s="1">
        <v>11878</v>
      </c>
      <c r="J315" t="s">
        <v>9</v>
      </c>
      <c r="K315" s="1">
        <v>11</v>
      </c>
      <c r="L315" s="1">
        <v>3</v>
      </c>
      <c r="M315" s="1">
        <v>12</v>
      </c>
      <c r="N315" s="1">
        <v>3</v>
      </c>
      <c r="O315" s="1">
        <v>10</v>
      </c>
      <c r="P315" s="1">
        <f>COUNTIF(HR_Data[Employee Number],HR_Data[[#This Row],[Employee Number]])</f>
        <v>1</v>
      </c>
      <c r="Q315" s="1" t="str">
        <f>IF(HR_Data[[#This Row],[Years At Company]]&lt;=HR_Data[[#This Row],[Total Working Years]],"Valid","error")</f>
        <v>Valid</v>
      </c>
      <c r="R315" s="1" t="str" cm="1">
        <f t="array" ref="R315">_xlfn.IFS(HR_Data[[#This Row],[Age]]&lt;=30,"Young", HR_Data[[#This Row],[Age]]&lt;=45,"Mid-Age",HR_Data[[#This Row],[Age]]&gt;45,"Senior")</f>
        <v>Mid-Age</v>
      </c>
      <c r="S315" s="1" t="str" cm="1">
        <f t="array" ref="S315">_xlfn.IFS(HR_Data[[#This Row],[Monthly Income]]&lt;5000,"Low", HR_Data[[#This Row],[Monthly Income]]&lt;10000,"Medium",TRUE,"High")</f>
        <v>High</v>
      </c>
      <c r="T315" s="1" t="str" cm="1">
        <f t="array" ref="T315">_xlfn.IFS(HR_Data[[#This Row],[Total Working Years]]&lt;=5,"Junior", HR_Data[[#This Row],[Total Working Years]]&lt;=15,"Mid-Level", TRUE, "Senior")</f>
        <v>Mid-Level</v>
      </c>
    </row>
    <row r="316" spans="1:20" x14ac:dyDescent="0.25">
      <c r="A316" s="1">
        <v>429</v>
      </c>
      <c r="B316" s="1">
        <v>39</v>
      </c>
      <c r="C316" t="s">
        <v>9</v>
      </c>
      <c r="D316" t="s">
        <v>10</v>
      </c>
      <c r="E316" t="s">
        <v>15</v>
      </c>
      <c r="F316" t="s">
        <v>11</v>
      </c>
      <c r="G316" t="s">
        <v>18</v>
      </c>
      <c r="H316" s="1">
        <v>1</v>
      </c>
      <c r="I316" s="1">
        <v>17068</v>
      </c>
      <c r="J316" t="s">
        <v>4</v>
      </c>
      <c r="K316" s="1">
        <v>14</v>
      </c>
      <c r="L316" s="1">
        <v>3</v>
      </c>
      <c r="M316" s="1">
        <v>21</v>
      </c>
      <c r="N316" s="1">
        <v>3</v>
      </c>
      <c r="O316" s="1">
        <v>21</v>
      </c>
      <c r="P316" s="1">
        <f>COUNTIF(HR_Data[Employee Number],HR_Data[[#This Row],[Employee Number]])</f>
        <v>1</v>
      </c>
      <c r="Q316" s="1" t="str">
        <f>IF(HR_Data[[#This Row],[Years At Company]]&lt;=HR_Data[[#This Row],[Total Working Years]],"Valid","error")</f>
        <v>Valid</v>
      </c>
      <c r="R316" s="1" t="str" cm="1">
        <f t="array" ref="R316">_xlfn.IFS(HR_Data[[#This Row],[Age]]&lt;=30,"Young", HR_Data[[#This Row],[Age]]&lt;=45,"Mid-Age",HR_Data[[#This Row],[Age]]&gt;45,"Senior")</f>
        <v>Mid-Age</v>
      </c>
      <c r="S316" s="1" t="str" cm="1">
        <f t="array" ref="S316">_xlfn.IFS(HR_Data[[#This Row],[Monthly Income]]&lt;5000,"Low", HR_Data[[#This Row],[Monthly Income]]&lt;10000,"Medium",TRUE,"High")</f>
        <v>High</v>
      </c>
      <c r="T316" s="1" t="str" cm="1">
        <f t="array" ref="T316">_xlfn.IFS(HR_Data[[#This Row],[Total Working Years]]&lt;=5,"Junior", HR_Data[[#This Row],[Total Working Years]]&lt;=15,"Mid-Level", TRUE, "Senior")</f>
        <v>Senior</v>
      </c>
    </row>
    <row r="317" spans="1:20" x14ac:dyDescent="0.25">
      <c r="A317" s="1">
        <v>430</v>
      </c>
      <c r="B317" s="1">
        <v>43</v>
      </c>
      <c r="C317" t="s">
        <v>9</v>
      </c>
      <c r="D317" t="s">
        <v>10</v>
      </c>
      <c r="E317" t="s">
        <v>6</v>
      </c>
      <c r="F317" t="s">
        <v>7</v>
      </c>
      <c r="G317" t="s">
        <v>14</v>
      </c>
      <c r="H317" s="1">
        <v>4</v>
      </c>
      <c r="I317" s="1">
        <v>2455</v>
      </c>
      <c r="J317" t="s">
        <v>9</v>
      </c>
      <c r="K317" s="1">
        <v>19</v>
      </c>
      <c r="L317" s="1">
        <v>3</v>
      </c>
      <c r="M317" s="1">
        <v>9</v>
      </c>
      <c r="N317" s="1">
        <v>3</v>
      </c>
      <c r="O317" s="1">
        <v>8</v>
      </c>
      <c r="P317" s="1">
        <f>COUNTIF(HR_Data[Employee Number],HR_Data[[#This Row],[Employee Number]])</f>
        <v>1</v>
      </c>
      <c r="Q317" s="1" t="str">
        <f>IF(HR_Data[[#This Row],[Years At Company]]&lt;=HR_Data[[#This Row],[Total Working Years]],"Valid","error")</f>
        <v>Valid</v>
      </c>
      <c r="R317" s="1" t="str" cm="1">
        <f t="array" ref="R317">_xlfn.IFS(HR_Data[[#This Row],[Age]]&lt;=30,"Young", HR_Data[[#This Row],[Age]]&lt;=45,"Mid-Age",HR_Data[[#This Row],[Age]]&gt;45,"Senior")</f>
        <v>Mid-Age</v>
      </c>
      <c r="S317" s="1" t="str" cm="1">
        <f t="array" ref="S317">_xlfn.IFS(HR_Data[[#This Row],[Monthly Income]]&lt;5000,"Low", HR_Data[[#This Row],[Monthly Income]]&lt;10000,"Medium",TRUE,"High")</f>
        <v>Low</v>
      </c>
      <c r="T317" s="1" t="str" cm="1">
        <f t="array" ref="T317">_xlfn.IFS(HR_Data[[#This Row],[Total Working Years]]&lt;=5,"Junior", HR_Data[[#This Row],[Total Working Years]]&lt;=15,"Mid-Level", TRUE, "Senior")</f>
        <v>Mid-Level</v>
      </c>
    </row>
    <row r="318" spans="1:20" x14ac:dyDescent="0.25">
      <c r="A318" s="1">
        <v>431</v>
      </c>
      <c r="B318" s="1">
        <v>49</v>
      </c>
      <c r="C318" t="s">
        <v>9</v>
      </c>
      <c r="D318" t="s">
        <v>10</v>
      </c>
      <c r="E318" t="s">
        <v>22</v>
      </c>
      <c r="F318" t="s">
        <v>7</v>
      </c>
      <c r="G318" t="s">
        <v>17</v>
      </c>
      <c r="H318" s="1">
        <v>3</v>
      </c>
      <c r="I318" s="1">
        <v>13964</v>
      </c>
      <c r="J318" t="s">
        <v>4</v>
      </c>
      <c r="K318" s="1">
        <v>12</v>
      </c>
      <c r="L318" s="1">
        <v>3</v>
      </c>
      <c r="M318" s="1">
        <v>25</v>
      </c>
      <c r="N318" s="1">
        <v>3</v>
      </c>
      <c r="O318" s="1">
        <v>7</v>
      </c>
      <c r="P318" s="1">
        <f>COUNTIF(HR_Data[Employee Number],HR_Data[[#This Row],[Employee Number]])</f>
        <v>1</v>
      </c>
      <c r="Q318" s="1" t="str">
        <f>IF(HR_Data[[#This Row],[Years At Company]]&lt;=HR_Data[[#This Row],[Total Working Years]],"Valid","error")</f>
        <v>Valid</v>
      </c>
      <c r="R318" s="1" t="str" cm="1">
        <f t="array" ref="R318">_xlfn.IFS(HR_Data[[#This Row],[Age]]&lt;=30,"Young", HR_Data[[#This Row],[Age]]&lt;=45,"Mid-Age",HR_Data[[#This Row],[Age]]&gt;45,"Senior")</f>
        <v>Senior</v>
      </c>
      <c r="S318" s="1" t="str" cm="1">
        <f t="array" ref="S318">_xlfn.IFS(HR_Data[[#This Row],[Monthly Income]]&lt;5000,"Low", HR_Data[[#This Row],[Monthly Income]]&lt;10000,"Medium",TRUE,"High")</f>
        <v>High</v>
      </c>
      <c r="T318" s="1" t="str" cm="1">
        <f t="array" ref="T318">_xlfn.IFS(HR_Data[[#This Row],[Total Working Years]]&lt;=5,"Junior", HR_Data[[#This Row],[Total Working Years]]&lt;=15,"Mid-Level", TRUE, "Senior")</f>
        <v>Senior</v>
      </c>
    </row>
    <row r="319" spans="1:20" x14ac:dyDescent="0.25">
      <c r="A319" s="1">
        <v>433</v>
      </c>
      <c r="B319" s="1">
        <v>52</v>
      </c>
      <c r="C319" t="s">
        <v>4</v>
      </c>
      <c r="D319" t="s">
        <v>10</v>
      </c>
      <c r="E319" t="s">
        <v>15</v>
      </c>
      <c r="F319" t="s">
        <v>11</v>
      </c>
      <c r="G319" t="s">
        <v>12</v>
      </c>
      <c r="H319" s="1">
        <v>2</v>
      </c>
      <c r="I319" s="1">
        <v>4941</v>
      </c>
      <c r="J319" t="s">
        <v>9</v>
      </c>
      <c r="K319" s="1">
        <v>15</v>
      </c>
      <c r="L319" s="1">
        <v>3</v>
      </c>
      <c r="M319" s="1">
        <v>11</v>
      </c>
      <c r="N319" s="1">
        <v>2</v>
      </c>
      <c r="O319" s="1">
        <v>8</v>
      </c>
      <c r="P319" s="1">
        <f>COUNTIF(HR_Data[Employee Number],HR_Data[[#This Row],[Employee Number]])</f>
        <v>1</v>
      </c>
      <c r="Q319" s="1" t="str">
        <f>IF(HR_Data[[#This Row],[Years At Company]]&lt;=HR_Data[[#This Row],[Total Working Years]],"Valid","error")</f>
        <v>Valid</v>
      </c>
      <c r="R319" s="1" t="str" cm="1">
        <f t="array" ref="R319">_xlfn.IFS(HR_Data[[#This Row],[Age]]&lt;=30,"Young", HR_Data[[#This Row],[Age]]&lt;=45,"Mid-Age",HR_Data[[#This Row],[Age]]&gt;45,"Senior")</f>
        <v>Senior</v>
      </c>
      <c r="S319" s="1" t="str" cm="1">
        <f t="array" ref="S319">_xlfn.IFS(HR_Data[[#This Row],[Monthly Income]]&lt;5000,"Low", HR_Data[[#This Row],[Monthly Income]]&lt;10000,"Medium",TRUE,"High")</f>
        <v>Low</v>
      </c>
      <c r="T319" s="1" t="str" cm="1">
        <f t="array" ref="T319">_xlfn.IFS(HR_Data[[#This Row],[Total Working Years]]&lt;=5,"Junior", HR_Data[[#This Row],[Total Working Years]]&lt;=15,"Mid-Level", TRUE, "Senior")</f>
        <v>Mid-Level</v>
      </c>
    </row>
    <row r="320" spans="1:20" x14ac:dyDescent="0.25">
      <c r="A320" s="1">
        <v>434</v>
      </c>
      <c r="B320" s="1">
        <v>27</v>
      </c>
      <c r="C320" t="s">
        <v>9</v>
      </c>
      <c r="D320" t="s">
        <v>10</v>
      </c>
      <c r="E320" t="s">
        <v>6</v>
      </c>
      <c r="F320" t="s">
        <v>7</v>
      </c>
      <c r="G320" t="s">
        <v>12</v>
      </c>
      <c r="H320" s="1">
        <v>2</v>
      </c>
      <c r="I320" s="1">
        <v>2478</v>
      </c>
      <c r="J320" t="s">
        <v>4</v>
      </c>
      <c r="K320" s="1">
        <v>12</v>
      </c>
      <c r="L320" s="1">
        <v>3</v>
      </c>
      <c r="M320" s="1">
        <v>4</v>
      </c>
      <c r="N320" s="1">
        <v>2</v>
      </c>
      <c r="O320" s="1">
        <v>4</v>
      </c>
      <c r="P320" s="1">
        <f>COUNTIF(HR_Data[Employee Number],HR_Data[[#This Row],[Employee Number]])</f>
        <v>1</v>
      </c>
      <c r="Q320" s="1" t="str">
        <f>IF(HR_Data[[#This Row],[Years At Company]]&lt;=HR_Data[[#This Row],[Total Working Years]],"Valid","error")</f>
        <v>Valid</v>
      </c>
      <c r="R320" s="1" t="str" cm="1">
        <f t="array" ref="R320">_xlfn.IFS(HR_Data[[#This Row],[Age]]&lt;=30,"Young", HR_Data[[#This Row],[Age]]&lt;=45,"Mid-Age",HR_Data[[#This Row],[Age]]&gt;45,"Senior")</f>
        <v>Young</v>
      </c>
      <c r="S320" s="1" t="str" cm="1">
        <f t="array" ref="S320">_xlfn.IFS(HR_Data[[#This Row],[Monthly Income]]&lt;5000,"Low", HR_Data[[#This Row],[Monthly Income]]&lt;10000,"Medium",TRUE,"High")</f>
        <v>Low</v>
      </c>
      <c r="T320" s="1" t="str" cm="1">
        <f t="array" ref="T320">_xlfn.IFS(HR_Data[[#This Row],[Total Working Years]]&lt;=5,"Junior", HR_Data[[#This Row],[Total Working Years]]&lt;=15,"Mid-Level", TRUE, "Senior")</f>
        <v>Junior</v>
      </c>
    </row>
    <row r="321" spans="1:20" x14ac:dyDescent="0.25">
      <c r="A321" s="1">
        <v>436</v>
      </c>
      <c r="B321" s="1">
        <v>32</v>
      </c>
      <c r="C321" t="s">
        <v>9</v>
      </c>
      <c r="D321" t="s">
        <v>5</v>
      </c>
      <c r="E321" t="s">
        <v>22</v>
      </c>
      <c r="F321" t="s">
        <v>7</v>
      </c>
      <c r="G321" t="s">
        <v>8</v>
      </c>
      <c r="H321" s="1">
        <v>2</v>
      </c>
      <c r="I321" s="1">
        <v>5228</v>
      </c>
      <c r="J321" t="s">
        <v>4</v>
      </c>
      <c r="K321" s="1">
        <v>11</v>
      </c>
      <c r="L321" s="1">
        <v>3</v>
      </c>
      <c r="M321" s="1">
        <v>13</v>
      </c>
      <c r="N321" s="1">
        <v>3</v>
      </c>
      <c r="O321" s="1">
        <v>13</v>
      </c>
      <c r="P321" s="1">
        <f>COUNTIF(HR_Data[Employee Number],HR_Data[[#This Row],[Employee Number]])</f>
        <v>1</v>
      </c>
      <c r="Q321" s="1" t="str">
        <f>IF(HR_Data[[#This Row],[Years At Company]]&lt;=HR_Data[[#This Row],[Total Working Years]],"Valid","error")</f>
        <v>Valid</v>
      </c>
      <c r="R321" s="1" t="str" cm="1">
        <f t="array" ref="R321">_xlfn.IFS(HR_Data[[#This Row],[Age]]&lt;=30,"Young", HR_Data[[#This Row],[Age]]&lt;=45,"Mid-Age",HR_Data[[#This Row],[Age]]&gt;45,"Senior")</f>
        <v>Mid-Age</v>
      </c>
      <c r="S321" s="1" t="str" cm="1">
        <f t="array" ref="S321">_xlfn.IFS(HR_Data[[#This Row],[Monthly Income]]&lt;5000,"Low", HR_Data[[#This Row],[Monthly Income]]&lt;10000,"Medium",TRUE,"High")</f>
        <v>Medium</v>
      </c>
      <c r="T321" s="1" t="str" cm="1">
        <f t="array" ref="T321">_xlfn.IFS(HR_Data[[#This Row],[Total Working Years]]&lt;=5,"Junior", HR_Data[[#This Row],[Total Working Years]]&lt;=15,"Mid-Level", TRUE, "Senior")</f>
        <v>Mid-Level</v>
      </c>
    </row>
    <row r="322" spans="1:20" x14ac:dyDescent="0.25">
      <c r="A322" s="1">
        <v>437</v>
      </c>
      <c r="B322" s="1">
        <v>27</v>
      </c>
      <c r="C322" t="s">
        <v>9</v>
      </c>
      <c r="D322" t="s">
        <v>5</v>
      </c>
      <c r="E322" t="s">
        <v>6</v>
      </c>
      <c r="F322" t="s">
        <v>11</v>
      </c>
      <c r="G322" t="s">
        <v>8</v>
      </c>
      <c r="H322" s="1">
        <v>3</v>
      </c>
      <c r="I322" s="1">
        <v>4478</v>
      </c>
      <c r="J322" t="s">
        <v>4</v>
      </c>
      <c r="K322" s="1">
        <v>11</v>
      </c>
      <c r="L322" s="1">
        <v>3</v>
      </c>
      <c r="M322" s="1">
        <v>5</v>
      </c>
      <c r="N322" s="1">
        <v>3</v>
      </c>
      <c r="O322" s="1">
        <v>5</v>
      </c>
      <c r="P322" s="1">
        <f>COUNTIF(HR_Data[Employee Number],HR_Data[[#This Row],[Employee Number]])</f>
        <v>1</v>
      </c>
      <c r="Q322" s="1" t="str">
        <f>IF(HR_Data[[#This Row],[Years At Company]]&lt;=HR_Data[[#This Row],[Total Working Years]],"Valid","error")</f>
        <v>Valid</v>
      </c>
      <c r="R322" s="1" t="str" cm="1">
        <f t="array" ref="R322">_xlfn.IFS(HR_Data[[#This Row],[Age]]&lt;=30,"Young", HR_Data[[#This Row],[Age]]&lt;=45,"Mid-Age",HR_Data[[#This Row],[Age]]&gt;45,"Senior")</f>
        <v>Young</v>
      </c>
      <c r="S322" s="1" t="str" cm="1">
        <f t="array" ref="S322">_xlfn.IFS(HR_Data[[#This Row],[Monthly Income]]&lt;5000,"Low", HR_Data[[#This Row],[Monthly Income]]&lt;10000,"Medium",TRUE,"High")</f>
        <v>Low</v>
      </c>
      <c r="T322" s="1" t="str" cm="1">
        <f t="array" ref="T322">_xlfn.IFS(HR_Data[[#This Row],[Total Working Years]]&lt;=5,"Junior", HR_Data[[#This Row],[Total Working Years]]&lt;=15,"Mid-Level", TRUE, "Senior")</f>
        <v>Junior</v>
      </c>
    </row>
    <row r="323" spans="1:20" x14ac:dyDescent="0.25">
      <c r="A323" s="1">
        <v>438</v>
      </c>
      <c r="B323" s="1">
        <v>31</v>
      </c>
      <c r="C323" t="s">
        <v>9</v>
      </c>
      <c r="D323" t="s">
        <v>5</v>
      </c>
      <c r="E323" t="s">
        <v>21</v>
      </c>
      <c r="F323" t="s">
        <v>11</v>
      </c>
      <c r="G323" t="s">
        <v>8</v>
      </c>
      <c r="H323" s="1">
        <v>4</v>
      </c>
      <c r="I323" s="1">
        <v>7547</v>
      </c>
      <c r="J323" t="s">
        <v>9</v>
      </c>
      <c r="K323" s="1">
        <v>12</v>
      </c>
      <c r="L323" s="1">
        <v>3</v>
      </c>
      <c r="M323" s="1">
        <v>13</v>
      </c>
      <c r="N323" s="1">
        <v>3</v>
      </c>
      <c r="O323" s="1">
        <v>7</v>
      </c>
      <c r="P323" s="1">
        <f>COUNTIF(HR_Data[Employee Number],HR_Data[[#This Row],[Employee Number]])</f>
        <v>1</v>
      </c>
      <c r="Q323" s="1" t="str">
        <f>IF(HR_Data[[#This Row],[Years At Company]]&lt;=HR_Data[[#This Row],[Total Working Years]],"Valid","error")</f>
        <v>Valid</v>
      </c>
      <c r="R323" s="1" t="str" cm="1">
        <f t="array" ref="R323">_xlfn.IFS(HR_Data[[#This Row],[Age]]&lt;=30,"Young", HR_Data[[#This Row],[Age]]&lt;=45,"Mid-Age",HR_Data[[#This Row],[Age]]&gt;45,"Senior")</f>
        <v>Mid-Age</v>
      </c>
      <c r="S323" s="1" t="str" cm="1">
        <f t="array" ref="S323">_xlfn.IFS(HR_Data[[#This Row],[Monthly Income]]&lt;5000,"Low", HR_Data[[#This Row],[Monthly Income]]&lt;10000,"Medium",TRUE,"High")</f>
        <v>Medium</v>
      </c>
      <c r="T323" s="1" t="str" cm="1">
        <f t="array" ref="T323">_xlfn.IFS(HR_Data[[#This Row],[Total Working Years]]&lt;=5,"Junior", HR_Data[[#This Row],[Total Working Years]]&lt;=15,"Mid-Level", TRUE, "Senior")</f>
        <v>Mid-Level</v>
      </c>
    </row>
    <row r="324" spans="1:20" x14ac:dyDescent="0.25">
      <c r="A324" s="1">
        <v>439</v>
      </c>
      <c r="B324" s="1">
        <v>32</v>
      </c>
      <c r="C324" t="s">
        <v>9</v>
      </c>
      <c r="D324" t="s">
        <v>10</v>
      </c>
      <c r="E324" t="s">
        <v>15</v>
      </c>
      <c r="F324" t="s">
        <v>7</v>
      </c>
      <c r="G324" t="s">
        <v>12</v>
      </c>
      <c r="H324" s="1">
        <v>4</v>
      </c>
      <c r="I324" s="1">
        <v>5055</v>
      </c>
      <c r="J324" t="s">
        <v>9</v>
      </c>
      <c r="K324" s="1">
        <v>16</v>
      </c>
      <c r="L324" s="1">
        <v>3</v>
      </c>
      <c r="M324" s="1">
        <v>10</v>
      </c>
      <c r="N324" s="1">
        <v>2</v>
      </c>
      <c r="O324" s="1">
        <v>7</v>
      </c>
      <c r="P324" s="1">
        <f>COUNTIF(HR_Data[Employee Number],HR_Data[[#This Row],[Employee Number]])</f>
        <v>1</v>
      </c>
      <c r="Q324" s="1" t="str">
        <f>IF(HR_Data[[#This Row],[Years At Company]]&lt;=HR_Data[[#This Row],[Total Working Years]],"Valid","error")</f>
        <v>Valid</v>
      </c>
      <c r="R324" s="1" t="str" cm="1">
        <f t="array" ref="R324">_xlfn.IFS(HR_Data[[#This Row],[Age]]&lt;=30,"Young", HR_Data[[#This Row],[Age]]&lt;=45,"Mid-Age",HR_Data[[#This Row],[Age]]&gt;45,"Senior")</f>
        <v>Mid-Age</v>
      </c>
      <c r="S324" s="1" t="str" cm="1">
        <f t="array" ref="S324">_xlfn.IFS(HR_Data[[#This Row],[Monthly Income]]&lt;5000,"Low", HR_Data[[#This Row],[Monthly Income]]&lt;10000,"Medium",TRUE,"High")</f>
        <v>Medium</v>
      </c>
      <c r="T324" s="1" t="str" cm="1">
        <f t="array" ref="T324">_xlfn.IFS(HR_Data[[#This Row],[Total Working Years]]&lt;=5,"Junior", HR_Data[[#This Row],[Total Working Years]]&lt;=15,"Mid-Level", TRUE, "Senior")</f>
        <v>Mid-Level</v>
      </c>
    </row>
    <row r="325" spans="1:20" x14ac:dyDescent="0.25">
      <c r="A325" s="1">
        <v>440</v>
      </c>
      <c r="B325" s="1">
        <v>28</v>
      </c>
      <c r="C325" t="s">
        <v>4</v>
      </c>
      <c r="D325" t="s">
        <v>10</v>
      </c>
      <c r="E325" t="s">
        <v>15</v>
      </c>
      <c r="F325" t="s">
        <v>11</v>
      </c>
      <c r="G325" t="s">
        <v>12</v>
      </c>
      <c r="H325" s="1">
        <v>4</v>
      </c>
      <c r="I325" s="1">
        <v>3464</v>
      </c>
      <c r="J325" t="s">
        <v>4</v>
      </c>
      <c r="K325" s="1">
        <v>13</v>
      </c>
      <c r="L325" s="1">
        <v>3</v>
      </c>
      <c r="M325" s="1">
        <v>5</v>
      </c>
      <c r="N325" s="1">
        <v>2</v>
      </c>
      <c r="O325" s="1">
        <v>3</v>
      </c>
      <c r="P325" s="1">
        <f>COUNTIF(HR_Data[Employee Number],HR_Data[[#This Row],[Employee Number]])</f>
        <v>1</v>
      </c>
      <c r="Q325" s="1" t="str">
        <f>IF(HR_Data[[#This Row],[Years At Company]]&lt;=HR_Data[[#This Row],[Total Working Years]],"Valid","error")</f>
        <v>Valid</v>
      </c>
      <c r="R325" s="1" t="str" cm="1">
        <f t="array" ref="R325">_xlfn.IFS(HR_Data[[#This Row],[Age]]&lt;=30,"Young", HR_Data[[#This Row],[Age]]&lt;=45,"Mid-Age",HR_Data[[#This Row],[Age]]&gt;45,"Senior")</f>
        <v>Young</v>
      </c>
      <c r="S325" s="1" t="str" cm="1">
        <f t="array" ref="S325">_xlfn.IFS(HR_Data[[#This Row],[Monthly Income]]&lt;5000,"Low", HR_Data[[#This Row],[Monthly Income]]&lt;10000,"Medium",TRUE,"High")</f>
        <v>Low</v>
      </c>
      <c r="T325" s="1" t="str" cm="1">
        <f t="array" ref="T325">_xlfn.IFS(HR_Data[[#This Row],[Total Working Years]]&lt;=5,"Junior", HR_Data[[#This Row],[Total Working Years]]&lt;=15,"Mid-Level", TRUE, "Senior")</f>
        <v>Junior</v>
      </c>
    </row>
    <row r="326" spans="1:20" x14ac:dyDescent="0.25">
      <c r="A326" s="1">
        <v>441</v>
      </c>
      <c r="B326" s="1">
        <v>30</v>
      </c>
      <c r="C326" t="s">
        <v>9</v>
      </c>
      <c r="D326" t="s">
        <v>10</v>
      </c>
      <c r="E326" t="s">
        <v>15</v>
      </c>
      <c r="F326" t="s">
        <v>7</v>
      </c>
      <c r="G326" t="s">
        <v>12</v>
      </c>
      <c r="H326" s="1">
        <v>4</v>
      </c>
      <c r="I326" s="1">
        <v>5775</v>
      </c>
      <c r="J326" t="s">
        <v>9</v>
      </c>
      <c r="K326" s="1">
        <v>13</v>
      </c>
      <c r="L326" s="1">
        <v>3</v>
      </c>
      <c r="M326" s="1">
        <v>11</v>
      </c>
      <c r="N326" s="1">
        <v>3</v>
      </c>
      <c r="O326" s="1">
        <v>10</v>
      </c>
      <c r="P326" s="1">
        <f>COUNTIF(HR_Data[Employee Number],HR_Data[[#This Row],[Employee Number]])</f>
        <v>1</v>
      </c>
      <c r="Q326" s="1" t="str">
        <f>IF(HR_Data[[#This Row],[Years At Company]]&lt;=HR_Data[[#This Row],[Total Working Years]],"Valid","error")</f>
        <v>Valid</v>
      </c>
      <c r="R326" s="1" t="str" cm="1">
        <f t="array" ref="R326">_xlfn.IFS(HR_Data[[#This Row],[Age]]&lt;=30,"Young", HR_Data[[#This Row],[Age]]&lt;=45,"Mid-Age",HR_Data[[#This Row],[Age]]&gt;45,"Senior")</f>
        <v>Young</v>
      </c>
      <c r="S326" s="1" t="str" cm="1">
        <f t="array" ref="S326">_xlfn.IFS(HR_Data[[#This Row],[Monthly Income]]&lt;5000,"Low", HR_Data[[#This Row],[Monthly Income]]&lt;10000,"Medium",TRUE,"High")</f>
        <v>Medium</v>
      </c>
      <c r="T326" s="1" t="str" cm="1">
        <f t="array" ref="T326">_xlfn.IFS(HR_Data[[#This Row],[Total Working Years]]&lt;=5,"Junior", HR_Data[[#This Row],[Total Working Years]]&lt;=15,"Mid-Level", TRUE, "Senior")</f>
        <v>Mid-Level</v>
      </c>
    </row>
    <row r="327" spans="1:20" x14ac:dyDescent="0.25">
      <c r="A327" s="1">
        <v>442</v>
      </c>
      <c r="B327" s="1">
        <v>31</v>
      </c>
      <c r="C327" t="s">
        <v>9</v>
      </c>
      <c r="D327" t="s">
        <v>10</v>
      </c>
      <c r="E327" t="s">
        <v>6</v>
      </c>
      <c r="F327" t="s">
        <v>7</v>
      </c>
      <c r="G327" t="s">
        <v>16</v>
      </c>
      <c r="H327" s="1">
        <v>3</v>
      </c>
      <c r="I327" s="1">
        <v>8943</v>
      </c>
      <c r="J327" t="s">
        <v>9</v>
      </c>
      <c r="K327" s="1">
        <v>24</v>
      </c>
      <c r="L327" s="1">
        <v>4</v>
      </c>
      <c r="M327" s="1">
        <v>10</v>
      </c>
      <c r="N327" s="1">
        <v>3</v>
      </c>
      <c r="O327" s="1">
        <v>10</v>
      </c>
      <c r="P327" s="1">
        <f>COUNTIF(HR_Data[Employee Number],HR_Data[[#This Row],[Employee Number]])</f>
        <v>1</v>
      </c>
      <c r="Q327" s="1" t="str">
        <f>IF(HR_Data[[#This Row],[Years At Company]]&lt;=HR_Data[[#This Row],[Total Working Years]],"Valid","error")</f>
        <v>Valid</v>
      </c>
      <c r="R327" s="1" t="str" cm="1">
        <f t="array" ref="R327">_xlfn.IFS(HR_Data[[#This Row],[Age]]&lt;=30,"Young", HR_Data[[#This Row],[Age]]&lt;=45,"Mid-Age",HR_Data[[#This Row],[Age]]&gt;45,"Senior")</f>
        <v>Mid-Age</v>
      </c>
      <c r="S327" s="1" t="str" cm="1">
        <f t="array" ref="S327">_xlfn.IFS(HR_Data[[#This Row],[Monthly Income]]&lt;5000,"Low", HR_Data[[#This Row],[Monthly Income]]&lt;10000,"Medium",TRUE,"High")</f>
        <v>Medium</v>
      </c>
      <c r="T327" s="1" t="str" cm="1">
        <f t="array" ref="T327">_xlfn.IFS(HR_Data[[#This Row],[Total Working Years]]&lt;=5,"Junior", HR_Data[[#This Row],[Total Working Years]]&lt;=15,"Mid-Level", TRUE, "Senior")</f>
        <v>Mid-Level</v>
      </c>
    </row>
    <row r="328" spans="1:20" x14ac:dyDescent="0.25">
      <c r="A328" s="1">
        <v>444</v>
      </c>
      <c r="B328" s="1">
        <v>39</v>
      </c>
      <c r="C328" t="s">
        <v>9</v>
      </c>
      <c r="D328" t="s">
        <v>10</v>
      </c>
      <c r="E328" t="s">
        <v>15</v>
      </c>
      <c r="F328" t="s">
        <v>11</v>
      </c>
      <c r="G328" t="s">
        <v>18</v>
      </c>
      <c r="H328" s="1">
        <v>4</v>
      </c>
      <c r="I328" s="1">
        <v>19272</v>
      </c>
      <c r="J328" t="s">
        <v>9</v>
      </c>
      <c r="K328" s="1">
        <v>15</v>
      </c>
      <c r="L328" s="1">
        <v>3</v>
      </c>
      <c r="M328" s="1">
        <v>21</v>
      </c>
      <c r="N328" s="1">
        <v>3</v>
      </c>
      <c r="O328" s="1">
        <v>21</v>
      </c>
      <c r="P328" s="1">
        <f>COUNTIF(HR_Data[Employee Number],HR_Data[[#This Row],[Employee Number]])</f>
        <v>1</v>
      </c>
      <c r="Q328" s="1" t="str">
        <f>IF(HR_Data[[#This Row],[Years At Company]]&lt;=HR_Data[[#This Row],[Total Working Years]],"Valid","error")</f>
        <v>Valid</v>
      </c>
      <c r="R328" s="1" t="str" cm="1">
        <f t="array" ref="R328">_xlfn.IFS(HR_Data[[#This Row],[Age]]&lt;=30,"Young", HR_Data[[#This Row],[Age]]&lt;=45,"Mid-Age",HR_Data[[#This Row],[Age]]&gt;45,"Senior")</f>
        <v>Mid-Age</v>
      </c>
      <c r="S328" s="1" t="str" cm="1">
        <f t="array" ref="S328">_xlfn.IFS(HR_Data[[#This Row],[Monthly Income]]&lt;5000,"Low", HR_Data[[#This Row],[Monthly Income]]&lt;10000,"Medium",TRUE,"High")</f>
        <v>High</v>
      </c>
      <c r="T328" s="1" t="str" cm="1">
        <f t="array" ref="T328">_xlfn.IFS(HR_Data[[#This Row],[Total Working Years]]&lt;=5,"Junior", HR_Data[[#This Row],[Total Working Years]]&lt;=15,"Mid-Level", TRUE, "Senior")</f>
        <v>Senior</v>
      </c>
    </row>
    <row r="329" spans="1:20" x14ac:dyDescent="0.25">
      <c r="A329" s="1">
        <v>445</v>
      </c>
      <c r="B329" s="1">
        <v>39</v>
      </c>
      <c r="C329" t="s">
        <v>4</v>
      </c>
      <c r="D329" t="s">
        <v>5</v>
      </c>
      <c r="E329" t="s">
        <v>15</v>
      </c>
      <c r="F329" t="s">
        <v>7</v>
      </c>
      <c r="G329" t="s">
        <v>8</v>
      </c>
      <c r="H329" s="1">
        <v>3</v>
      </c>
      <c r="I329" s="1">
        <v>5238</v>
      </c>
      <c r="J329" t="s">
        <v>4</v>
      </c>
      <c r="K329" s="1">
        <v>18</v>
      </c>
      <c r="L329" s="1">
        <v>3</v>
      </c>
      <c r="M329" s="1">
        <v>12</v>
      </c>
      <c r="N329" s="1">
        <v>2</v>
      </c>
      <c r="O329" s="1">
        <v>1</v>
      </c>
      <c r="P329" s="1">
        <f>COUNTIF(HR_Data[Employee Number],HR_Data[[#This Row],[Employee Number]])</f>
        <v>1</v>
      </c>
      <c r="Q329" s="1" t="str">
        <f>IF(HR_Data[[#This Row],[Years At Company]]&lt;=HR_Data[[#This Row],[Total Working Years]],"Valid","error")</f>
        <v>Valid</v>
      </c>
      <c r="R329" s="1" t="str" cm="1">
        <f t="array" ref="R329">_xlfn.IFS(HR_Data[[#This Row],[Age]]&lt;=30,"Young", HR_Data[[#This Row],[Age]]&lt;=45,"Mid-Age",HR_Data[[#This Row],[Age]]&gt;45,"Senior")</f>
        <v>Mid-Age</v>
      </c>
      <c r="S329" s="1" t="str" cm="1">
        <f t="array" ref="S329">_xlfn.IFS(HR_Data[[#This Row],[Monthly Income]]&lt;5000,"Low", HR_Data[[#This Row],[Monthly Income]]&lt;10000,"Medium",TRUE,"High")</f>
        <v>Medium</v>
      </c>
      <c r="T329" s="1" t="str" cm="1">
        <f t="array" ref="T329">_xlfn.IFS(HR_Data[[#This Row],[Total Working Years]]&lt;=5,"Junior", HR_Data[[#This Row],[Total Working Years]]&lt;=15,"Mid-Level", TRUE, "Senior")</f>
        <v>Mid-Level</v>
      </c>
    </row>
    <row r="330" spans="1:20" x14ac:dyDescent="0.25">
      <c r="A330" s="1">
        <v>446</v>
      </c>
      <c r="B330" s="1">
        <v>33</v>
      </c>
      <c r="C330" t="s">
        <v>9</v>
      </c>
      <c r="D330" t="s">
        <v>5</v>
      </c>
      <c r="E330" t="s">
        <v>21</v>
      </c>
      <c r="F330" t="s">
        <v>11</v>
      </c>
      <c r="G330" t="s">
        <v>8</v>
      </c>
      <c r="H330" s="1">
        <v>4</v>
      </c>
      <c r="I330" s="1">
        <v>4682</v>
      </c>
      <c r="J330" t="s">
        <v>9</v>
      </c>
      <c r="K330" s="1">
        <v>14</v>
      </c>
      <c r="L330" s="1">
        <v>3</v>
      </c>
      <c r="M330" s="1">
        <v>9</v>
      </c>
      <c r="N330" s="1">
        <v>2</v>
      </c>
      <c r="O330" s="1">
        <v>7</v>
      </c>
      <c r="P330" s="1">
        <f>COUNTIF(HR_Data[Employee Number],HR_Data[[#This Row],[Employee Number]])</f>
        <v>1</v>
      </c>
      <c r="Q330" s="1" t="str">
        <f>IF(HR_Data[[#This Row],[Years At Company]]&lt;=HR_Data[[#This Row],[Total Working Years]],"Valid","error")</f>
        <v>Valid</v>
      </c>
      <c r="R330" s="1" t="str" cm="1">
        <f t="array" ref="R330">_xlfn.IFS(HR_Data[[#This Row],[Age]]&lt;=30,"Young", HR_Data[[#This Row],[Age]]&lt;=45,"Mid-Age",HR_Data[[#This Row],[Age]]&gt;45,"Senior")</f>
        <v>Mid-Age</v>
      </c>
      <c r="S330" s="1" t="str" cm="1">
        <f t="array" ref="S330">_xlfn.IFS(HR_Data[[#This Row],[Monthly Income]]&lt;5000,"Low", HR_Data[[#This Row],[Monthly Income]]&lt;10000,"Medium",TRUE,"High")</f>
        <v>Low</v>
      </c>
      <c r="T330" s="1" t="str" cm="1">
        <f t="array" ref="T330">_xlfn.IFS(HR_Data[[#This Row],[Total Working Years]]&lt;=5,"Junior", HR_Data[[#This Row],[Total Working Years]]&lt;=15,"Mid-Level", TRUE, "Senior")</f>
        <v>Mid-Level</v>
      </c>
    </row>
    <row r="331" spans="1:20" x14ac:dyDescent="0.25">
      <c r="A331" s="1">
        <v>447</v>
      </c>
      <c r="B331" s="1">
        <v>47</v>
      </c>
      <c r="C331" t="s">
        <v>9</v>
      </c>
      <c r="D331" t="s">
        <v>10</v>
      </c>
      <c r="E331" t="s">
        <v>6</v>
      </c>
      <c r="F331" t="s">
        <v>11</v>
      </c>
      <c r="G331" t="s">
        <v>20</v>
      </c>
      <c r="H331" s="1">
        <v>3</v>
      </c>
      <c r="I331" s="1">
        <v>18300</v>
      </c>
      <c r="J331" t="s">
        <v>9</v>
      </c>
      <c r="K331" s="1">
        <v>11</v>
      </c>
      <c r="L331" s="1">
        <v>3</v>
      </c>
      <c r="M331" s="1">
        <v>21</v>
      </c>
      <c r="N331" s="1">
        <v>3</v>
      </c>
      <c r="O331" s="1">
        <v>3</v>
      </c>
      <c r="P331" s="1">
        <f>COUNTIF(HR_Data[Employee Number],HR_Data[[#This Row],[Employee Number]])</f>
        <v>1</v>
      </c>
      <c r="Q331" s="1" t="str">
        <f>IF(HR_Data[[#This Row],[Years At Company]]&lt;=HR_Data[[#This Row],[Total Working Years]],"Valid","error")</f>
        <v>Valid</v>
      </c>
      <c r="R331" s="1" t="str" cm="1">
        <f t="array" ref="R331">_xlfn.IFS(HR_Data[[#This Row],[Age]]&lt;=30,"Young", HR_Data[[#This Row],[Age]]&lt;=45,"Mid-Age",HR_Data[[#This Row],[Age]]&gt;45,"Senior")</f>
        <v>Senior</v>
      </c>
      <c r="S331" s="1" t="str" cm="1">
        <f t="array" ref="S331">_xlfn.IFS(HR_Data[[#This Row],[Monthly Income]]&lt;5000,"Low", HR_Data[[#This Row],[Monthly Income]]&lt;10000,"Medium",TRUE,"High")</f>
        <v>High</v>
      </c>
      <c r="T331" s="1" t="str" cm="1">
        <f t="array" ref="T331">_xlfn.IFS(HR_Data[[#This Row],[Total Working Years]]&lt;=5,"Junior", HR_Data[[#This Row],[Total Working Years]]&lt;=15,"Mid-Level", TRUE, "Senior")</f>
        <v>Senior</v>
      </c>
    </row>
    <row r="332" spans="1:20" x14ac:dyDescent="0.25">
      <c r="A332" s="1">
        <v>448</v>
      </c>
      <c r="B332" s="1">
        <v>43</v>
      </c>
      <c r="C332" t="s">
        <v>9</v>
      </c>
      <c r="D332" t="s">
        <v>10</v>
      </c>
      <c r="E332" t="s">
        <v>6</v>
      </c>
      <c r="F332" t="s">
        <v>7</v>
      </c>
      <c r="G332" t="s">
        <v>14</v>
      </c>
      <c r="H332" s="1">
        <v>3</v>
      </c>
      <c r="I332" s="1">
        <v>5257</v>
      </c>
      <c r="J332" t="s">
        <v>9</v>
      </c>
      <c r="K332" s="1">
        <v>11</v>
      </c>
      <c r="L332" s="1">
        <v>3</v>
      </c>
      <c r="M332" s="1">
        <v>9</v>
      </c>
      <c r="N332" s="1">
        <v>4</v>
      </c>
      <c r="O332" s="1">
        <v>9</v>
      </c>
      <c r="P332" s="1">
        <f>COUNTIF(HR_Data[Employee Number],HR_Data[[#This Row],[Employee Number]])</f>
        <v>1</v>
      </c>
      <c r="Q332" s="1" t="str">
        <f>IF(HR_Data[[#This Row],[Years At Company]]&lt;=HR_Data[[#This Row],[Total Working Years]],"Valid","error")</f>
        <v>Valid</v>
      </c>
      <c r="R332" s="1" t="str" cm="1">
        <f t="array" ref="R332">_xlfn.IFS(HR_Data[[#This Row],[Age]]&lt;=30,"Young", HR_Data[[#This Row],[Age]]&lt;=45,"Mid-Age",HR_Data[[#This Row],[Age]]&gt;45,"Senior")</f>
        <v>Mid-Age</v>
      </c>
      <c r="S332" s="1" t="str" cm="1">
        <f t="array" ref="S332">_xlfn.IFS(HR_Data[[#This Row],[Monthly Income]]&lt;5000,"Low", HR_Data[[#This Row],[Monthly Income]]&lt;10000,"Medium",TRUE,"High")</f>
        <v>Medium</v>
      </c>
      <c r="T332" s="1" t="str" cm="1">
        <f t="array" ref="T332">_xlfn.IFS(HR_Data[[#This Row],[Total Working Years]]&lt;=5,"Junior", HR_Data[[#This Row],[Total Working Years]]&lt;=15,"Mid-Level", TRUE, "Senior")</f>
        <v>Mid-Level</v>
      </c>
    </row>
    <row r="333" spans="1:20" x14ac:dyDescent="0.25">
      <c r="A333" s="1">
        <v>449</v>
      </c>
      <c r="B333" s="1">
        <v>27</v>
      </c>
      <c r="C333" t="s">
        <v>9</v>
      </c>
      <c r="D333" t="s">
        <v>5</v>
      </c>
      <c r="E333" t="s">
        <v>21</v>
      </c>
      <c r="F333" t="s">
        <v>11</v>
      </c>
      <c r="G333" t="s">
        <v>8</v>
      </c>
      <c r="H333" s="1">
        <v>2</v>
      </c>
      <c r="I333" s="1">
        <v>6349</v>
      </c>
      <c r="J333" t="s">
        <v>4</v>
      </c>
      <c r="K333" s="1">
        <v>13</v>
      </c>
      <c r="L333" s="1">
        <v>3</v>
      </c>
      <c r="M333" s="1">
        <v>6</v>
      </c>
      <c r="N333" s="1">
        <v>3</v>
      </c>
      <c r="O333" s="1">
        <v>5</v>
      </c>
      <c r="P333" s="1">
        <f>COUNTIF(HR_Data[Employee Number],HR_Data[[#This Row],[Employee Number]])</f>
        <v>1</v>
      </c>
      <c r="Q333" s="1" t="str">
        <f>IF(HR_Data[[#This Row],[Years At Company]]&lt;=HR_Data[[#This Row],[Total Working Years]],"Valid","error")</f>
        <v>Valid</v>
      </c>
      <c r="R333" s="1" t="str" cm="1">
        <f t="array" ref="R333">_xlfn.IFS(HR_Data[[#This Row],[Age]]&lt;=30,"Young", HR_Data[[#This Row],[Age]]&lt;=45,"Mid-Age",HR_Data[[#This Row],[Age]]&gt;45,"Senior")</f>
        <v>Young</v>
      </c>
      <c r="S333" s="1" t="str" cm="1">
        <f t="array" ref="S333">_xlfn.IFS(HR_Data[[#This Row],[Monthly Income]]&lt;5000,"Low", HR_Data[[#This Row],[Monthly Income]]&lt;10000,"Medium",TRUE,"High")</f>
        <v>Medium</v>
      </c>
      <c r="T333" s="1" t="str" cm="1">
        <f t="array" ref="T333">_xlfn.IFS(HR_Data[[#This Row],[Total Working Years]]&lt;=5,"Junior", HR_Data[[#This Row],[Total Working Years]]&lt;=15,"Mid-Level", TRUE, "Senior")</f>
        <v>Mid-Level</v>
      </c>
    </row>
    <row r="334" spans="1:20" x14ac:dyDescent="0.25">
      <c r="A334" s="1">
        <v>450</v>
      </c>
      <c r="B334" s="1">
        <v>54</v>
      </c>
      <c r="C334" t="s">
        <v>9</v>
      </c>
      <c r="D334" t="s">
        <v>10</v>
      </c>
      <c r="E334" t="s">
        <v>6</v>
      </c>
      <c r="F334" t="s">
        <v>7</v>
      </c>
      <c r="G334" t="s">
        <v>12</v>
      </c>
      <c r="H334" s="1">
        <v>3</v>
      </c>
      <c r="I334" s="1">
        <v>4869</v>
      </c>
      <c r="J334" t="s">
        <v>9</v>
      </c>
      <c r="K334" s="1">
        <v>12</v>
      </c>
      <c r="L334" s="1">
        <v>3</v>
      </c>
      <c r="M334" s="1">
        <v>20</v>
      </c>
      <c r="N334" s="1">
        <v>2</v>
      </c>
      <c r="O334" s="1">
        <v>4</v>
      </c>
      <c r="P334" s="1">
        <f>COUNTIF(HR_Data[Employee Number],HR_Data[[#This Row],[Employee Number]])</f>
        <v>1</v>
      </c>
      <c r="Q334" s="1" t="str">
        <f>IF(HR_Data[[#This Row],[Years At Company]]&lt;=HR_Data[[#This Row],[Total Working Years]],"Valid","error")</f>
        <v>Valid</v>
      </c>
      <c r="R334" s="1" t="str" cm="1">
        <f t="array" ref="R334">_xlfn.IFS(HR_Data[[#This Row],[Age]]&lt;=30,"Young", HR_Data[[#This Row],[Age]]&lt;=45,"Mid-Age",HR_Data[[#This Row],[Age]]&gt;45,"Senior")</f>
        <v>Senior</v>
      </c>
      <c r="S334" s="1" t="str" cm="1">
        <f t="array" ref="S334">_xlfn.IFS(HR_Data[[#This Row],[Monthly Income]]&lt;5000,"Low", HR_Data[[#This Row],[Monthly Income]]&lt;10000,"Medium",TRUE,"High")</f>
        <v>Low</v>
      </c>
      <c r="T334" s="1" t="str" cm="1">
        <f t="array" ref="T334">_xlfn.IFS(HR_Data[[#This Row],[Total Working Years]]&lt;=5,"Junior", HR_Data[[#This Row],[Total Working Years]]&lt;=15,"Mid-Level", TRUE, "Senior")</f>
        <v>Senior</v>
      </c>
    </row>
    <row r="335" spans="1:20" x14ac:dyDescent="0.25">
      <c r="A335" s="1">
        <v>451</v>
      </c>
      <c r="B335" s="1">
        <v>43</v>
      </c>
      <c r="C335" t="s">
        <v>9</v>
      </c>
      <c r="D335" t="s">
        <v>10</v>
      </c>
      <c r="E335" t="s">
        <v>6</v>
      </c>
      <c r="F335" t="s">
        <v>7</v>
      </c>
      <c r="G335" t="s">
        <v>17</v>
      </c>
      <c r="H335" s="1">
        <v>1</v>
      </c>
      <c r="I335" s="1">
        <v>9985</v>
      </c>
      <c r="J335" t="s">
        <v>9</v>
      </c>
      <c r="K335" s="1">
        <v>16</v>
      </c>
      <c r="L335" s="1">
        <v>3</v>
      </c>
      <c r="M335" s="1">
        <v>10</v>
      </c>
      <c r="N335" s="1">
        <v>2</v>
      </c>
      <c r="O335" s="1">
        <v>1</v>
      </c>
      <c r="P335" s="1">
        <f>COUNTIF(HR_Data[Employee Number],HR_Data[[#This Row],[Employee Number]])</f>
        <v>1</v>
      </c>
      <c r="Q335" s="1" t="str">
        <f>IF(HR_Data[[#This Row],[Years At Company]]&lt;=HR_Data[[#This Row],[Total Working Years]],"Valid","error")</f>
        <v>Valid</v>
      </c>
      <c r="R335" s="1" t="str" cm="1">
        <f t="array" ref="R335">_xlfn.IFS(HR_Data[[#This Row],[Age]]&lt;=30,"Young", HR_Data[[#This Row],[Age]]&lt;=45,"Mid-Age",HR_Data[[#This Row],[Age]]&gt;45,"Senior")</f>
        <v>Mid-Age</v>
      </c>
      <c r="S335" s="1" t="str" cm="1">
        <f t="array" ref="S335">_xlfn.IFS(HR_Data[[#This Row],[Monthly Income]]&lt;5000,"Low", HR_Data[[#This Row],[Monthly Income]]&lt;10000,"Medium",TRUE,"High")</f>
        <v>Medium</v>
      </c>
      <c r="T335" s="1" t="str" cm="1">
        <f t="array" ref="T335">_xlfn.IFS(HR_Data[[#This Row],[Total Working Years]]&lt;=5,"Junior", HR_Data[[#This Row],[Total Working Years]]&lt;=15,"Mid-Level", TRUE, "Senior")</f>
        <v>Mid-Level</v>
      </c>
    </row>
    <row r="336" spans="1:20" x14ac:dyDescent="0.25">
      <c r="A336" s="1">
        <v>452</v>
      </c>
      <c r="B336" s="1">
        <v>45</v>
      </c>
      <c r="C336" t="s">
        <v>9</v>
      </c>
      <c r="D336" t="s">
        <v>10</v>
      </c>
      <c r="E336" t="s">
        <v>13</v>
      </c>
      <c r="F336" t="s">
        <v>11</v>
      </c>
      <c r="G336" t="s">
        <v>12</v>
      </c>
      <c r="H336" s="1">
        <v>4</v>
      </c>
      <c r="I336" s="1">
        <v>3697</v>
      </c>
      <c r="J336" t="s">
        <v>9</v>
      </c>
      <c r="K336" s="1">
        <v>14</v>
      </c>
      <c r="L336" s="1">
        <v>3</v>
      </c>
      <c r="M336" s="1">
        <v>12</v>
      </c>
      <c r="N336" s="1">
        <v>3</v>
      </c>
      <c r="O336" s="1">
        <v>10</v>
      </c>
      <c r="P336" s="1">
        <f>COUNTIF(HR_Data[Employee Number],HR_Data[[#This Row],[Employee Number]])</f>
        <v>1</v>
      </c>
      <c r="Q336" s="1" t="str">
        <f>IF(HR_Data[[#This Row],[Years At Company]]&lt;=HR_Data[[#This Row],[Total Working Years]],"Valid","error")</f>
        <v>Valid</v>
      </c>
      <c r="R336" s="1" t="str" cm="1">
        <f t="array" ref="R336">_xlfn.IFS(HR_Data[[#This Row],[Age]]&lt;=30,"Young", HR_Data[[#This Row],[Age]]&lt;=45,"Mid-Age",HR_Data[[#This Row],[Age]]&gt;45,"Senior")</f>
        <v>Mid-Age</v>
      </c>
      <c r="S336" s="1" t="str" cm="1">
        <f t="array" ref="S336">_xlfn.IFS(HR_Data[[#This Row],[Monthly Income]]&lt;5000,"Low", HR_Data[[#This Row],[Monthly Income]]&lt;10000,"Medium",TRUE,"High")</f>
        <v>Low</v>
      </c>
      <c r="T336" s="1" t="str" cm="1">
        <f t="array" ref="T336">_xlfn.IFS(HR_Data[[#This Row],[Total Working Years]]&lt;=5,"Junior", HR_Data[[#This Row],[Total Working Years]]&lt;=15,"Mid-Level", TRUE, "Senior")</f>
        <v>Mid-Level</v>
      </c>
    </row>
    <row r="337" spans="1:20" x14ac:dyDescent="0.25">
      <c r="A337" s="1">
        <v>453</v>
      </c>
      <c r="B337" s="1">
        <v>40</v>
      </c>
      <c r="C337" t="s">
        <v>9</v>
      </c>
      <c r="D337" t="s">
        <v>5</v>
      </c>
      <c r="E337" t="s">
        <v>15</v>
      </c>
      <c r="F337" t="s">
        <v>11</v>
      </c>
      <c r="G337" t="s">
        <v>8</v>
      </c>
      <c r="H337" s="1">
        <v>4</v>
      </c>
      <c r="I337" s="1">
        <v>7457</v>
      </c>
      <c r="J337" t="s">
        <v>4</v>
      </c>
      <c r="K337" s="1">
        <v>22</v>
      </c>
      <c r="L337" s="1">
        <v>4</v>
      </c>
      <c r="M337" s="1">
        <v>6</v>
      </c>
      <c r="N337" s="1">
        <v>2</v>
      </c>
      <c r="O337" s="1">
        <v>4</v>
      </c>
      <c r="P337" s="1">
        <f>COUNTIF(HR_Data[Employee Number],HR_Data[[#This Row],[Employee Number]])</f>
        <v>1</v>
      </c>
      <c r="Q337" s="1" t="str">
        <f>IF(HR_Data[[#This Row],[Years At Company]]&lt;=HR_Data[[#This Row],[Total Working Years]],"Valid","error")</f>
        <v>Valid</v>
      </c>
      <c r="R337" s="1" t="str" cm="1">
        <f t="array" ref="R337">_xlfn.IFS(HR_Data[[#This Row],[Age]]&lt;=30,"Young", HR_Data[[#This Row],[Age]]&lt;=45,"Mid-Age",HR_Data[[#This Row],[Age]]&gt;45,"Senior")</f>
        <v>Mid-Age</v>
      </c>
      <c r="S337" s="1" t="str" cm="1">
        <f t="array" ref="S337">_xlfn.IFS(HR_Data[[#This Row],[Monthly Income]]&lt;5000,"Low", HR_Data[[#This Row],[Monthly Income]]&lt;10000,"Medium",TRUE,"High")</f>
        <v>Medium</v>
      </c>
      <c r="T337" s="1" t="str" cm="1">
        <f t="array" ref="T337">_xlfn.IFS(HR_Data[[#This Row],[Total Working Years]]&lt;=5,"Junior", HR_Data[[#This Row],[Total Working Years]]&lt;=15,"Mid-Level", TRUE, "Senior")</f>
        <v>Mid-Level</v>
      </c>
    </row>
    <row r="338" spans="1:20" x14ac:dyDescent="0.25">
      <c r="A338" s="1">
        <v>454</v>
      </c>
      <c r="B338" s="1">
        <v>29</v>
      </c>
      <c r="C338" t="s">
        <v>4</v>
      </c>
      <c r="D338" t="s">
        <v>10</v>
      </c>
      <c r="E338" t="s">
        <v>13</v>
      </c>
      <c r="F338" t="s">
        <v>11</v>
      </c>
      <c r="G338" t="s">
        <v>14</v>
      </c>
      <c r="H338" s="1">
        <v>1</v>
      </c>
      <c r="I338" s="1">
        <v>2119</v>
      </c>
      <c r="J338" t="s">
        <v>4</v>
      </c>
      <c r="K338" s="1">
        <v>11</v>
      </c>
      <c r="L338" s="1">
        <v>3</v>
      </c>
      <c r="M338" s="1">
        <v>7</v>
      </c>
      <c r="N338" s="1">
        <v>2</v>
      </c>
      <c r="O338" s="1">
        <v>7</v>
      </c>
      <c r="P338" s="1">
        <f>COUNTIF(HR_Data[Employee Number],HR_Data[[#This Row],[Employee Number]])</f>
        <v>1</v>
      </c>
      <c r="Q338" s="1" t="str">
        <f>IF(HR_Data[[#This Row],[Years At Company]]&lt;=HR_Data[[#This Row],[Total Working Years]],"Valid","error")</f>
        <v>Valid</v>
      </c>
      <c r="R338" s="1" t="str" cm="1">
        <f t="array" ref="R338">_xlfn.IFS(HR_Data[[#This Row],[Age]]&lt;=30,"Young", HR_Data[[#This Row],[Age]]&lt;=45,"Mid-Age",HR_Data[[#This Row],[Age]]&gt;45,"Senior")</f>
        <v>Young</v>
      </c>
      <c r="S338" s="1" t="str" cm="1">
        <f t="array" ref="S338">_xlfn.IFS(HR_Data[[#This Row],[Monthly Income]]&lt;5000,"Low", HR_Data[[#This Row],[Monthly Income]]&lt;10000,"Medium",TRUE,"High")</f>
        <v>Low</v>
      </c>
      <c r="T338" s="1" t="str" cm="1">
        <f t="array" ref="T338">_xlfn.IFS(HR_Data[[#This Row],[Total Working Years]]&lt;=5,"Junior", HR_Data[[#This Row],[Total Working Years]]&lt;=15,"Mid-Level", TRUE, "Senior")</f>
        <v>Mid-Level</v>
      </c>
    </row>
    <row r="339" spans="1:20" x14ac:dyDescent="0.25">
      <c r="A339" s="1">
        <v>455</v>
      </c>
      <c r="B339" s="1">
        <v>29</v>
      </c>
      <c r="C339" t="s">
        <v>9</v>
      </c>
      <c r="D339" t="s">
        <v>10</v>
      </c>
      <c r="E339" t="s">
        <v>13</v>
      </c>
      <c r="F339" t="s">
        <v>11</v>
      </c>
      <c r="G339" t="s">
        <v>14</v>
      </c>
      <c r="H339" s="1">
        <v>4</v>
      </c>
      <c r="I339" s="1">
        <v>3983</v>
      </c>
      <c r="J339" t="s">
        <v>9</v>
      </c>
      <c r="K339" s="1">
        <v>17</v>
      </c>
      <c r="L339" s="1">
        <v>3</v>
      </c>
      <c r="M339" s="1">
        <v>4</v>
      </c>
      <c r="N339" s="1">
        <v>3</v>
      </c>
      <c r="O339" s="1">
        <v>3</v>
      </c>
      <c r="P339" s="1">
        <f>COUNTIF(HR_Data[Employee Number],HR_Data[[#This Row],[Employee Number]])</f>
        <v>1</v>
      </c>
      <c r="Q339" s="1" t="str">
        <f>IF(HR_Data[[#This Row],[Years At Company]]&lt;=HR_Data[[#This Row],[Total Working Years]],"Valid","error")</f>
        <v>Valid</v>
      </c>
      <c r="R339" s="1" t="str" cm="1">
        <f t="array" ref="R339">_xlfn.IFS(HR_Data[[#This Row],[Age]]&lt;=30,"Young", HR_Data[[#This Row],[Age]]&lt;=45,"Mid-Age",HR_Data[[#This Row],[Age]]&gt;45,"Senior")</f>
        <v>Young</v>
      </c>
      <c r="S339" s="1" t="str" cm="1">
        <f t="array" ref="S339">_xlfn.IFS(HR_Data[[#This Row],[Monthly Income]]&lt;5000,"Low", HR_Data[[#This Row],[Monthly Income]]&lt;10000,"Medium",TRUE,"High")</f>
        <v>Low</v>
      </c>
      <c r="T339" s="1" t="str" cm="1">
        <f t="array" ref="T339">_xlfn.IFS(HR_Data[[#This Row],[Total Working Years]]&lt;=5,"Junior", HR_Data[[#This Row],[Total Working Years]]&lt;=15,"Mid-Level", TRUE, "Senior")</f>
        <v>Junior</v>
      </c>
    </row>
    <row r="340" spans="1:20" x14ac:dyDescent="0.25">
      <c r="A340" s="1">
        <v>456</v>
      </c>
      <c r="B340" s="1">
        <v>30</v>
      </c>
      <c r="C340" t="s">
        <v>9</v>
      </c>
      <c r="D340" t="s">
        <v>5</v>
      </c>
      <c r="E340" t="s">
        <v>21</v>
      </c>
      <c r="F340" t="s">
        <v>7</v>
      </c>
      <c r="G340" t="s">
        <v>8</v>
      </c>
      <c r="H340" s="1">
        <v>3</v>
      </c>
      <c r="I340" s="1">
        <v>6118</v>
      </c>
      <c r="J340" t="s">
        <v>9</v>
      </c>
      <c r="K340" s="1">
        <v>13</v>
      </c>
      <c r="L340" s="1">
        <v>3</v>
      </c>
      <c r="M340" s="1">
        <v>10</v>
      </c>
      <c r="N340" s="1">
        <v>3</v>
      </c>
      <c r="O340" s="1">
        <v>10</v>
      </c>
      <c r="P340" s="1">
        <f>COUNTIF(HR_Data[Employee Number],HR_Data[[#This Row],[Employee Number]])</f>
        <v>1</v>
      </c>
      <c r="Q340" s="1" t="str">
        <f>IF(HR_Data[[#This Row],[Years At Company]]&lt;=HR_Data[[#This Row],[Total Working Years]],"Valid","error")</f>
        <v>Valid</v>
      </c>
      <c r="R340" s="1" t="str" cm="1">
        <f t="array" ref="R340">_xlfn.IFS(HR_Data[[#This Row],[Age]]&lt;=30,"Young", HR_Data[[#This Row],[Age]]&lt;=45,"Mid-Age",HR_Data[[#This Row],[Age]]&gt;45,"Senior")</f>
        <v>Young</v>
      </c>
      <c r="S340" s="1" t="str" cm="1">
        <f t="array" ref="S340">_xlfn.IFS(HR_Data[[#This Row],[Monthly Income]]&lt;5000,"Low", HR_Data[[#This Row],[Monthly Income]]&lt;10000,"Medium",TRUE,"High")</f>
        <v>Medium</v>
      </c>
      <c r="T340" s="1" t="str" cm="1">
        <f t="array" ref="T340">_xlfn.IFS(HR_Data[[#This Row],[Total Working Years]]&lt;=5,"Junior", HR_Data[[#This Row],[Total Working Years]]&lt;=15,"Mid-Level", TRUE, "Senior")</f>
        <v>Mid-Level</v>
      </c>
    </row>
    <row r="341" spans="1:20" x14ac:dyDescent="0.25">
      <c r="A341" s="1">
        <v>458</v>
      </c>
      <c r="B341" s="1">
        <v>27</v>
      </c>
      <c r="C341" t="s">
        <v>9</v>
      </c>
      <c r="D341" t="s">
        <v>5</v>
      </c>
      <c r="E341" t="s">
        <v>21</v>
      </c>
      <c r="F341" t="s">
        <v>7</v>
      </c>
      <c r="G341" t="s">
        <v>8</v>
      </c>
      <c r="H341" s="1">
        <v>2</v>
      </c>
      <c r="I341" s="1">
        <v>6214</v>
      </c>
      <c r="J341" t="s">
        <v>9</v>
      </c>
      <c r="K341" s="1">
        <v>18</v>
      </c>
      <c r="L341" s="1">
        <v>3</v>
      </c>
      <c r="M341" s="1">
        <v>8</v>
      </c>
      <c r="N341" s="1">
        <v>3</v>
      </c>
      <c r="O341" s="1">
        <v>8</v>
      </c>
      <c r="P341" s="1">
        <f>COUNTIF(HR_Data[Employee Number],HR_Data[[#This Row],[Employee Number]])</f>
        <v>1</v>
      </c>
      <c r="Q341" s="1" t="str">
        <f>IF(HR_Data[[#This Row],[Years At Company]]&lt;=HR_Data[[#This Row],[Total Working Years]],"Valid","error")</f>
        <v>Valid</v>
      </c>
      <c r="R341" s="1" t="str" cm="1">
        <f t="array" ref="R341">_xlfn.IFS(HR_Data[[#This Row],[Age]]&lt;=30,"Young", HR_Data[[#This Row],[Age]]&lt;=45,"Mid-Age",HR_Data[[#This Row],[Age]]&gt;45,"Senior")</f>
        <v>Young</v>
      </c>
      <c r="S341" s="1" t="str" cm="1">
        <f t="array" ref="S341">_xlfn.IFS(HR_Data[[#This Row],[Monthly Income]]&lt;5000,"Low", HR_Data[[#This Row],[Monthly Income]]&lt;10000,"Medium",TRUE,"High")</f>
        <v>Medium</v>
      </c>
      <c r="T341" s="1" t="str" cm="1">
        <f t="array" ref="T341">_xlfn.IFS(HR_Data[[#This Row],[Total Working Years]]&lt;=5,"Junior", HR_Data[[#This Row],[Total Working Years]]&lt;=15,"Mid-Level", TRUE, "Senior")</f>
        <v>Mid-Level</v>
      </c>
    </row>
    <row r="342" spans="1:20" x14ac:dyDescent="0.25">
      <c r="A342" s="1">
        <v>460</v>
      </c>
      <c r="B342" s="1">
        <v>37</v>
      </c>
      <c r="C342" t="s">
        <v>9</v>
      </c>
      <c r="D342" t="s">
        <v>10</v>
      </c>
      <c r="E342" t="s">
        <v>15</v>
      </c>
      <c r="F342" t="s">
        <v>11</v>
      </c>
      <c r="G342" t="s">
        <v>16</v>
      </c>
      <c r="H342" s="1">
        <v>4</v>
      </c>
      <c r="I342" s="1">
        <v>6347</v>
      </c>
      <c r="J342" t="s">
        <v>9</v>
      </c>
      <c r="K342" s="1">
        <v>16</v>
      </c>
      <c r="L342" s="1">
        <v>3</v>
      </c>
      <c r="M342" s="1">
        <v>8</v>
      </c>
      <c r="N342" s="1">
        <v>2</v>
      </c>
      <c r="O342" s="1">
        <v>6</v>
      </c>
      <c r="P342" s="1">
        <f>COUNTIF(HR_Data[Employee Number],HR_Data[[#This Row],[Employee Number]])</f>
        <v>1</v>
      </c>
      <c r="Q342" s="1" t="str">
        <f>IF(HR_Data[[#This Row],[Years At Company]]&lt;=HR_Data[[#This Row],[Total Working Years]],"Valid","error")</f>
        <v>Valid</v>
      </c>
      <c r="R342" s="1" t="str" cm="1">
        <f t="array" ref="R342">_xlfn.IFS(HR_Data[[#This Row],[Age]]&lt;=30,"Young", HR_Data[[#This Row],[Age]]&lt;=45,"Mid-Age",HR_Data[[#This Row],[Age]]&gt;45,"Senior")</f>
        <v>Mid-Age</v>
      </c>
      <c r="S342" s="1" t="str" cm="1">
        <f t="array" ref="S342">_xlfn.IFS(HR_Data[[#This Row],[Monthly Income]]&lt;5000,"Low", HR_Data[[#This Row],[Monthly Income]]&lt;10000,"Medium",TRUE,"High")</f>
        <v>Medium</v>
      </c>
      <c r="T342" s="1" t="str" cm="1">
        <f t="array" ref="T342">_xlfn.IFS(HR_Data[[#This Row],[Total Working Years]]&lt;=5,"Junior", HR_Data[[#This Row],[Total Working Years]]&lt;=15,"Mid-Level", TRUE, "Senior")</f>
        <v>Mid-Level</v>
      </c>
    </row>
    <row r="343" spans="1:20" x14ac:dyDescent="0.25">
      <c r="A343" s="1">
        <v>461</v>
      </c>
      <c r="B343" s="1">
        <v>38</v>
      </c>
      <c r="C343" t="s">
        <v>9</v>
      </c>
      <c r="D343" t="s">
        <v>10</v>
      </c>
      <c r="E343" t="s">
        <v>6</v>
      </c>
      <c r="F343" t="s">
        <v>11</v>
      </c>
      <c r="G343" t="s">
        <v>20</v>
      </c>
      <c r="H343" s="1">
        <v>4</v>
      </c>
      <c r="I343" s="1">
        <v>11510</v>
      </c>
      <c r="J343" t="s">
        <v>4</v>
      </c>
      <c r="K343" s="1">
        <v>14</v>
      </c>
      <c r="L343" s="1">
        <v>3</v>
      </c>
      <c r="M343" s="1">
        <v>12</v>
      </c>
      <c r="N343" s="1">
        <v>3</v>
      </c>
      <c r="O343" s="1">
        <v>11</v>
      </c>
      <c r="P343" s="1">
        <f>COUNTIF(HR_Data[Employee Number],HR_Data[[#This Row],[Employee Number]])</f>
        <v>1</v>
      </c>
      <c r="Q343" s="1" t="str">
        <f>IF(HR_Data[[#This Row],[Years At Company]]&lt;=HR_Data[[#This Row],[Total Working Years]],"Valid","error")</f>
        <v>Valid</v>
      </c>
      <c r="R343" s="1" t="str" cm="1">
        <f t="array" ref="R343">_xlfn.IFS(HR_Data[[#This Row],[Age]]&lt;=30,"Young", HR_Data[[#This Row],[Age]]&lt;=45,"Mid-Age",HR_Data[[#This Row],[Age]]&gt;45,"Senior")</f>
        <v>Mid-Age</v>
      </c>
      <c r="S343" s="1" t="str" cm="1">
        <f t="array" ref="S343">_xlfn.IFS(HR_Data[[#This Row],[Monthly Income]]&lt;5000,"Low", HR_Data[[#This Row],[Monthly Income]]&lt;10000,"Medium",TRUE,"High")</f>
        <v>High</v>
      </c>
      <c r="T343" s="1" t="str" cm="1">
        <f t="array" ref="T343">_xlfn.IFS(HR_Data[[#This Row],[Total Working Years]]&lt;=5,"Junior", HR_Data[[#This Row],[Total Working Years]]&lt;=15,"Mid-Level", TRUE, "Senior")</f>
        <v>Mid-Level</v>
      </c>
    </row>
    <row r="344" spans="1:20" x14ac:dyDescent="0.25">
      <c r="A344" s="1">
        <v>462</v>
      </c>
      <c r="B344" s="1">
        <v>31</v>
      </c>
      <c r="C344" t="s">
        <v>9</v>
      </c>
      <c r="D344" t="s">
        <v>10</v>
      </c>
      <c r="E344" t="s">
        <v>15</v>
      </c>
      <c r="F344" t="s">
        <v>7</v>
      </c>
      <c r="G344" t="s">
        <v>16</v>
      </c>
      <c r="H344" s="1">
        <v>4</v>
      </c>
      <c r="I344" s="1">
        <v>7143</v>
      </c>
      <c r="J344" t="s">
        <v>4</v>
      </c>
      <c r="K344" s="1">
        <v>14</v>
      </c>
      <c r="L344" s="1">
        <v>3</v>
      </c>
      <c r="M344" s="1">
        <v>11</v>
      </c>
      <c r="N344" s="1">
        <v>2</v>
      </c>
      <c r="O344" s="1">
        <v>11</v>
      </c>
      <c r="P344" s="1">
        <f>COUNTIF(HR_Data[Employee Number],HR_Data[[#This Row],[Employee Number]])</f>
        <v>1</v>
      </c>
      <c r="Q344" s="1" t="str">
        <f>IF(HR_Data[[#This Row],[Years At Company]]&lt;=HR_Data[[#This Row],[Total Working Years]],"Valid","error")</f>
        <v>Valid</v>
      </c>
      <c r="R344" s="1" t="str" cm="1">
        <f t="array" ref="R344">_xlfn.IFS(HR_Data[[#This Row],[Age]]&lt;=30,"Young", HR_Data[[#This Row],[Age]]&lt;=45,"Mid-Age",HR_Data[[#This Row],[Age]]&gt;45,"Senior")</f>
        <v>Mid-Age</v>
      </c>
      <c r="S344" s="1" t="str" cm="1">
        <f t="array" ref="S344">_xlfn.IFS(HR_Data[[#This Row],[Monthly Income]]&lt;5000,"Low", HR_Data[[#This Row],[Monthly Income]]&lt;10000,"Medium",TRUE,"High")</f>
        <v>Medium</v>
      </c>
      <c r="T344" s="1" t="str" cm="1">
        <f t="array" ref="T344">_xlfn.IFS(HR_Data[[#This Row],[Total Working Years]]&lt;=5,"Junior", HR_Data[[#This Row],[Total Working Years]]&lt;=15,"Mid-Level", TRUE, "Senior")</f>
        <v>Mid-Level</v>
      </c>
    </row>
    <row r="345" spans="1:20" x14ac:dyDescent="0.25">
      <c r="A345" s="1">
        <v>463</v>
      </c>
      <c r="B345" s="1">
        <v>29</v>
      </c>
      <c r="C345" t="s">
        <v>9</v>
      </c>
      <c r="D345" t="s">
        <v>5</v>
      </c>
      <c r="E345" t="s">
        <v>21</v>
      </c>
      <c r="F345" t="s">
        <v>7</v>
      </c>
      <c r="G345" t="s">
        <v>8</v>
      </c>
      <c r="H345" s="1">
        <v>2</v>
      </c>
      <c r="I345" s="1">
        <v>8268</v>
      </c>
      <c r="J345" t="s">
        <v>4</v>
      </c>
      <c r="K345" s="1">
        <v>14</v>
      </c>
      <c r="L345" s="1">
        <v>3</v>
      </c>
      <c r="M345" s="1">
        <v>7</v>
      </c>
      <c r="N345" s="1">
        <v>3</v>
      </c>
      <c r="O345" s="1">
        <v>7</v>
      </c>
      <c r="P345" s="1">
        <f>COUNTIF(HR_Data[Employee Number],HR_Data[[#This Row],[Employee Number]])</f>
        <v>1</v>
      </c>
      <c r="Q345" s="1" t="str">
        <f>IF(HR_Data[[#This Row],[Years At Company]]&lt;=HR_Data[[#This Row],[Total Working Years]],"Valid","error")</f>
        <v>Valid</v>
      </c>
      <c r="R345" s="1" t="str" cm="1">
        <f t="array" ref="R345">_xlfn.IFS(HR_Data[[#This Row],[Age]]&lt;=30,"Young", HR_Data[[#This Row],[Age]]&lt;=45,"Mid-Age",HR_Data[[#This Row],[Age]]&gt;45,"Senior")</f>
        <v>Young</v>
      </c>
      <c r="S345" s="1" t="str" cm="1">
        <f t="array" ref="S345">_xlfn.IFS(HR_Data[[#This Row],[Monthly Income]]&lt;5000,"Low", HR_Data[[#This Row],[Monthly Income]]&lt;10000,"Medium",TRUE,"High")</f>
        <v>Medium</v>
      </c>
      <c r="T345" s="1" t="str" cm="1">
        <f t="array" ref="T345">_xlfn.IFS(HR_Data[[#This Row],[Total Working Years]]&lt;=5,"Junior", HR_Data[[#This Row],[Total Working Years]]&lt;=15,"Mid-Level", TRUE, "Senior")</f>
        <v>Mid-Level</v>
      </c>
    </row>
    <row r="346" spans="1:20" x14ac:dyDescent="0.25">
      <c r="A346" s="1">
        <v>464</v>
      </c>
      <c r="B346" s="1">
        <v>35</v>
      </c>
      <c r="C346" t="s">
        <v>9</v>
      </c>
      <c r="D346" t="s">
        <v>10</v>
      </c>
      <c r="E346" t="s">
        <v>22</v>
      </c>
      <c r="F346" t="s">
        <v>11</v>
      </c>
      <c r="G346" t="s">
        <v>16</v>
      </c>
      <c r="H346" s="1">
        <v>2</v>
      </c>
      <c r="I346" s="1">
        <v>8095</v>
      </c>
      <c r="J346" t="s">
        <v>9</v>
      </c>
      <c r="K346" s="1">
        <v>13</v>
      </c>
      <c r="L346" s="1">
        <v>3</v>
      </c>
      <c r="M346" s="1">
        <v>17</v>
      </c>
      <c r="N346" s="1">
        <v>3</v>
      </c>
      <c r="O346" s="1">
        <v>16</v>
      </c>
      <c r="P346" s="1">
        <f>COUNTIF(HR_Data[Employee Number],HR_Data[[#This Row],[Employee Number]])</f>
        <v>1</v>
      </c>
      <c r="Q346" s="1" t="str">
        <f>IF(HR_Data[[#This Row],[Years At Company]]&lt;=HR_Data[[#This Row],[Total Working Years]],"Valid","error")</f>
        <v>Valid</v>
      </c>
      <c r="R346" s="1" t="str" cm="1">
        <f t="array" ref="R346">_xlfn.IFS(HR_Data[[#This Row],[Age]]&lt;=30,"Young", HR_Data[[#This Row],[Age]]&lt;=45,"Mid-Age",HR_Data[[#This Row],[Age]]&gt;45,"Senior")</f>
        <v>Mid-Age</v>
      </c>
      <c r="S346" s="1" t="str" cm="1">
        <f t="array" ref="S346">_xlfn.IFS(HR_Data[[#This Row],[Monthly Income]]&lt;5000,"Low", HR_Data[[#This Row],[Monthly Income]]&lt;10000,"Medium",TRUE,"High")</f>
        <v>Medium</v>
      </c>
      <c r="T346" s="1" t="str" cm="1">
        <f t="array" ref="T346">_xlfn.IFS(HR_Data[[#This Row],[Total Working Years]]&lt;=5,"Junior", HR_Data[[#This Row],[Total Working Years]]&lt;=15,"Mid-Level", TRUE, "Senior")</f>
        <v>Senior</v>
      </c>
    </row>
    <row r="347" spans="1:20" x14ac:dyDescent="0.25">
      <c r="A347" s="1">
        <v>465</v>
      </c>
      <c r="B347" s="1">
        <v>23</v>
      </c>
      <c r="C347" t="s">
        <v>9</v>
      </c>
      <c r="D347" t="s">
        <v>10</v>
      </c>
      <c r="E347" t="s">
        <v>6</v>
      </c>
      <c r="F347" t="s">
        <v>11</v>
      </c>
      <c r="G347" t="s">
        <v>12</v>
      </c>
      <c r="H347" s="1">
        <v>4</v>
      </c>
      <c r="I347" s="1">
        <v>2904</v>
      </c>
      <c r="J347" t="s">
        <v>9</v>
      </c>
      <c r="K347" s="1">
        <v>12</v>
      </c>
      <c r="L347" s="1">
        <v>3</v>
      </c>
      <c r="M347" s="1">
        <v>4</v>
      </c>
      <c r="N347" s="1">
        <v>2</v>
      </c>
      <c r="O347" s="1">
        <v>4</v>
      </c>
      <c r="P347" s="1">
        <f>COUNTIF(HR_Data[Employee Number],HR_Data[[#This Row],[Employee Number]])</f>
        <v>1</v>
      </c>
      <c r="Q347" s="1" t="str">
        <f>IF(HR_Data[[#This Row],[Years At Company]]&lt;=HR_Data[[#This Row],[Total Working Years]],"Valid","error")</f>
        <v>Valid</v>
      </c>
      <c r="R347" s="1" t="str" cm="1">
        <f t="array" ref="R347">_xlfn.IFS(HR_Data[[#This Row],[Age]]&lt;=30,"Young", HR_Data[[#This Row],[Age]]&lt;=45,"Mid-Age",HR_Data[[#This Row],[Age]]&gt;45,"Senior")</f>
        <v>Young</v>
      </c>
      <c r="S347" s="1" t="str" cm="1">
        <f t="array" ref="S347">_xlfn.IFS(HR_Data[[#This Row],[Monthly Income]]&lt;5000,"Low", HR_Data[[#This Row],[Monthly Income]]&lt;10000,"Medium",TRUE,"High")</f>
        <v>Low</v>
      </c>
      <c r="T347" s="1" t="str" cm="1">
        <f t="array" ref="T347">_xlfn.IFS(HR_Data[[#This Row],[Total Working Years]]&lt;=5,"Junior", HR_Data[[#This Row],[Total Working Years]]&lt;=15,"Mid-Level", TRUE, "Senior")</f>
        <v>Junior</v>
      </c>
    </row>
    <row r="348" spans="1:20" x14ac:dyDescent="0.25">
      <c r="A348" s="1">
        <v>466</v>
      </c>
      <c r="B348" s="1">
        <v>41</v>
      </c>
      <c r="C348" t="s">
        <v>9</v>
      </c>
      <c r="D348" t="s">
        <v>10</v>
      </c>
      <c r="E348" t="s">
        <v>15</v>
      </c>
      <c r="F348" t="s">
        <v>11</v>
      </c>
      <c r="G348" t="s">
        <v>16</v>
      </c>
      <c r="H348" s="1">
        <v>2</v>
      </c>
      <c r="I348" s="1">
        <v>6032</v>
      </c>
      <c r="J348" t="s">
        <v>4</v>
      </c>
      <c r="K348" s="1">
        <v>15</v>
      </c>
      <c r="L348" s="1">
        <v>3</v>
      </c>
      <c r="M348" s="1">
        <v>8</v>
      </c>
      <c r="N348" s="1">
        <v>3</v>
      </c>
      <c r="O348" s="1">
        <v>5</v>
      </c>
      <c r="P348" s="1">
        <f>COUNTIF(HR_Data[Employee Number],HR_Data[[#This Row],[Employee Number]])</f>
        <v>1</v>
      </c>
      <c r="Q348" s="1" t="str">
        <f>IF(HR_Data[[#This Row],[Years At Company]]&lt;=HR_Data[[#This Row],[Total Working Years]],"Valid","error")</f>
        <v>Valid</v>
      </c>
      <c r="R348" s="1" t="str" cm="1">
        <f t="array" ref="R348">_xlfn.IFS(HR_Data[[#This Row],[Age]]&lt;=30,"Young", HR_Data[[#This Row],[Age]]&lt;=45,"Mid-Age",HR_Data[[#This Row],[Age]]&gt;45,"Senior")</f>
        <v>Mid-Age</v>
      </c>
      <c r="S348" s="1" t="str" cm="1">
        <f t="array" ref="S348">_xlfn.IFS(HR_Data[[#This Row],[Monthly Income]]&lt;5000,"Low", HR_Data[[#This Row],[Monthly Income]]&lt;10000,"Medium",TRUE,"High")</f>
        <v>Medium</v>
      </c>
      <c r="T348" s="1" t="str" cm="1">
        <f t="array" ref="T348">_xlfn.IFS(HR_Data[[#This Row],[Total Working Years]]&lt;=5,"Junior", HR_Data[[#This Row],[Total Working Years]]&lt;=15,"Mid-Level", TRUE, "Senior")</f>
        <v>Mid-Level</v>
      </c>
    </row>
    <row r="349" spans="1:20" x14ac:dyDescent="0.25">
      <c r="A349" s="1">
        <v>467</v>
      </c>
      <c r="B349" s="1">
        <v>47</v>
      </c>
      <c r="C349" t="s">
        <v>9</v>
      </c>
      <c r="D349" t="s">
        <v>5</v>
      </c>
      <c r="E349" t="s">
        <v>15</v>
      </c>
      <c r="F349" t="s">
        <v>11</v>
      </c>
      <c r="G349" t="s">
        <v>19</v>
      </c>
      <c r="H349" s="1">
        <v>3</v>
      </c>
      <c r="I349" s="1">
        <v>2976</v>
      </c>
      <c r="J349" t="s">
        <v>9</v>
      </c>
      <c r="K349" s="1">
        <v>19</v>
      </c>
      <c r="L349" s="1">
        <v>3</v>
      </c>
      <c r="M349" s="1">
        <v>5</v>
      </c>
      <c r="N349" s="1">
        <v>3</v>
      </c>
      <c r="O349" s="1">
        <v>0</v>
      </c>
      <c r="P349" s="1">
        <f>COUNTIF(HR_Data[Employee Number],HR_Data[[#This Row],[Employee Number]])</f>
        <v>1</v>
      </c>
      <c r="Q349" s="1" t="str">
        <f>IF(HR_Data[[#This Row],[Years At Company]]&lt;=HR_Data[[#This Row],[Total Working Years]],"Valid","error")</f>
        <v>Valid</v>
      </c>
      <c r="R349" s="1" t="str" cm="1">
        <f t="array" ref="R349">_xlfn.IFS(HR_Data[[#This Row],[Age]]&lt;=30,"Young", HR_Data[[#This Row],[Age]]&lt;=45,"Mid-Age",HR_Data[[#This Row],[Age]]&gt;45,"Senior")</f>
        <v>Senior</v>
      </c>
      <c r="S349" s="1" t="str" cm="1">
        <f t="array" ref="S349">_xlfn.IFS(HR_Data[[#This Row],[Monthly Income]]&lt;5000,"Low", HR_Data[[#This Row],[Monthly Income]]&lt;10000,"Medium",TRUE,"High")</f>
        <v>Low</v>
      </c>
      <c r="T349" s="1" t="str" cm="1">
        <f t="array" ref="T349">_xlfn.IFS(HR_Data[[#This Row],[Total Working Years]]&lt;=5,"Junior", HR_Data[[#This Row],[Total Working Years]]&lt;=15,"Mid-Level", TRUE, "Senior")</f>
        <v>Junior</v>
      </c>
    </row>
    <row r="350" spans="1:20" x14ac:dyDescent="0.25">
      <c r="A350" s="1">
        <v>468</v>
      </c>
      <c r="B350" s="1">
        <v>42</v>
      </c>
      <c r="C350" t="s">
        <v>9</v>
      </c>
      <c r="D350" t="s">
        <v>10</v>
      </c>
      <c r="E350" t="s">
        <v>6</v>
      </c>
      <c r="F350" t="s">
        <v>7</v>
      </c>
      <c r="G350" t="s">
        <v>20</v>
      </c>
      <c r="H350" s="1">
        <v>4</v>
      </c>
      <c r="I350" s="1">
        <v>15992</v>
      </c>
      <c r="J350" t="s">
        <v>9</v>
      </c>
      <c r="K350" s="1">
        <v>14</v>
      </c>
      <c r="L350" s="1">
        <v>3</v>
      </c>
      <c r="M350" s="1">
        <v>16</v>
      </c>
      <c r="N350" s="1">
        <v>3</v>
      </c>
      <c r="O350" s="1">
        <v>1</v>
      </c>
      <c r="P350" s="1">
        <f>COUNTIF(HR_Data[Employee Number],HR_Data[[#This Row],[Employee Number]])</f>
        <v>1</v>
      </c>
      <c r="Q350" s="1" t="str">
        <f>IF(HR_Data[[#This Row],[Years At Company]]&lt;=HR_Data[[#This Row],[Total Working Years]],"Valid","error")</f>
        <v>Valid</v>
      </c>
      <c r="R350" s="1" t="str" cm="1">
        <f t="array" ref="R350">_xlfn.IFS(HR_Data[[#This Row],[Age]]&lt;=30,"Young", HR_Data[[#This Row],[Age]]&lt;=45,"Mid-Age",HR_Data[[#This Row],[Age]]&gt;45,"Senior")</f>
        <v>Mid-Age</v>
      </c>
      <c r="S350" s="1" t="str" cm="1">
        <f t="array" ref="S350">_xlfn.IFS(HR_Data[[#This Row],[Monthly Income]]&lt;5000,"Low", HR_Data[[#This Row],[Monthly Income]]&lt;10000,"Medium",TRUE,"High")</f>
        <v>High</v>
      </c>
      <c r="T350" s="1" t="str" cm="1">
        <f t="array" ref="T350">_xlfn.IFS(HR_Data[[#This Row],[Total Working Years]]&lt;=5,"Junior", HR_Data[[#This Row],[Total Working Years]]&lt;=15,"Mid-Level", TRUE, "Senior")</f>
        <v>Senior</v>
      </c>
    </row>
    <row r="351" spans="1:20" x14ac:dyDescent="0.25">
      <c r="A351" s="1">
        <v>469</v>
      </c>
      <c r="B351" s="1">
        <v>29</v>
      </c>
      <c r="C351" t="s">
        <v>9</v>
      </c>
      <c r="D351" t="s">
        <v>5</v>
      </c>
      <c r="E351" t="s">
        <v>6</v>
      </c>
      <c r="F351" t="s">
        <v>11</v>
      </c>
      <c r="G351" t="s">
        <v>8</v>
      </c>
      <c r="H351" s="1">
        <v>3</v>
      </c>
      <c r="I351" s="1">
        <v>4649</v>
      </c>
      <c r="J351" t="s">
        <v>9</v>
      </c>
      <c r="K351" s="1">
        <v>14</v>
      </c>
      <c r="L351" s="1">
        <v>3</v>
      </c>
      <c r="M351" s="1">
        <v>4</v>
      </c>
      <c r="N351" s="1">
        <v>2</v>
      </c>
      <c r="O351" s="1">
        <v>4</v>
      </c>
      <c r="P351" s="1">
        <f>COUNTIF(HR_Data[Employee Number],HR_Data[[#This Row],[Employee Number]])</f>
        <v>1</v>
      </c>
      <c r="Q351" s="1" t="str">
        <f>IF(HR_Data[[#This Row],[Years At Company]]&lt;=HR_Data[[#This Row],[Total Working Years]],"Valid","error")</f>
        <v>Valid</v>
      </c>
      <c r="R351" s="1" t="str" cm="1">
        <f t="array" ref="R351">_xlfn.IFS(HR_Data[[#This Row],[Age]]&lt;=30,"Young", HR_Data[[#This Row],[Age]]&lt;=45,"Mid-Age",HR_Data[[#This Row],[Age]]&gt;45,"Senior")</f>
        <v>Young</v>
      </c>
      <c r="S351" s="1" t="str" cm="1">
        <f t="array" ref="S351">_xlfn.IFS(HR_Data[[#This Row],[Monthly Income]]&lt;5000,"Low", HR_Data[[#This Row],[Monthly Income]]&lt;10000,"Medium",TRUE,"High")</f>
        <v>Low</v>
      </c>
      <c r="T351" s="1" t="str" cm="1">
        <f t="array" ref="T351">_xlfn.IFS(HR_Data[[#This Row],[Total Working Years]]&lt;=5,"Junior", HR_Data[[#This Row],[Total Working Years]]&lt;=15,"Mid-Level", TRUE, "Senior")</f>
        <v>Junior</v>
      </c>
    </row>
    <row r="352" spans="1:20" x14ac:dyDescent="0.25">
      <c r="A352" s="1">
        <v>470</v>
      </c>
      <c r="B352" s="1">
        <v>42</v>
      </c>
      <c r="C352" t="s">
        <v>9</v>
      </c>
      <c r="D352" t="s">
        <v>23</v>
      </c>
      <c r="E352" t="s">
        <v>22</v>
      </c>
      <c r="F352" t="s">
        <v>11</v>
      </c>
      <c r="G352" t="s">
        <v>23</v>
      </c>
      <c r="H352" s="1">
        <v>3</v>
      </c>
      <c r="I352" s="1">
        <v>2696</v>
      </c>
      <c r="J352" t="s">
        <v>4</v>
      </c>
      <c r="K352" s="1">
        <v>11</v>
      </c>
      <c r="L352" s="1">
        <v>3</v>
      </c>
      <c r="M352" s="1">
        <v>4</v>
      </c>
      <c r="N352" s="1">
        <v>3</v>
      </c>
      <c r="O352" s="1">
        <v>3</v>
      </c>
      <c r="P352" s="1">
        <f>COUNTIF(HR_Data[Employee Number],HR_Data[[#This Row],[Employee Number]])</f>
        <v>1</v>
      </c>
      <c r="Q352" s="1" t="str">
        <f>IF(HR_Data[[#This Row],[Years At Company]]&lt;=HR_Data[[#This Row],[Total Working Years]],"Valid","error")</f>
        <v>Valid</v>
      </c>
      <c r="R352" s="1" t="str" cm="1">
        <f t="array" ref="R352">_xlfn.IFS(HR_Data[[#This Row],[Age]]&lt;=30,"Young", HR_Data[[#This Row],[Age]]&lt;=45,"Mid-Age",HR_Data[[#This Row],[Age]]&gt;45,"Senior")</f>
        <v>Mid-Age</v>
      </c>
      <c r="S352" s="1" t="str" cm="1">
        <f t="array" ref="S352">_xlfn.IFS(HR_Data[[#This Row],[Monthly Income]]&lt;5000,"Low", HR_Data[[#This Row],[Monthly Income]]&lt;10000,"Medium",TRUE,"High")</f>
        <v>Low</v>
      </c>
      <c r="T352" s="1" t="str" cm="1">
        <f t="array" ref="T352">_xlfn.IFS(HR_Data[[#This Row],[Total Working Years]]&lt;=5,"Junior", HR_Data[[#This Row],[Total Working Years]]&lt;=15,"Mid-Level", TRUE, "Senior")</f>
        <v>Junior</v>
      </c>
    </row>
    <row r="353" spans="1:20" x14ac:dyDescent="0.25">
      <c r="A353" s="1">
        <v>471</v>
      </c>
      <c r="B353" s="1">
        <v>32</v>
      </c>
      <c r="C353" t="s">
        <v>9</v>
      </c>
      <c r="D353" t="s">
        <v>10</v>
      </c>
      <c r="E353" t="s">
        <v>15</v>
      </c>
      <c r="F353" t="s">
        <v>7</v>
      </c>
      <c r="G353" t="s">
        <v>14</v>
      </c>
      <c r="H353" s="1">
        <v>2</v>
      </c>
      <c r="I353" s="1">
        <v>2370</v>
      </c>
      <c r="J353" t="s">
        <v>9</v>
      </c>
      <c r="K353" s="1">
        <v>13</v>
      </c>
      <c r="L353" s="1">
        <v>3</v>
      </c>
      <c r="M353" s="1">
        <v>8</v>
      </c>
      <c r="N353" s="1">
        <v>3</v>
      </c>
      <c r="O353" s="1">
        <v>8</v>
      </c>
      <c r="P353" s="1">
        <f>COUNTIF(HR_Data[Employee Number],HR_Data[[#This Row],[Employee Number]])</f>
        <v>1</v>
      </c>
      <c r="Q353" s="1" t="str">
        <f>IF(HR_Data[[#This Row],[Years At Company]]&lt;=HR_Data[[#This Row],[Total Working Years]],"Valid","error")</f>
        <v>Valid</v>
      </c>
      <c r="R353" s="1" t="str" cm="1">
        <f t="array" ref="R353">_xlfn.IFS(HR_Data[[#This Row],[Age]]&lt;=30,"Young", HR_Data[[#This Row],[Age]]&lt;=45,"Mid-Age",HR_Data[[#This Row],[Age]]&gt;45,"Senior")</f>
        <v>Mid-Age</v>
      </c>
      <c r="S353" s="1" t="str" cm="1">
        <f t="array" ref="S353">_xlfn.IFS(HR_Data[[#This Row],[Monthly Income]]&lt;5000,"Low", HR_Data[[#This Row],[Monthly Income]]&lt;10000,"Medium",TRUE,"High")</f>
        <v>Low</v>
      </c>
      <c r="T353" s="1" t="str" cm="1">
        <f t="array" ref="T353">_xlfn.IFS(HR_Data[[#This Row],[Total Working Years]]&lt;=5,"Junior", HR_Data[[#This Row],[Total Working Years]]&lt;=15,"Mid-Level", TRUE, "Senior")</f>
        <v>Mid-Level</v>
      </c>
    </row>
    <row r="354" spans="1:20" x14ac:dyDescent="0.25">
      <c r="A354" s="1">
        <v>473</v>
      </c>
      <c r="B354" s="1">
        <v>48</v>
      </c>
      <c r="C354" t="s">
        <v>9</v>
      </c>
      <c r="D354" t="s">
        <v>5</v>
      </c>
      <c r="E354" t="s">
        <v>15</v>
      </c>
      <c r="F354" t="s">
        <v>7</v>
      </c>
      <c r="G354" t="s">
        <v>18</v>
      </c>
      <c r="H354" s="1">
        <v>3</v>
      </c>
      <c r="I354" s="1">
        <v>12504</v>
      </c>
      <c r="J354" t="s">
        <v>9</v>
      </c>
      <c r="K354" s="1">
        <v>21</v>
      </c>
      <c r="L354" s="1">
        <v>4</v>
      </c>
      <c r="M354" s="1">
        <v>15</v>
      </c>
      <c r="N354" s="1">
        <v>1</v>
      </c>
      <c r="O354" s="1">
        <v>0</v>
      </c>
      <c r="P354" s="1">
        <f>COUNTIF(HR_Data[Employee Number],HR_Data[[#This Row],[Employee Number]])</f>
        <v>1</v>
      </c>
      <c r="Q354" s="1" t="str">
        <f>IF(HR_Data[[#This Row],[Years At Company]]&lt;=HR_Data[[#This Row],[Total Working Years]],"Valid","error")</f>
        <v>Valid</v>
      </c>
      <c r="R354" s="1" t="str" cm="1">
        <f t="array" ref="R354">_xlfn.IFS(HR_Data[[#This Row],[Age]]&lt;=30,"Young", HR_Data[[#This Row],[Age]]&lt;=45,"Mid-Age",HR_Data[[#This Row],[Age]]&gt;45,"Senior")</f>
        <v>Senior</v>
      </c>
      <c r="S354" s="1" t="str" cm="1">
        <f t="array" ref="S354">_xlfn.IFS(HR_Data[[#This Row],[Monthly Income]]&lt;5000,"Low", HR_Data[[#This Row],[Monthly Income]]&lt;10000,"Medium",TRUE,"High")</f>
        <v>High</v>
      </c>
      <c r="T354" s="1" t="str" cm="1">
        <f t="array" ref="T354">_xlfn.IFS(HR_Data[[#This Row],[Total Working Years]]&lt;=5,"Junior", HR_Data[[#This Row],[Total Working Years]]&lt;=15,"Mid-Level", TRUE, "Senior")</f>
        <v>Mid-Level</v>
      </c>
    </row>
    <row r="355" spans="1:20" x14ac:dyDescent="0.25">
      <c r="A355" s="1">
        <v>474</v>
      </c>
      <c r="B355" s="1">
        <v>37</v>
      </c>
      <c r="C355" t="s">
        <v>9</v>
      </c>
      <c r="D355" t="s">
        <v>10</v>
      </c>
      <c r="E355" t="s">
        <v>15</v>
      </c>
      <c r="F355" t="s">
        <v>11</v>
      </c>
      <c r="G355" t="s">
        <v>12</v>
      </c>
      <c r="H355" s="1">
        <v>1</v>
      </c>
      <c r="I355" s="1">
        <v>5974</v>
      </c>
      <c r="J355" t="s">
        <v>4</v>
      </c>
      <c r="K355" s="1">
        <v>13</v>
      </c>
      <c r="L355" s="1">
        <v>3</v>
      </c>
      <c r="M355" s="1">
        <v>13</v>
      </c>
      <c r="N355" s="1">
        <v>3</v>
      </c>
      <c r="O355" s="1">
        <v>7</v>
      </c>
      <c r="P355" s="1">
        <f>COUNTIF(HR_Data[Employee Number],HR_Data[[#This Row],[Employee Number]])</f>
        <v>1</v>
      </c>
      <c r="Q355" s="1" t="str">
        <f>IF(HR_Data[[#This Row],[Years At Company]]&lt;=HR_Data[[#This Row],[Total Working Years]],"Valid","error")</f>
        <v>Valid</v>
      </c>
      <c r="R355" s="1" t="str" cm="1">
        <f t="array" ref="R355">_xlfn.IFS(HR_Data[[#This Row],[Age]]&lt;=30,"Young", HR_Data[[#This Row],[Age]]&lt;=45,"Mid-Age",HR_Data[[#This Row],[Age]]&gt;45,"Senior")</f>
        <v>Mid-Age</v>
      </c>
      <c r="S355" s="1" t="str" cm="1">
        <f t="array" ref="S355">_xlfn.IFS(HR_Data[[#This Row],[Monthly Income]]&lt;5000,"Low", HR_Data[[#This Row],[Monthly Income]]&lt;10000,"Medium",TRUE,"High")</f>
        <v>Medium</v>
      </c>
      <c r="T355" s="1" t="str" cm="1">
        <f t="array" ref="T355">_xlfn.IFS(HR_Data[[#This Row],[Total Working Years]]&lt;=5,"Junior", HR_Data[[#This Row],[Total Working Years]]&lt;=15,"Mid-Level", TRUE, "Senior")</f>
        <v>Mid-Level</v>
      </c>
    </row>
    <row r="356" spans="1:20" x14ac:dyDescent="0.25">
      <c r="A356" s="1">
        <v>475</v>
      </c>
      <c r="B356" s="1">
        <v>30</v>
      </c>
      <c r="C356" t="s">
        <v>9</v>
      </c>
      <c r="D356" t="s">
        <v>5</v>
      </c>
      <c r="E356" t="s">
        <v>22</v>
      </c>
      <c r="F356" t="s">
        <v>7</v>
      </c>
      <c r="G356" t="s">
        <v>8</v>
      </c>
      <c r="H356" s="1">
        <v>3</v>
      </c>
      <c r="I356" s="1">
        <v>4736</v>
      </c>
      <c r="J356" t="s">
        <v>4</v>
      </c>
      <c r="K356" s="1">
        <v>12</v>
      </c>
      <c r="L356" s="1">
        <v>3</v>
      </c>
      <c r="M356" s="1">
        <v>4</v>
      </c>
      <c r="N356" s="1">
        <v>4</v>
      </c>
      <c r="O356" s="1">
        <v>2</v>
      </c>
      <c r="P356" s="1">
        <f>COUNTIF(HR_Data[Employee Number],HR_Data[[#This Row],[Employee Number]])</f>
        <v>1</v>
      </c>
      <c r="Q356" s="1" t="str">
        <f>IF(HR_Data[[#This Row],[Years At Company]]&lt;=HR_Data[[#This Row],[Total Working Years]],"Valid","error")</f>
        <v>Valid</v>
      </c>
      <c r="R356" s="1" t="str" cm="1">
        <f t="array" ref="R356">_xlfn.IFS(HR_Data[[#This Row],[Age]]&lt;=30,"Young", HR_Data[[#This Row],[Age]]&lt;=45,"Mid-Age",HR_Data[[#This Row],[Age]]&gt;45,"Senior")</f>
        <v>Young</v>
      </c>
      <c r="S356" s="1" t="str" cm="1">
        <f t="array" ref="S356">_xlfn.IFS(HR_Data[[#This Row],[Monthly Income]]&lt;5000,"Low", HR_Data[[#This Row],[Monthly Income]]&lt;10000,"Medium",TRUE,"High")</f>
        <v>Low</v>
      </c>
      <c r="T356" s="1" t="str" cm="1">
        <f t="array" ref="T356">_xlfn.IFS(HR_Data[[#This Row],[Total Working Years]]&lt;=5,"Junior", HR_Data[[#This Row],[Total Working Years]]&lt;=15,"Mid-Level", TRUE, "Senior")</f>
        <v>Junior</v>
      </c>
    </row>
    <row r="357" spans="1:20" x14ac:dyDescent="0.25">
      <c r="A357" s="1">
        <v>476</v>
      </c>
      <c r="B357" s="1">
        <v>26</v>
      </c>
      <c r="C357" t="s">
        <v>9</v>
      </c>
      <c r="D357" t="s">
        <v>5</v>
      </c>
      <c r="E357" t="s">
        <v>6</v>
      </c>
      <c r="F357" t="s">
        <v>11</v>
      </c>
      <c r="G357" t="s">
        <v>8</v>
      </c>
      <c r="H357" s="1">
        <v>3</v>
      </c>
      <c r="I357" s="1">
        <v>5296</v>
      </c>
      <c r="J357" t="s">
        <v>9</v>
      </c>
      <c r="K357" s="1">
        <v>17</v>
      </c>
      <c r="L357" s="1">
        <v>3</v>
      </c>
      <c r="M357" s="1">
        <v>8</v>
      </c>
      <c r="N357" s="1">
        <v>3</v>
      </c>
      <c r="O357" s="1">
        <v>8</v>
      </c>
      <c r="P357" s="1">
        <f>COUNTIF(HR_Data[Employee Number],HR_Data[[#This Row],[Employee Number]])</f>
        <v>1</v>
      </c>
      <c r="Q357" s="1" t="str">
        <f>IF(HR_Data[[#This Row],[Years At Company]]&lt;=HR_Data[[#This Row],[Total Working Years]],"Valid","error")</f>
        <v>Valid</v>
      </c>
      <c r="R357" s="1" t="str" cm="1">
        <f t="array" ref="R357">_xlfn.IFS(HR_Data[[#This Row],[Age]]&lt;=30,"Young", HR_Data[[#This Row],[Age]]&lt;=45,"Mid-Age",HR_Data[[#This Row],[Age]]&gt;45,"Senior")</f>
        <v>Young</v>
      </c>
      <c r="S357" s="1" t="str" cm="1">
        <f t="array" ref="S357">_xlfn.IFS(HR_Data[[#This Row],[Monthly Income]]&lt;5000,"Low", HR_Data[[#This Row],[Monthly Income]]&lt;10000,"Medium",TRUE,"High")</f>
        <v>Medium</v>
      </c>
      <c r="T357" s="1" t="str" cm="1">
        <f t="array" ref="T357">_xlfn.IFS(HR_Data[[#This Row],[Total Working Years]]&lt;=5,"Junior", HR_Data[[#This Row],[Total Working Years]]&lt;=15,"Mid-Level", TRUE, "Senior")</f>
        <v>Mid-Level</v>
      </c>
    </row>
    <row r="358" spans="1:20" x14ac:dyDescent="0.25">
      <c r="A358" s="1">
        <v>477</v>
      </c>
      <c r="B358" s="1">
        <v>42</v>
      </c>
      <c r="C358" t="s">
        <v>9</v>
      </c>
      <c r="D358" t="s">
        <v>10</v>
      </c>
      <c r="E358" t="s">
        <v>13</v>
      </c>
      <c r="F358" t="s">
        <v>11</v>
      </c>
      <c r="G358" t="s">
        <v>17</v>
      </c>
      <c r="H358" s="1">
        <v>4</v>
      </c>
      <c r="I358" s="1">
        <v>6781</v>
      </c>
      <c r="J358" t="s">
        <v>9</v>
      </c>
      <c r="K358" s="1">
        <v>23</v>
      </c>
      <c r="L358" s="1">
        <v>4</v>
      </c>
      <c r="M358" s="1">
        <v>14</v>
      </c>
      <c r="N358" s="1">
        <v>3</v>
      </c>
      <c r="O358" s="1">
        <v>1</v>
      </c>
      <c r="P358" s="1">
        <f>COUNTIF(HR_Data[Employee Number],HR_Data[[#This Row],[Employee Number]])</f>
        <v>1</v>
      </c>
      <c r="Q358" s="1" t="str">
        <f>IF(HR_Data[[#This Row],[Years At Company]]&lt;=HR_Data[[#This Row],[Total Working Years]],"Valid","error")</f>
        <v>Valid</v>
      </c>
      <c r="R358" s="1" t="str" cm="1">
        <f t="array" ref="R358">_xlfn.IFS(HR_Data[[#This Row],[Age]]&lt;=30,"Young", HR_Data[[#This Row],[Age]]&lt;=45,"Mid-Age",HR_Data[[#This Row],[Age]]&gt;45,"Senior")</f>
        <v>Mid-Age</v>
      </c>
      <c r="S358" s="1" t="str" cm="1">
        <f t="array" ref="S358">_xlfn.IFS(HR_Data[[#This Row],[Monthly Income]]&lt;5000,"Low", HR_Data[[#This Row],[Monthly Income]]&lt;10000,"Medium",TRUE,"High")</f>
        <v>Medium</v>
      </c>
      <c r="T358" s="1" t="str" cm="1">
        <f t="array" ref="T358">_xlfn.IFS(HR_Data[[#This Row],[Total Working Years]]&lt;=5,"Junior", HR_Data[[#This Row],[Total Working Years]]&lt;=15,"Mid-Level", TRUE, "Senior")</f>
        <v>Mid-Level</v>
      </c>
    </row>
    <row r="359" spans="1:20" x14ac:dyDescent="0.25">
      <c r="A359" s="1">
        <v>478</v>
      </c>
      <c r="B359" s="1">
        <v>21</v>
      </c>
      <c r="C359" t="s">
        <v>4</v>
      </c>
      <c r="D359" t="s">
        <v>5</v>
      </c>
      <c r="E359" t="s">
        <v>22</v>
      </c>
      <c r="F359" t="s">
        <v>7</v>
      </c>
      <c r="G359" t="s">
        <v>19</v>
      </c>
      <c r="H359" s="1">
        <v>2</v>
      </c>
      <c r="I359" s="1">
        <v>2174</v>
      </c>
      <c r="J359" t="s">
        <v>4</v>
      </c>
      <c r="K359" s="1">
        <v>11</v>
      </c>
      <c r="L359" s="1">
        <v>3</v>
      </c>
      <c r="M359" s="1">
        <v>3</v>
      </c>
      <c r="N359" s="1">
        <v>3</v>
      </c>
      <c r="O359" s="1">
        <v>3</v>
      </c>
      <c r="P359" s="1">
        <f>COUNTIF(HR_Data[Employee Number],HR_Data[[#This Row],[Employee Number]])</f>
        <v>1</v>
      </c>
      <c r="Q359" s="1" t="str">
        <f>IF(HR_Data[[#This Row],[Years At Company]]&lt;=HR_Data[[#This Row],[Total Working Years]],"Valid","error")</f>
        <v>Valid</v>
      </c>
      <c r="R359" s="1" t="str" cm="1">
        <f t="array" ref="R359">_xlfn.IFS(HR_Data[[#This Row],[Age]]&lt;=30,"Young", HR_Data[[#This Row],[Age]]&lt;=45,"Mid-Age",HR_Data[[#This Row],[Age]]&gt;45,"Senior")</f>
        <v>Young</v>
      </c>
      <c r="S359" s="1" t="str" cm="1">
        <f t="array" ref="S359">_xlfn.IFS(HR_Data[[#This Row],[Monthly Income]]&lt;5000,"Low", HR_Data[[#This Row],[Monthly Income]]&lt;10000,"Medium",TRUE,"High")</f>
        <v>Low</v>
      </c>
      <c r="T359" s="1" t="str" cm="1">
        <f t="array" ref="T359">_xlfn.IFS(HR_Data[[#This Row],[Total Working Years]]&lt;=5,"Junior", HR_Data[[#This Row],[Total Working Years]]&lt;=15,"Mid-Level", TRUE, "Senior")</f>
        <v>Junior</v>
      </c>
    </row>
    <row r="360" spans="1:20" x14ac:dyDescent="0.25">
      <c r="A360" s="1">
        <v>479</v>
      </c>
      <c r="B360" s="1">
        <v>36</v>
      </c>
      <c r="C360" t="s">
        <v>9</v>
      </c>
      <c r="D360" t="s">
        <v>5</v>
      </c>
      <c r="E360" t="s">
        <v>15</v>
      </c>
      <c r="F360" t="s">
        <v>7</v>
      </c>
      <c r="G360" t="s">
        <v>8</v>
      </c>
      <c r="H360" s="1">
        <v>4</v>
      </c>
      <c r="I360" s="1">
        <v>6653</v>
      </c>
      <c r="J360" t="s">
        <v>9</v>
      </c>
      <c r="K360" s="1">
        <v>15</v>
      </c>
      <c r="L360" s="1">
        <v>3</v>
      </c>
      <c r="M360" s="1">
        <v>7</v>
      </c>
      <c r="N360" s="1">
        <v>3</v>
      </c>
      <c r="O360" s="1">
        <v>1</v>
      </c>
      <c r="P360" s="1">
        <f>COUNTIF(HR_Data[Employee Number],HR_Data[[#This Row],[Employee Number]])</f>
        <v>1</v>
      </c>
      <c r="Q360" s="1" t="str">
        <f>IF(HR_Data[[#This Row],[Years At Company]]&lt;=HR_Data[[#This Row],[Total Working Years]],"Valid","error")</f>
        <v>Valid</v>
      </c>
      <c r="R360" s="1" t="str" cm="1">
        <f t="array" ref="R360">_xlfn.IFS(HR_Data[[#This Row],[Age]]&lt;=30,"Young", HR_Data[[#This Row],[Age]]&lt;=45,"Mid-Age",HR_Data[[#This Row],[Age]]&gt;45,"Senior")</f>
        <v>Mid-Age</v>
      </c>
      <c r="S360" s="1" t="str" cm="1">
        <f t="array" ref="S360">_xlfn.IFS(HR_Data[[#This Row],[Monthly Income]]&lt;5000,"Low", HR_Data[[#This Row],[Monthly Income]]&lt;10000,"Medium",TRUE,"High")</f>
        <v>Medium</v>
      </c>
      <c r="T360" s="1" t="str" cm="1">
        <f t="array" ref="T360">_xlfn.IFS(HR_Data[[#This Row],[Total Working Years]]&lt;=5,"Junior", HR_Data[[#This Row],[Total Working Years]]&lt;=15,"Mid-Level", TRUE, "Senior")</f>
        <v>Mid-Level</v>
      </c>
    </row>
    <row r="361" spans="1:20" x14ac:dyDescent="0.25">
      <c r="A361" s="1">
        <v>481</v>
      </c>
      <c r="B361" s="1">
        <v>36</v>
      </c>
      <c r="C361" t="s">
        <v>9</v>
      </c>
      <c r="D361" t="s">
        <v>5</v>
      </c>
      <c r="E361" t="s">
        <v>15</v>
      </c>
      <c r="F361" t="s">
        <v>11</v>
      </c>
      <c r="G361" t="s">
        <v>8</v>
      </c>
      <c r="H361" s="1">
        <v>4</v>
      </c>
      <c r="I361" s="1">
        <v>9699</v>
      </c>
      <c r="J361" t="s">
        <v>9</v>
      </c>
      <c r="K361" s="1">
        <v>11</v>
      </c>
      <c r="L361" s="1">
        <v>3</v>
      </c>
      <c r="M361" s="1">
        <v>16</v>
      </c>
      <c r="N361" s="1">
        <v>3</v>
      </c>
      <c r="O361" s="1">
        <v>13</v>
      </c>
      <c r="P361" s="1">
        <f>COUNTIF(HR_Data[Employee Number],HR_Data[[#This Row],[Employee Number]])</f>
        <v>1</v>
      </c>
      <c r="Q361" s="1" t="str">
        <f>IF(HR_Data[[#This Row],[Years At Company]]&lt;=HR_Data[[#This Row],[Total Working Years]],"Valid","error")</f>
        <v>Valid</v>
      </c>
      <c r="R361" s="1" t="str" cm="1">
        <f t="array" ref="R361">_xlfn.IFS(HR_Data[[#This Row],[Age]]&lt;=30,"Young", HR_Data[[#This Row],[Age]]&lt;=45,"Mid-Age",HR_Data[[#This Row],[Age]]&gt;45,"Senior")</f>
        <v>Mid-Age</v>
      </c>
      <c r="S361" s="1" t="str" cm="1">
        <f t="array" ref="S361">_xlfn.IFS(HR_Data[[#This Row],[Monthly Income]]&lt;5000,"Low", HR_Data[[#This Row],[Monthly Income]]&lt;10000,"Medium",TRUE,"High")</f>
        <v>Medium</v>
      </c>
      <c r="T361" s="1" t="str" cm="1">
        <f t="array" ref="T361">_xlfn.IFS(HR_Data[[#This Row],[Total Working Years]]&lt;=5,"Junior", HR_Data[[#This Row],[Total Working Years]]&lt;=15,"Mid-Level", TRUE, "Senior")</f>
        <v>Senior</v>
      </c>
    </row>
    <row r="362" spans="1:20" x14ac:dyDescent="0.25">
      <c r="A362" s="1">
        <v>482</v>
      </c>
      <c r="B362" s="1">
        <v>57</v>
      </c>
      <c r="C362" t="s">
        <v>9</v>
      </c>
      <c r="D362" t="s">
        <v>10</v>
      </c>
      <c r="E362" t="s">
        <v>15</v>
      </c>
      <c r="F362" t="s">
        <v>11</v>
      </c>
      <c r="G362" t="s">
        <v>17</v>
      </c>
      <c r="H362" s="1">
        <v>3</v>
      </c>
      <c r="I362" s="1">
        <v>6755</v>
      </c>
      <c r="J362" t="s">
        <v>9</v>
      </c>
      <c r="K362" s="1">
        <v>11</v>
      </c>
      <c r="L362" s="1">
        <v>3</v>
      </c>
      <c r="M362" s="1">
        <v>15</v>
      </c>
      <c r="N362" s="1">
        <v>3</v>
      </c>
      <c r="O362" s="1">
        <v>3</v>
      </c>
      <c r="P362" s="1">
        <f>COUNTIF(HR_Data[Employee Number],HR_Data[[#This Row],[Employee Number]])</f>
        <v>1</v>
      </c>
      <c r="Q362" s="1" t="str">
        <f>IF(HR_Data[[#This Row],[Years At Company]]&lt;=HR_Data[[#This Row],[Total Working Years]],"Valid","error")</f>
        <v>Valid</v>
      </c>
      <c r="R362" s="1" t="str" cm="1">
        <f t="array" ref="R362">_xlfn.IFS(HR_Data[[#This Row],[Age]]&lt;=30,"Young", HR_Data[[#This Row],[Age]]&lt;=45,"Mid-Age",HR_Data[[#This Row],[Age]]&gt;45,"Senior")</f>
        <v>Senior</v>
      </c>
      <c r="S362" s="1" t="str" cm="1">
        <f t="array" ref="S362">_xlfn.IFS(HR_Data[[#This Row],[Monthly Income]]&lt;5000,"Low", HR_Data[[#This Row],[Monthly Income]]&lt;10000,"Medium",TRUE,"High")</f>
        <v>Medium</v>
      </c>
      <c r="T362" s="1" t="str" cm="1">
        <f t="array" ref="T362">_xlfn.IFS(HR_Data[[#This Row],[Total Working Years]]&lt;=5,"Junior", HR_Data[[#This Row],[Total Working Years]]&lt;=15,"Mid-Level", TRUE, "Senior")</f>
        <v>Mid-Level</v>
      </c>
    </row>
    <row r="363" spans="1:20" x14ac:dyDescent="0.25">
      <c r="A363" s="1">
        <v>483</v>
      </c>
      <c r="B363" s="1">
        <v>40</v>
      </c>
      <c r="C363" t="s">
        <v>9</v>
      </c>
      <c r="D363" t="s">
        <v>10</v>
      </c>
      <c r="E363" t="s">
        <v>6</v>
      </c>
      <c r="F363" t="s">
        <v>7</v>
      </c>
      <c r="G363" t="s">
        <v>14</v>
      </c>
      <c r="H363" s="1">
        <v>3</v>
      </c>
      <c r="I363" s="1">
        <v>2213</v>
      </c>
      <c r="J363" t="s">
        <v>4</v>
      </c>
      <c r="K363" s="1">
        <v>13</v>
      </c>
      <c r="L363" s="1">
        <v>3</v>
      </c>
      <c r="M363" s="1">
        <v>10</v>
      </c>
      <c r="N363" s="1">
        <v>3</v>
      </c>
      <c r="O363" s="1">
        <v>7</v>
      </c>
      <c r="P363" s="1">
        <f>COUNTIF(HR_Data[Employee Number],HR_Data[[#This Row],[Employee Number]])</f>
        <v>1</v>
      </c>
      <c r="Q363" s="1" t="str">
        <f>IF(HR_Data[[#This Row],[Years At Company]]&lt;=HR_Data[[#This Row],[Total Working Years]],"Valid","error")</f>
        <v>Valid</v>
      </c>
      <c r="R363" s="1" t="str" cm="1">
        <f t="array" ref="R363">_xlfn.IFS(HR_Data[[#This Row],[Age]]&lt;=30,"Young", HR_Data[[#This Row],[Age]]&lt;=45,"Mid-Age",HR_Data[[#This Row],[Age]]&gt;45,"Senior")</f>
        <v>Mid-Age</v>
      </c>
      <c r="S363" s="1" t="str" cm="1">
        <f t="array" ref="S363">_xlfn.IFS(HR_Data[[#This Row],[Monthly Income]]&lt;5000,"Low", HR_Data[[#This Row],[Monthly Income]]&lt;10000,"Medium",TRUE,"High")</f>
        <v>Low</v>
      </c>
      <c r="T363" s="1" t="str" cm="1">
        <f t="array" ref="T363">_xlfn.IFS(HR_Data[[#This Row],[Total Working Years]]&lt;=5,"Junior", HR_Data[[#This Row],[Total Working Years]]&lt;=15,"Mid-Level", TRUE, "Senior")</f>
        <v>Mid-Level</v>
      </c>
    </row>
    <row r="364" spans="1:20" x14ac:dyDescent="0.25">
      <c r="A364" s="1">
        <v>484</v>
      </c>
      <c r="B364" s="1">
        <v>21</v>
      </c>
      <c r="C364" t="s">
        <v>9</v>
      </c>
      <c r="D364" t="s">
        <v>5</v>
      </c>
      <c r="E364" t="s">
        <v>15</v>
      </c>
      <c r="F364" t="s">
        <v>11</v>
      </c>
      <c r="G364" t="s">
        <v>19</v>
      </c>
      <c r="H364" s="1">
        <v>4</v>
      </c>
      <c r="I364" s="1">
        <v>2610</v>
      </c>
      <c r="J364" t="s">
        <v>9</v>
      </c>
      <c r="K364" s="1">
        <v>24</v>
      </c>
      <c r="L364" s="1">
        <v>4</v>
      </c>
      <c r="M364" s="1">
        <v>3</v>
      </c>
      <c r="N364" s="1">
        <v>2</v>
      </c>
      <c r="O364" s="1">
        <v>3</v>
      </c>
      <c r="P364" s="1">
        <f>COUNTIF(HR_Data[Employee Number],HR_Data[[#This Row],[Employee Number]])</f>
        <v>1</v>
      </c>
      <c r="Q364" s="1" t="str">
        <f>IF(HR_Data[[#This Row],[Years At Company]]&lt;=HR_Data[[#This Row],[Total Working Years]],"Valid","error")</f>
        <v>Valid</v>
      </c>
      <c r="R364" s="1" t="str" cm="1">
        <f t="array" ref="R364">_xlfn.IFS(HR_Data[[#This Row],[Age]]&lt;=30,"Young", HR_Data[[#This Row],[Age]]&lt;=45,"Mid-Age",HR_Data[[#This Row],[Age]]&gt;45,"Senior")</f>
        <v>Young</v>
      </c>
      <c r="S364" s="1" t="str" cm="1">
        <f t="array" ref="S364">_xlfn.IFS(HR_Data[[#This Row],[Monthly Income]]&lt;5000,"Low", HR_Data[[#This Row],[Monthly Income]]&lt;10000,"Medium",TRUE,"High")</f>
        <v>Low</v>
      </c>
      <c r="T364" s="1" t="str" cm="1">
        <f t="array" ref="T364">_xlfn.IFS(HR_Data[[#This Row],[Total Working Years]]&lt;=5,"Junior", HR_Data[[#This Row],[Total Working Years]]&lt;=15,"Mid-Level", TRUE, "Senior")</f>
        <v>Junior</v>
      </c>
    </row>
    <row r="365" spans="1:20" x14ac:dyDescent="0.25">
      <c r="A365" s="1">
        <v>485</v>
      </c>
      <c r="B365" s="1">
        <v>33</v>
      </c>
      <c r="C365" t="s">
        <v>4</v>
      </c>
      <c r="D365" t="s">
        <v>5</v>
      </c>
      <c r="E365" t="s">
        <v>21</v>
      </c>
      <c r="F365" t="s">
        <v>7</v>
      </c>
      <c r="G365" t="s">
        <v>19</v>
      </c>
      <c r="H365" s="1">
        <v>3</v>
      </c>
      <c r="I365" s="1">
        <v>2851</v>
      </c>
      <c r="J365" t="s">
        <v>4</v>
      </c>
      <c r="K365" s="1">
        <v>13</v>
      </c>
      <c r="L365" s="1">
        <v>3</v>
      </c>
      <c r="M365" s="1">
        <v>1</v>
      </c>
      <c r="N365" s="1">
        <v>3</v>
      </c>
      <c r="O365" s="1">
        <v>1</v>
      </c>
      <c r="P365" s="1">
        <f>COUNTIF(HR_Data[Employee Number],HR_Data[[#This Row],[Employee Number]])</f>
        <v>1</v>
      </c>
      <c r="Q365" s="1" t="str">
        <f>IF(HR_Data[[#This Row],[Years At Company]]&lt;=HR_Data[[#This Row],[Total Working Years]],"Valid","error")</f>
        <v>Valid</v>
      </c>
      <c r="R365" s="1" t="str" cm="1">
        <f t="array" ref="R365">_xlfn.IFS(HR_Data[[#This Row],[Age]]&lt;=30,"Young", HR_Data[[#This Row],[Age]]&lt;=45,"Mid-Age",HR_Data[[#This Row],[Age]]&gt;45,"Senior")</f>
        <v>Mid-Age</v>
      </c>
      <c r="S365" s="1" t="str" cm="1">
        <f t="array" ref="S365">_xlfn.IFS(HR_Data[[#This Row],[Monthly Income]]&lt;5000,"Low", HR_Data[[#This Row],[Monthly Income]]&lt;10000,"Medium",TRUE,"High")</f>
        <v>Low</v>
      </c>
      <c r="T365" s="1" t="str" cm="1">
        <f t="array" ref="T365">_xlfn.IFS(HR_Data[[#This Row],[Total Working Years]]&lt;=5,"Junior", HR_Data[[#This Row],[Total Working Years]]&lt;=15,"Mid-Level", TRUE, "Senior")</f>
        <v>Junior</v>
      </c>
    </row>
    <row r="366" spans="1:20" x14ac:dyDescent="0.25">
      <c r="A366" s="1">
        <v>486</v>
      </c>
      <c r="B366" s="1">
        <v>37</v>
      </c>
      <c r="C366" t="s">
        <v>9</v>
      </c>
      <c r="D366" t="s">
        <v>10</v>
      </c>
      <c r="E366" t="s">
        <v>15</v>
      </c>
      <c r="F366" t="s">
        <v>7</v>
      </c>
      <c r="G366" t="s">
        <v>14</v>
      </c>
      <c r="H366" s="1">
        <v>1</v>
      </c>
      <c r="I366" s="1">
        <v>3452</v>
      </c>
      <c r="J366" t="s">
        <v>9</v>
      </c>
      <c r="K366" s="1">
        <v>20</v>
      </c>
      <c r="L366" s="1">
        <v>4</v>
      </c>
      <c r="M366" s="1">
        <v>17</v>
      </c>
      <c r="N366" s="1">
        <v>3</v>
      </c>
      <c r="O366" s="1">
        <v>5</v>
      </c>
      <c r="P366" s="1">
        <f>COUNTIF(HR_Data[Employee Number],HR_Data[[#This Row],[Employee Number]])</f>
        <v>1</v>
      </c>
      <c r="Q366" s="1" t="str">
        <f>IF(HR_Data[[#This Row],[Years At Company]]&lt;=HR_Data[[#This Row],[Total Working Years]],"Valid","error")</f>
        <v>Valid</v>
      </c>
      <c r="R366" s="1" t="str" cm="1">
        <f t="array" ref="R366">_xlfn.IFS(HR_Data[[#This Row],[Age]]&lt;=30,"Young", HR_Data[[#This Row],[Age]]&lt;=45,"Mid-Age",HR_Data[[#This Row],[Age]]&gt;45,"Senior")</f>
        <v>Mid-Age</v>
      </c>
      <c r="S366" s="1" t="str" cm="1">
        <f t="array" ref="S366">_xlfn.IFS(HR_Data[[#This Row],[Monthly Income]]&lt;5000,"Low", HR_Data[[#This Row],[Monthly Income]]&lt;10000,"Medium",TRUE,"High")</f>
        <v>Low</v>
      </c>
      <c r="T366" s="1" t="str" cm="1">
        <f t="array" ref="T366">_xlfn.IFS(HR_Data[[#This Row],[Total Working Years]]&lt;=5,"Junior", HR_Data[[#This Row],[Total Working Years]]&lt;=15,"Mid-Level", TRUE, "Senior")</f>
        <v>Senior</v>
      </c>
    </row>
    <row r="367" spans="1:20" x14ac:dyDescent="0.25">
      <c r="A367" s="1">
        <v>487</v>
      </c>
      <c r="B367" s="1">
        <v>46</v>
      </c>
      <c r="C367" t="s">
        <v>9</v>
      </c>
      <c r="D367" t="s">
        <v>10</v>
      </c>
      <c r="E367" t="s">
        <v>15</v>
      </c>
      <c r="F367" t="s">
        <v>7</v>
      </c>
      <c r="G367" t="s">
        <v>16</v>
      </c>
      <c r="H367" s="1">
        <v>3</v>
      </c>
      <c r="I367" s="1">
        <v>5258</v>
      </c>
      <c r="J367" t="s">
        <v>9</v>
      </c>
      <c r="K367" s="1">
        <v>14</v>
      </c>
      <c r="L367" s="1">
        <v>3</v>
      </c>
      <c r="M367" s="1">
        <v>7</v>
      </c>
      <c r="N367" s="1">
        <v>4</v>
      </c>
      <c r="O367" s="1">
        <v>1</v>
      </c>
      <c r="P367" s="1">
        <f>COUNTIF(HR_Data[Employee Number],HR_Data[[#This Row],[Employee Number]])</f>
        <v>1</v>
      </c>
      <c r="Q367" s="1" t="str">
        <f>IF(HR_Data[[#This Row],[Years At Company]]&lt;=HR_Data[[#This Row],[Total Working Years]],"Valid","error")</f>
        <v>Valid</v>
      </c>
      <c r="R367" s="1" t="str" cm="1">
        <f t="array" ref="R367">_xlfn.IFS(HR_Data[[#This Row],[Age]]&lt;=30,"Young", HR_Data[[#This Row],[Age]]&lt;=45,"Mid-Age",HR_Data[[#This Row],[Age]]&gt;45,"Senior")</f>
        <v>Senior</v>
      </c>
      <c r="S367" s="1" t="str" cm="1">
        <f t="array" ref="S367">_xlfn.IFS(HR_Data[[#This Row],[Monthly Income]]&lt;5000,"Low", HR_Data[[#This Row],[Monthly Income]]&lt;10000,"Medium",TRUE,"High")</f>
        <v>Medium</v>
      </c>
      <c r="T367" s="1" t="str" cm="1">
        <f t="array" ref="T367">_xlfn.IFS(HR_Data[[#This Row],[Total Working Years]]&lt;=5,"Junior", HR_Data[[#This Row],[Total Working Years]]&lt;=15,"Mid-Level", TRUE, "Senior")</f>
        <v>Mid-Level</v>
      </c>
    </row>
    <row r="368" spans="1:20" x14ac:dyDescent="0.25">
      <c r="A368" s="1">
        <v>488</v>
      </c>
      <c r="B368" s="1">
        <v>41</v>
      </c>
      <c r="C368" t="s">
        <v>4</v>
      </c>
      <c r="D368" t="s">
        <v>5</v>
      </c>
      <c r="E368" t="s">
        <v>21</v>
      </c>
      <c r="F368" t="s">
        <v>11</v>
      </c>
      <c r="G368" t="s">
        <v>8</v>
      </c>
      <c r="H368" s="1">
        <v>2</v>
      </c>
      <c r="I368" s="1">
        <v>9355</v>
      </c>
      <c r="J368" t="s">
        <v>9</v>
      </c>
      <c r="K368" s="1">
        <v>18</v>
      </c>
      <c r="L368" s="1">
        <v>3</v>
      </c>
      <c r="M368" s="1">
        <v>8</v>
      </c>
      <c r="N368" s="1">
        <v>3</v>
      </c>
      <c r="O368" s="1">
        <v>8</v>
      </c>
      <c r="P368" s="1">
        <f>COUNTIF(HR_Data[Employee Number],HR_Data[[#This Row],[Employee Number]])</f>
        <v>1</v>
      </c>
      <c r="Q368" s="1" t="str">
        <f>IF(HR_Data[[#This Row],[Years At Company]]&lt;=HR_Data[[#This Row],[Total Working Years]],"Valid","error")</f>
        <v>Valid</v>
      </c>
      <c r="R368" s="1" t="str" cm="1">
        <f t="array" ref="R368">_xlfn.IFS(HR_Data[[#This Row],[Age]]&lt;=30,"Young", HR_Data[[#This Row],[Age]]&lt;=45,"Mid-Age",HR_Data[[#This Row],[Age]]&gt;45,"Senior")</f>
        <v>Mid-Age</v>
      </c>
      <c r="S368" s="1" t="str" cm="1">
        <f t="array" ref="S368">_xlfn.IFS(HR_Data[[#This Row],[Monthly Income]]&lt;5000,"Low", HR_Data[[#This Row],[Monthly Income]]&lt;10000,"Medium",TRUE,"High")</f>
        <v>Medium</v>
      </c>
      <c r="T368" s="1" t="str" cm="1">
        <f t="array" ref="T368">_xlfn.IFS(HR_Data[[#This Row],[Total Working Years]]&lt;=5,"Junior", HR_Data[[#This Row],[Total Working Years]]&lt;=15,"Mid-Level", TRUE, "Senior")</f>
        <v>Mid-Level</v>
      </c>
    </row>
    <row r="369" spans="1:20" x14ac:dyDescent="0.25">
      <c r="A369" s="1">
        <v>491</v>
      </c>
      <c r="B369" s="1">
        <v>50</v>
      </c>
      <c r="C369" t="s">
        <v>9</v>
      </c>
      <c r="D369" t="s">
        <v>10</v>
      </c>
      <c r="E369" t="s">
        <v>22</v>
      </c>
      <c r="F369" t="s">
        <v>11</v>
      </c>
      <c r="G369" t="s">
        <v>17</v>
      </c>
      <c r="H369" s="1">
        <v>4</v>
      </c>
      <c r="I369" s="1">
        <v>10496</v>
      </c>
      <c r="J369" t="s">
        <v>9</v>
      </c>
      <c r="K369" s="1">
        <v>15</v>
      </c>
      <c r="L369" s="1">
        <v>3</v>
      </c>
      <c r="M369" s="1">
        <v>20</v>
      </c>
      <c r="N369" s="1">
        <v>3</v>
      </c>
      <c r="O369" s="1">
        <v>4</v>
      </c>
      <c r="P369" s="1">
        <f>COUNTIF(HR_Data[Employee Number],HR_Data[[#This Row],[Employee Number]])</f>
        <v>1</v>
      </c>
      <c r="Q369" s="1" t="str">
        <f>IF(HR_Data[[#This Row],[Years At Company]]&lt;=HR_Data[[#This Row],[Total Working Years]],"Valid","error")</f>
        <v>Valid</v>
      </c>
      <c r="R369" s="1" t="str" cm="1">
        <f t="array" ref="R369">_xlfn.IFS(HR_Data[[#This Row],[Age]]&lt;=30,"Young", HR_Data[[#This Row],[Age]]&lt;=45,"Mid-Age",HR_Data[[#This Row],[Age]]&gt;45,"Senior")</f>
        <v>Senior</v>
      </c>
      <c r="S369" s="1" t="str" cm="1">
        <f t="array" ref="S369">_xlfn.IFS(HR_Data[[#This Row],[Monthly Income]]&lt;5000,"Low", HR_Data[[#This Row],[Monthly Income]]&lt;10000,"Medium",TRUE,"High")</f>
        <v>High</v>
      </c>
      <c r="T369" s="1" t="str" cm="1">
        <f t="array" ref="T369">_xlfn.IFS(HR_Data[[#This Row],[Total Working Years]]&lt;=5,"Junior", HR_Data[[#This Row],[Total Working Years]]&lt;=15,"Mid-Level", TRUE, "Senior")</f>
        <v>Senior</v>
      </c>
    </row>
    <row r="370" spans="1:20" x14ac:dyDescent="0.25">
      <c r="A370" s="1">
        <v>492</v>
      </c>
      <c r="B370" s="1">
        <v>40</v>
      </c>
      <c r="C370" t="s">
        <v>4</v>
      </c>
      <c r="D370" t="s">
        <v>5</v>
      </c>
      <c r="E370" t="s">
        <v>21</v>
      </c>
      <c r="F370" t="s">
        <v>11</v>
      </c>
      <c r="G370" t="s">
        <v>8</v>
      </c>
      <c r="H370" s="1">
        <v>3</v>
      </c>
      <c r="I370" s="1">
        <v>6380</v>
      </c>
      <c r="J370" t="s">
        <v>4</v>
      </c>
      <c r="K370" s="1">
        <v>12</v>
      </c>
      <c r="L370" s="1">
        <v>3</v>
      </c>
      <c r="M370" s="1">
        <v>8</v>
      </c>
      <c r="N370" s="1">
        <v>3</v>
      </c>
      <c r="O370" s="1">
        <v>6</v>
      </c>
      <c r="P370" s="1">
        <f>COUNTIF(HR_Data[Employee Number],HR_Data[[#This Row],[Employee Number]])</f>
        <v>1</v>
      </c>
      <c r="Q370" s="1" t="str">
        <f>IF(HR_Data[[#This Row],[Years At Company]]&lt;=HR_Data[[#This Row],[Total Working Years]],"Valid","error")</f>
        <v>Valid</v>
      </c>
      <c r="R370" s="1" t="str" cm="1">
        <f t="array" ref="R370">_xlfn.IFS(HR_Data[[#This Row],[Age]]&lt;=30,"Young", HR_Data[[#This Row],[Age]]&lt;=45,"Mid-Age",HR_Data[[#This Row],[Age]]&gt;45,"Senior")</f>
        <v>Mid-Age</v>
      </c>
      <c r="S370" s="1" t="str" cm="1">
        <f t="array" ref="S370">_xlfn.IFS(HR_Data[[#This Row],[Monthly Income]]&lt;5000,"Low", HR_Data[[#This Row],[Monthly Income]]&lt;10000,"Medium",TRUE,"High")</f>
        <v>Medium</v>
      </c>
      <c r="T370" s="1" t="str" cm="1">
        <f t="array" ref="T370">_xlfn.IFS(HR_Data[[#This Row],[Total Working Years]]&lt;=5,"Junior", HR_Data[[#This Row],[Total Working Years]]&lt;=15,"Mid-Level", TRUE, "Senior")</f>
        <v>Mid-Level</v>
      </c>
    </row>
    <row r="371" spans="1:20" x14ac:dyDescent="0.25">
      <c r="A371" s="1">
        <v>493</v>
      </c>
      <c r="B371" s="1">
        <v>31</v>
      </c>
      <c r="C371" t="s">
        <v>9</v>
      </c>
      <c r="D371" t="s">
        <v>10</v>
      </c>
      <c r="E371" t="s">
        <v>6</v>
      </c>
      <c r="F371" t="s">
        <v>11</v>
      </c>
      <c r="G371" t="s">
        <v>12</v>
      </c>
      <c r="H371" s="1">
        <v>2</v>
      </c>
      <c r="I371" s="1">
        <v>2657</v>
      </c>
      <c r="J371" t="s">
        <v>4</v>
      </c>
      <c r="K371" s="1">
        <v>16</v>
      </c>
      <c r="L371" s="1">
        <v>3</v>
      </c>
      <c r="M371" s="1">
        <v>3</v>
      </c>
      <c r="N371" s="1">
        <v>3</v>
      </c>
      <c r="O371" s="1">
        <v>2</v>
      </c>
      <c r="P371" s="1">
        <f>COUNTIF(HR_Data[Employee Number],HR_Data[[#This Row],[Employee Number]])</f>
        <v>1</v>
      </c>
      <c r="Q371" s="1" t="str">
        <f>IF(HR_Data[[#This Row],[Years At Company]]&lt;=HR_Data[[#This Row],[Total Working Years]],"Valid","error")</f>
        <v>Valid</v>
      </c>
      <c r="R371" s="1" t="str" cm="1">
        <f t="array" ref="R371">_xlfn.IFS(HR_Data[[#This Row],[Age]]&lt;=30,"Young", HR_Data[[#This Row],[Age]]&lt;=45,"Mid-Age",HR_Data[[#This Row],[Age]]&gt;45,"Senior")</f>
        <v>Mid-Age</v>
      </c>
      <c r="S371" s="1" t="str" cm="1">
        <f t="array" ref="S371">_xlfn.IFS(HR_Data[[#This Row],[Monthly Income]]&lt;5000,"Low", HR_Data[[#This Row],[Monthly Income]]&lt;10000,"Medium",TRUE,"High")</f>
        <v>Low</v>
      </c>
      <c r="T371" s="1" t="str" cm="1">
        <f t="array" ref="T371">_xlfn.IFS(HR_Data[[#This Row],[Total Working Years]]&lt;=5,"Junior", HR_Data[[#This Row],[Total Working Years]]&lt;=15,"Mid-Level", TRUE, "Senior")</f>
        <v>Junior</v>
      </c>
    </row>
    <row r="372" spans="1:20" x14ac:dyDescent="0.25">
      <c r="A372" s="1">
        <v>494</v>
      </c>
      <c r="B372" s="1">
        <v>21</v>
      </c>
      <c r="C372" t="s">
        <v>4</v>
      </c>
      <c r="D372" t="s">
        <v>5</v>
      </c>
      <c r="E372" t="s">
        <v>6</v>
      </c>
      <c r="F372" t="s">
        <v>7</v>
      </c>
      <c r="G372" t="s">
        <v>19</v>
      </c>
      <c r="H372" s="1">
        <v>2</v>
      </c>
      <c r="I372" s="1">
        <v>2716</v>
      </c>
      <c r="J372" t="s">
        <v>9</v>
      </c>
      <c r="K372" s="1">
        <v>15</v>
      </c>
      <c r="L372" s="1">
        <v>3</v>
      </c>
      <c r="M372" s="1">
        <v>1</v>
      </c>
      <c r="N372" s="1">
        <v>3</v>
      </c>
      <c r="O372" s="1">
        <v>1</v>
      </c>
      <c r="P372" s="1">
        <f>COUNTIF(HR_Data[Employee Number],HR_Data[[#This Row],[Employee Number]])</f>
        <v>1</v>
      </c>
      <c r="Q372" s="1" t="str">
        <f>IF(HR_Data[[#This Row],[Years At Company]]&lt;=HR_Data[[#This Row],[Total Working Years]],"Valid","error")</f>
        <v>Valid</v>
      </c>
      <c r="R372" s="1" t="str" cm="1">
        <f t="array" ref="R372">_xlfn.IFS(HR_Data[[#This Row],[Age]]&lt;=30,"Young", HR_Data[[#This Row],[Age]]&lt;=45,"Mid-Age",HR_Data[[#This Row],[Age]]&gt;45,"Senior")</f>
        <v>Young</v>
      </c>
      <c r="S372" s="1" t="str" cm="1">
        <f t="array" ref="S372">_xlfn.IFS(HR_Data[[#This Row],[Monthly Income]]&lt;5000,"Low", HR_Data[[#This Row],[Monthly Income]]&lt;10000,"Medium",TRUE,"High")</f>
        <v>Low</v>
      </c>
      <c r="T372" s="1" t="str" cm="1">
        <f t="array" ref="T372">_xlfn.IFS(HR_Data[[#This Row],[Total Working Years]]&lt;=5,"Junior", HR_Data[[#This Row],[Total Working Years]]&lt;=15,"Mid-Level", TRUE, "Senior")</f>
        <v>Junior</v>
      </c>
    </row>
    <row r="373" spans="1:20" x14ac:dyDescent="0.25">
      <c r="A373" s="1">
        <v>495</v>
      </c>
      <c r="B373" s="1">
        <v>29</v>
      </c>
      <c r="C373" t="s">
        <v>9</v>
      </c>
      <c r="D373" t="s">
        <v>10</v>
      </c>
      <c r="E373" t="s">
        <v>6</v>
      </c>
      <c r="F373" t="s">
        <v>11</v>
      </c>
      <c r="G373" t="s">
        <v>12</v>
      </c>
      <c r="H373" s="1">
        <v>4</v>
      </c>
      <c r="I373" s="1">
        <v>2201</v>
      </c>
      <c r="J373" t="s">
        <v>9</v>
      </c>
      <c r="K373" s="1">
        <v>16</v>
      </c>
      <c r="L373" s="1">
        <v>3</v>
      </c>
      <c r="M373" s="1">
        <v>6</v>
      </c>
      <c r="N373" s="1">
        <v>3</v>
      </c>
      <c r="O373" s="1">
        <v>3</v>
      </c>
      <c r="P373" s="1">
        <f>COUNTIF(HR_Data[Employee Number],HR_Data[[#This Row],[Employee Number]])</f>
        <v>1</v>
      </c>
      <c r="Q373" s="1" t="str">
        <f>IF(HR_Data[[#This Row],[Years At Company]]&lt;=HR_Data[[#This Row],[Total Working Years]],"Valid","error")</f>
        <v>Valid</v>
      </c>
      <c r="R373" s="1" t="str" cm="1">
        <f t="array" ref="R373">_xlfn.IFS(HR_Data[[#This Row],[Age]]&lt;=30,"Young", HR_Data[[#This Row],[Age]]&lt;=45,"Mid-Age",HR_Data[[#This Row],[Age]]&gt;45,"Senior")</f>
        <v>Young</v>
      </c>
      <c r="S373" s="1" t="str" cm="1">
        <f t="array" ref="S373">_xlfn.IFS(HR_Data[[#This Row],[Monthly Income]]&lt;5000,"Low", HR_Data[[#This Row],[Monthly Income]]&lt;10000,"Medium",TRUE,"High")</f>
        <v>Low</v>
      </c>
      <c r="T373" s="1" t="str" cm="1">
        <f t="array" ref="T373">_xlfn.IFS(HR_Data[[#This Row],[Total Working Years]]&lt;=5,"Junior", HR_Data[[#This Row],[Total Working Years]]&lt;=15,"Mid-Level", TRUE, "Senior")</f>
        <v>Mid-Level</v>
      </c>
    </row>
    <row r="374" spans="1:20" x14ac:dyDescent="0.25">
      <c r="A374" s="1">
        <v>496</v>
      </c>
      <c r="B374" s="1">
        <v>35</v>
      </c>
      <c r="C374" t="s">
        <v>9</v>
      </c>
      <c r="D374" t="s">
        <v>10</v>
      </c>
      <c r="E374" t="s">
        <v>6</v>
      </c>
      <c r="F374" t="s">
        <v>11</v>
      </c>
      <c r="G374" t="s">
        <v>17</v>
      </c>
      <c r="H374" s="1">
        <v>2</v>
      </c>
      <c r="I374" s="1">
        <v>6540</v>
      </c>
      <c r="J374" t="s">
        <v>9</v>
      </c>
      <c r="K374" s="1">
        <v>19</v>
      </c>
      <c r="L374" s="1">
        <v>3</v>
      </c>
      <c r="M374" s="1">
        <v>10</v>
      </c>
      <c r="N374" s="1">
        <v>3</v>
      </c>
      <c r="O374" s="1">
        <v>1</v>
      </c>
      <c r="P374" s="1">
        <f>COUNTIF(HR_Data[Employee Number],HR_Data[[#This Row],[Employee Number]])</f>
        <v>1</v>
      </c>
      <c r="Q374" s="1" t="str">
        <f>IF(HR_Data[[#This Row],[Years At Company]]&lt;=HR_Data[[#This Row],[Total Working Years]],"Valid","error")</f>
        <v>Valid</v>
      </c>
      <c r="R374" s="1" t="str" cm="1">
        <f t="array" ref="R374">_xlfn.IFS(HR_Data[[#This Row],[Age]]&lt;=30,"Young", HR_Data[[#This Row],[Age]]&lt;=45,"Mid-Age",HR_Data[[#This Row],[Age]]&gt;45,"Senior")</f>
        <v>Mid-Age</v>
      </c>
      <c r="S374" s="1" t="str" cm="1">
        <f t="array" ref="S374">_xlfn.IFS(HR_Data[[#This Row],[Monthly Income]]&lt;5000,"Low", HR_Data[[#This Row],[Monthly Income]]&lt;10000,"Medium",TRUE,"High")</f>
        <v>Medium</v>
      </c>
      <c r="T374" s="1" t="str" cm="1">
        <f t="array" ref="T374">_xlfn.IFS(HR_Data[[#This Row],[Total Working Years]]&lt;=5,"Junior", HR_Data[[#This Row],[Total Working Years]]&lt;=15,"Mid-Level", TRUE, "Senior")</f>
        <v>Mid-Level</v>
      </c>
    </row>
    <row r="375" spans="1:20" x14ac:dyDescent="0.25">
      <c r="A375" s="1">
        <v>497</v>
      </c>
      <c r="B375" s="1">
        <v>27</v>
      </c>
      <c r="C375" t="s">
        <v>9</v>
      </c>
      <c r="D375" t="s">
        <v>10</v>
      </c>
      <c r="E375" t="s">
        <v>15</v>
      </c>
      <c r="F375" t="s">
        <v>11</v>
      </c>
      <c r="G375" t="s">
        <v>14</v>
      </c>
      <c r="H375" s="1">
        <v>2</v>
      </c>
      <c r="I375" s="1">
        <v>3816</v>
      </c>
      <c r="J375" t="s">
        <v>9</v>
      </c>
      <c r="K375" s="1">
        <v>11</v>
      </c>
      <c r="L375" s="1">
        <v>3</v>
      </c>
      <c r="M375" s="1">
        <v>5</v>
      </c>
      <c r="N375" s="1">
        <v>3</v>
      </c>
      <c r="O375" s="1">
        <v>5</v>
      </c>
      <c r="P375" s="1">
        <f>COUNTIF(HR_Data[Employee Number],HR_Data[[#This Row],[Employee Number]])</f>
        <v>1</v>
      </c>
      <c r="Q375" s="1" t="str">
        <f>IF(HR_Data[[#This Row],[Years At Company]]&lt;=HR_Data[[#This Row],[Total Working Years]],"Valid","error")</f>
        <v>Valid</v>
      </c>
      <c r="R375" s="1" t="str" cm="1">
        <f t="array" ref="R375">_xlfn.IFS(HR_Data[[#This Row],[Age]]&lt;=30,"Young", HR_Data[[#This Row],[Age]]&lt;=45,"Mid-Age",HR_Data[[#This Row],[Age]]&gt;45,"Senior")</f>
        <v>Young</v>
      </c>
      <c r="S375" s="1" t="str" cm="1">
        <f t="array" ref="S375">_xlfn.IFS(HR_Data[[#This Row],[Monthly Income]]&lt;5000,"Low", HR_Data[[#This Row],[Monthly Income]]&lt;10000,"Medium",TRUE,"High")</f>
        <v>Low</v>
      </c>
      <c r="T375" s="1" t="str" cm="1">
        <f t="array" ref="T375">_xlfn.IFS(HR_Data[[#This Row],[Total Working Years]]&lt;=5,"Junior", HR_Data[[#This Row],[Total Working Years]]&lt;=15,"Mid-Level", TRUE, "Senior")</f>
        <v>Junior</v>
      </c>
    </row>
    <row r="376" spans="1:20" x14ac:dyDescent="0.25">
      <c r="A376" s="1">
        <v>498</v>
      </c>
      <c r="B376" s="1">
        <v>28</v>
      </c>
      <c r="C376" t="s">
        <v>9</v>
      </c>
      <c r="D376" t="s">
        <v>5</v>
      </c>
      <c r="E376" t="s">
        <v>6</v>
      </c>
      <c r="F376" t="s">
        <v>11</v>
      </c>
      <c r="G376" t="s">
        <v>8</v>
      </c>
      <c r="H376" s="1">
        <v>4</v>
      </c>
      <c r="I376" s="1">
        <v>5253</v>
      </c>
      <c r="J376" t="s">
        <v>9</v>
      </c>
      <c r="K376" s="1">
        <v>16</v>
      </c>
      <c r="L376" s="1">
        <v>3</v>
      </c>
      <c r="M376" s="1">
        <v>7</v>
      </c>
      <c r="N376" s="1">
        <v>3</v>
      </c>
      <c r="O376" s="1">
        <v>7</v>
      </c>
      <c r="P376" s="1">
        <f>COUNTIF(HR_Data[Employee Number],HR_Data[[#This Row],[Employee Number]])</f>
        <v>1</v>
      </c>
      <c r="Q376" s="1" t="str">
        <f>IF(HR_Data[[#This Row],[Years At Company]]&lt;=HR_Data[[#This Row],[Total Working Years]],"Valid","error")</f>
        <v>Valid</v>
      </c>
      <c r="R376" s="1" t="str" cm="1">
        <f t="array" ref="R376">_xlfn.IFS(HR_Data[[#This Row],[Age]]&lt;=30,"Young", HR_Data[[#This Row],[Age]]&lt;=45,"Mid-Age",HR_Data[[#This Row],[Age]]&gt;45,"Senior")</f>
        <v>Young</v>
      </c>
      <c r="S376" s="1" t="str" cm="1">
        <f t="array" ref="S376">_xlfn.IFS(HR_Data[[#This Row],[Monthly Income]]&lt;5000,"Low", HR_Data[[#This Row],[Monthly Income]]&lt;10000,"Medium",TRUE,"High")</f>
        <v>Medium</v>
      </c>
      <c r="T376" s="1" t="str" cm="1">
        <f t="array" ref="T376">_xlfn.IFS(HR_Data[[#This Row],[Total Working Years]]&lt;=5,"Junior", HR_Data[[#This Row],[Total Working Years]]&lt;=15,"Mid-Level", TRUE, "Senior")</f>
        <v>Mid-Level</v>
      </c>
    </row>
    <row r="377" spans="1:20" x14ac:dyDescent="0.25">
      <c r="A377" s="1">
        <v>499</v>
      </c>
      <c r="B377" s="1">
        <v>49</v>
      </c>
      <c r="C377" t="s">
        <v>9</v>
      </c>
      <c r="D377" t="s">
        <v>10</v>
      </c>
      <c r="E377" t="s">
        <v>13</v>
      </c>
      <c r="F377" t="s">
        <v>11</v>
      </c>
      <c r="G377" t="s">
        <v>17</v>
      </c>
      <c r="H377" s="1">
        <v>3</v>
      </c>
      <c r="I377" s="1">
        <v>10965</v>
      </c>
      <c r="J377" t="s">
        <v>9</v>
      </c>
      <c r="K377" s="1">
        <v>24</v>
      </c>
      <c r="L377" s="1">
        <v>4</v>
      </c>
      <c r="M377" s="1">
        <v>26</v>
      </c>
      <c r="N377" s="1">
        <v>3</v>
      </c>
      <c r="O377" s="1">
        <v>5</v>
      </c>
      <c r="P377" s="1">
        <f>COUNTIF(HR_Data[Employee Number],HR_Data[[#This Row],[Employee Number]])</f>
        <v>1</v>
      </c>
      <c r="Q377" s="1" t="str">
        <f>IF(HR_Data[[#This Row],[Years At Company]]&lt;=HR_Data[[#This Row],[Total Working Years]],"Valid","error")</f>
        <v>Valid</v>
      </c>
      <c r="R377" s="1" t="str" cm="1">
        <f t="array" ref="R377">_xlfn.IFS(HR_Data[[#This Row],[Age]]&lt;=30,"Young", HR_Data[[#This Row],[Age]]&lt;=45,"Mid-Age",HR_Data[[#This Row],[Age]]&gt;45,"Senior")</f>
        <v>Senior</v>
      </c>
      <c r="S377" s="1" t="str" cm="1">
        <f t="array" ref="S377">_xlfn.IFS(HR_Data[[#This Row],[Monthly Income]]&lt;5000,"Low", HR_Data[[#This Row],[Monthly Income]]&lt;10000,"Medium",TRUE,"High")</f>
        <v>High</v>
      </c>
      <c r="T377" s="1" t="str" cm="1">
        <f t="array" ref="T377">_xlfn.IFS(HR_Data[[#This Row],[Total Working Years]]&lt;=5,"Junior", HR_Data[[#This Row],[Total Working Years]]&lt;=15,"Mid-Level", TRUE, "Senior")</f>
        <v>Senior</v>
      </c>
    </row>
    <row r="378" spans="1:20" x14ac:dyDescent="0.25">
      <c r="A378" s="1">
        <v>500</v>
      </c>
      <c r="B378" s="1">
        <v>51</v>
      </c>
      <c r="C378" t="s">
        <v>9</v>
      </c>
      <c r="D378" t="s">
        <v>5</v>
      </c>
      <c r="E378" t="s">
        <v>6</v>
      </c>
      <c r="F378" t="s">
        <v>7</v>
      </c>
      <c r="G378" t="s">
        <v>8</v>
      </c>
      <c r="H378" s="1">
        <v>4</v>
      </c>
      <c r="I378" s="1">
        <v>4936</v>
      </c>
      <c r="J378" t="s">
        <v>9</v>
      </c>
      <c r="K378" s="1">
        <v>11</v>
      </c>
      <c r="L378" s="1">
        <v>3</v>
      </c>
      <c r="M378" s="1">
        <v>18</v>
      </c>
      <c r="N378" s="1">
        <v>2</v>
      </c>
      <c r="O378" s="1">
        <v>7</v>
      </c>
      <c r="P378" s="1">
        <f>COUNTIF(HR_Data[Employee Number],HR_Data[[#This Row],[Employee Number]])</f>
        <v>1</v>
      </c>
      <c r="Q378" s="1" t="str">
        <f>IF(HR_Data[[#This Row],[Years At Company]]&lt;=HR_Data[[#This Row],[Total Working Years]],"Valid","error")</f>
        <v>Valid</v>
      </c>
      <c r="R378" s="1" t="str" cm="1">
        <f t="array" ref="R378">_xlfn.IFS(HR_Data[[#This Row],[Age]]&lt;=30,"Young", HR_Data[[#This Row],[Age]]&lt;=45,"Mid-Age",HR_Data[[#This Row],[Age]]&gt;45,"Senior")</f>
        <v>Senior</v>
      </c>
      <c r="S378" s="1" t="str" cm="1">
        <f t="array" ref="S378">_xlfn.IFS(HR_Data[[#This Row],[Monthly Income]]&lt;5000,"Low", HR_Data[[#This Row],[Monthly Income]]&lt;10000,"Medium",TRUE,"High")</f>
        <v>Low</v>
      </c>
      <c r="T378" s="1" t="str" cm="1">
        <f t="array" ref="T378">_xlfn.IFS(HR_Data[[#This Row],[Total Working Years]]&lt;=5,"Junior", HR_Data[[#This Row],[Total Working Years]]&lt;=15,"Mid-Level", TRUE, "Senior")</f>
        <v>Senior</v>
      </c>
    </row>
    <row r="379" spans="1:20" x14ac:dyDescent="0.25">
      <c r="A379" s="1">
        <v>501</v>
      </c>
      <c r="B379" s="1">
        <v>36</v>
      </c>
      <c r="C379" t="s">
        <v>9</v>
      </c>
      <c r="D379" t="s">
        <v>10</v>
      </c>
      <c r="E379" t="s">
        <v>6</v>
      </c>
      <c r="F379" t="s">
        <v>7</v>
      </c>
      <c r="G379" t="s">
        <v>12</v>
      </c>
      <c r="H379" s="1">
        <v>3</v>
      </c>
      <c r="I379" s="1">
        <v>2543</v>
      </c>
      <c r="J379" t="s">
        <v>9</v>
      </c>
      <c r="K379" s="1">
        <v>13</v>
      </c>
      <c r="L379" s="1">
        <v>3</v>
      </c>
      <c r="M379" s="1">
        <v>6</v>
      </c>
      <c r="N379" s="1">
        <v>3</v>
      </c>
      <c r="O379" s="1">
        <v>2</v>
      </c>
      <c r="P379" s="1">
        <f>COUNTIF(HR_Data[Employee Number],HR_Data[[#This Row],[Employee Number]])</f>
        <v>1</v>
      </c>
      <c r="Q379" s="1" t="str">
        <f>IF(HR_Data[[#This Row],[Years At Company]]&lt;=HR_Data[[#This Row],[Total Working Years]],"Valid","error")</f>
        <v>Valid</v>
      </c>
      <c r="R379" s="1" t="str" cm="1">
        <f t="array" ref="R379">_xlfn.IFS(HR_Data[[#This Row],[Age]]&lt;=30,"Young", HR_Data[[#This Row],[Age]]&lt;=45,"Mid-Age",HR_Data[[#This Row],[Age]]&gt;45,"Senior")</f>
        <v>Mid-Age</v>
      </c>
      <c r="S379" s="1" t="str" cm="1">
        <f t="array" ref="S379">_xlfn.IFS(HR_Data[[#This Row],[Monthly Income]]&lt;5000,"Low", HR_Data[[#This Row],[Monthly Income]]&lt;10000,"Medium",TRUE,"High")</f>
        <v>Low</v>
      </c>
      <c r="T379" s="1" t="str" cm="1">
        <f t="array" ref="T379">_xlfn.IFS(HR_Data[[#This Row],[Total Working Years]]&lt;=5,"Junior", HR_Data[[#This Row],[Total Working Years]]&lt;=15,"Mid-Level", TRUE, "Senior")</f>
        <v>Mid-Level</v>
      </c>
    </row>
    <row r="380" spans="1:20" x14ac:dyDescent="0.25">
      <c r="A380" s="1">
        <v>502</v>
      </c>
      <c r="B380" s="1">
        <v>34</v>
      </c>
      <c r="C380" t="s">
        <v>4</v>
      </c>
      <c r="D380" t="s">
        <v>5</v>
      </c>
      <c r="E380" t="s">
        <v>21</v>
      </c>
      <c r="F380" t="s">
        <v>11</v>
      </c>
      <c r="G380" t="s">
        <v>8</v>
      </c>
      <c r="H380" s="1">
        <v>4</v>
      </c>
      <c r="I380" s="1">
        <v>5304</v>
      </c>
      <c r="J380" t="s">
        <v>4</v>
      </c>
      <c r="K380" s="1">
        <v>13</v>
      </c>
      <c r="L380" s="1">
        <v>3</v>
      </c>
      <c r="M380" s="1">
        <v>9</v>
      </c>
      <c r="N380" s="1">
        <v>2</v>
      </c>
      <c r="O380" s="1">
        <v>5</v>
      </c>
      <c r="P380" s="1">
        <f>COUNTIF(HR_Data[Employee Number],HR_Data[[#This Row],[Employee Number]])</f>
        <v>1</v>
      </c>
      <c r="Q380" s="1" t="str">
        <f>IF(HR_Data[[#This Row],[Years At Company]]&lt;=HR_Data[[#This Row],[Total Working Years]],"Valid","error")</f>
        <v>Valid</v>
      </c>
      <c r="R380" s="1" t="str" cm="1">
        <f t="array" ref="R380">_xlfn.IFS(HR_Data[[#This Row],[Age]]&lt;=30,"Young", HR_Data[[#This Row],[Age]]&lt;=45,"Mid-Age",HR_Data[[#This Row],[Age]]&gt;45,"Senior")</f>
        <v>Mid-Age</v>
      </c>
      <c r="S380" s="1" t="str" cm="1">
        <f t="array" ref="S380">_xlfn.IFS(HR_Data[[#This Row],[Monthly Income]]&lt;5000,"Low", HR_Data[[#This Row],[Monthly Income]]&lt;10000,"Medium",TRUE,"High")</f>
        <v>Medium</v>
      </c>
      <c r="T380" s="1" t="str" cm="1">
        <f t="array" ref="T380">_xlfn.IFS(HR_Data[[#This Row],[Total Working Years]]&lt;=5,"Junior", HR_Data[[#This Row],[Total Working Years]]&lt;=15,"Mid-Level", TRUE, "Senior")</f>
        <v>Mid-Level</v>
      </c>
    </row>
    <row r="381" spans="1:20" x14ac:dyDescent="0.25">
      <c r="A381" s="1">
        <v>505</v>
      </c>
      <c r="B381" s="1">
        <v>55</v>
      </c>
      <c r="C381" t="s">
        <v>9</v>
      </c>
      <c r="D381" t="s">
        <v>10</v>
      </c>
      <c r="E381" t="s">
        <v>6</v>
      </c>
      <c r="F381" t="s">
        <v>7</v>
      </c>
      <c r="G381" t="s">
        <v>18</v>
      </c>
      <c r="H381" s="1">
        <v>4</v>
      </c>
      <c r="I381" s="1">
        <v>16659</v>
      </c>
      <c r="J381" t="s">
        <v>4</v>
      </c>
      <c r="K381" s="1">
        <v>13</v>
      </c>
      <c r="L381" s="1">
        <v>3</v>
      </c>
      <c r="M381" s="1">
        <v>30</v>
      </c>
      <c r="N381" s="1">
        <v>3</v>
      </c>
      <c r="O381" s="1">
        <v>5</v>
      </c>
      <c r="P381" s="1">
        <f>COUNTIF(HR_Data[Employee Number],HR_Data[[#This Row],[Employee Number]])</f>
        <v>1</v>
      </c>
      <c r="Q381" s="1" t="str">
        <f>IF(HR_Data[[#This Row],[Years At Company]]&lt;=HR_Data[[#This Row],[Total Working Years]],"Valid","error")</f>
        <v>Valid</v>
      </c>
      <c r="R381" s="1" t="str" cm="1">
        <f t="array" ref="R381">_xlfn.IFS(HR_Data[[#This Row],[Age]]&lt;=30,"Young", HR_Data[[#This Row],[Age]]&lt;=45,"Mid-Age",HR_Data[[#This Row],[Age]]&gt;45,"Senior")</f>
        <v>Senior</v>
      </c>
      <c r="S381" s="1" t="str" cm="1">
        <f t="array" ref="S381">_xlfn.IFS(HR_Data[[#This Row],[Monthly Income]]&lt;5000,"Low", HR_Data[[#This Row],[Monthly Income]]&lt;10000,"Medium",TRUE,"High")</f>
        <v>High</v>
      </c>
      <c r="T381" s="1" t="str" cm="1">
        <f t="array" ref="T381">_xlfn.IFS(HR_Data[[#This Row],[Total Working Years]]&lt;=5,"Junior", HR_Data[[#This Row],[Total Working Years]]&lt;=15,"Mid-Level", TRUE, "Senior")</f>
        <v>Senior</v>
      </c>
    </row>
    <row r="382" spans="1:20" x14ac:dyDescent="0.25">
      <c r="A382" s="1">
        <v>507</v>
      </c>
      <c r="B382" s="1">
        <v>24</v>
      </c>
      <c r="C382" t="s">
        <v>9</v>
      </c>
      <c r="D382" t="s">
        <v>5</v>
      </c>
      <c r="E382" t="s">
        <v>21</v>
      </c>
      <c r="F382" t="s">
        <v>7</v>
      </c>
      <c r="G382" t="s">
        <v>8</v>
      </c>
      <c r="H382" s="1">
        <v>3</v>
      </c>
      <c r="I382" s="1">
        <v>4260</v>
      </c>
      <c r="J382" t="s">
        <v>4</v>
      </c>
      <c r="K382" s="1">
        <v>12</v>
      </c>
      <c r="L382" s="1">
        <v>3</v>
      </c>
      <c r="M382" s="1">
        <v>5</v>
      </c>
      <c r="N382" s="1">
        <v>4</v>
      </c>
      <c r="O382" s="1">
        <v>5</v>
      </c>
      <c r="P382" s="1">
        <f>COUNTIF(HR_Data[Employee Number],HR_Data[[#This Row],[Employee Number]])</f>
        <v>1</v>
      </c>
      <c r="Q382" s="1" t="str">
        <f>IF(HR_Data[[#This Row],[Years At Company]]&lt;=HR_Data[[#This Row],[Total Working Years]],"Valid","error")</f>
        <v>Valid</v>
      </c>
      <c r="R382" s="1" t="str" cm="1">
        <f t="array" ref="R382">_xlfn.IFS(HR_Data[[#This Row],[Age]]&lt;=30,"Young", HR_Data[[#This Row],[Age]]&lt;=45,"Mid-Age",HR_Data[[#This Row],[Age]]&gt;45,"Senior")</f>
        <v>Young</v>
      </c>
      <c r="S382" s="1" t="str" cm="1">
        <f t="array" ref="S382">_xlfn.IFS(HR_Data[[#This Row],[Monthly Income]]&lt;5000,"Low", HR_Data[[#This Row],[Monthly Income]]&lt;10000,"Medium",TRUE,"High")</f>
        <v>Low</v>
      </c>
      <c r="T382" s="1" t="str" cm="1">
        <f t="array" ref="T382">_xlfn.IFS(HR_Data[[#This Row],[Total Working Years]]&lt;=5,"Junior", HR_Data[[#This Row],[Total Working Years]]&lt;=15,"Mid-Level", TRUE, "Senior")</f>
        <v>Junior</v>
      </c>
    </row>
    <row r="383" spans="1:20" x14ac:dyDescent="0.25">
      <c r="A383" s="1">
        <v>508</v>
      </c>
      <c r="B383" s="1">
        <v>30</v>
      </c>
      <c r="C383" t="s">
        <v>9</v>
      </c>
      <c r="D383" t="s">
        <v>5</v>
      </c>
      <c r="E383" t="s">
        <v>22</v>
      </c>
      <c r="F383" t="s">
        <v>11</v>
      </c>
      <c r="G383" t="s">
        <v>19</v>
      </c>
      <c r="H383" s="1">
        <v>2</v>
      </c>
      <c r="I383" s="1">
        <v>2476</v>
      </c>
      <c r="J383" t="s">
        <v>9</v>
      </c>
      <c r="K383" s="1">
        <v>18</v>
      </c>
      <c r="L383" s="1">
        <v>3</v>
      </c>
      <c r="M383" s="1">
        <v>1</v>
      </c>
      <c r="N383" s="1">
        <v>3</v>
      </c>
      <c r="O383" s="1">
        <v>1</v>
      </c>
      <c r="P383" s="1">
        <f>COUNTIF(HR_Data[Employee Number],HR_Data[[#This Row],[Employee Number]])</f>
        <v>1</v>
      </c>
      <c r="Q383" s="1" t="str">
        <f>IF(HR_Data[[#This Row],[Years At Company]]&lt;=HR_Data[[#This Row],[Total Working Years]],"Valid","error")</f>
        <v>Valid</v>
      </c>
      <c r="R383" s="1" t="str" cm="1">
        <f t="array" ref="R383">_xlfn.IFS(HR_Data[[#This Row],[Age]]&lt;=30,"Young", HR_Data[[#This Row],[Age]]&lt;=45,"Mid-Age",HR_Data[[#This Row],[Age]]&gt;45,"Senior")</f>
        <v>Young</v>
      </c>
      <c r="S383" s="1" t="str" cm="1">
        <f t="array" ref="S383">_xlfn.IFS(HR_Data[[#This Row],[Monthly Income]]&lt;5000,"Low", HR_Data[[#This Row],[Monthly Income]]&lt;10000,"Medium",TRUE,"High")</f>
        <v>Low</v>
      </c>
      <c r="T383" s="1" t="str" cm="1">
        <f t="array" ref="T383">_xlfn.IFS(HR_Data[[#This Row],[Total Working Years]]&lt;=5,"Junior", HR_Data[[#This Row],[Total Working Years]]&lt;=15,"Mid-Level", TRUE, "Senior")</f>
        <v>Junior</v>
      </c>
    </row>
    <row r="384" spans="1:20" x14ac:dyDescent="0.25">
      <c r="A384" s="1">
        <v>510</v>
      </c>
      <c r="B384" s="1">
        <v>26</v>
      </c>
      <c r="C384" t="s">
        <v>4</v>
      </c>
      <c r="D384" t="s">
        <v>10</v>
      </c>
      <c r="E384" t="s">
        <v>22</v>
      </c>
      <c r="F384" t="s">
        <v>11</v>
      </c>
      <c r="G384" t="s">
        <v>12</v>
      </c>
      <c r="H384" s="1">
        <v>1</v>
      </c>
      <c r="I384" s="1">
        <v>3102</v>
      </c>
      <c r="J384" t="s">
        <v>9</v>
      </c>
      <c r="K384" s="1">
        <v>22</v>
      </c>
      <c r="L384" s="1">
        <v>4</v>
      </c>
      <c r="M384" s="1">
        <v>7</v>
      </c>
      <c r="N384" s="1">
        <v>3</v>
      </c>
      <c r="O384" s="1">
        <v>6</v>
      </c>
      <c r="P384" s="1">
        <f>COUNTIF(HR_Data[Employee Number],HR_Data[[#This Row],[Employee Number]])</f>
        <v>1</v>
      </c>
      <c r="Q384" s="1" t="str">
        <f>IF(HR_Data[[#This Row],[Years At Company]]&lt;=HR_Data[[#This Row],[Total Working Years]],"Valid","error")</f>
        <v>Valid</v>
      </c>
      <c r="R384" s="1" t="str" cm="1">
        <f t="array" ref="R384">_xlfn.IFS(HR_Data[[#This Row],[Age]]&lt;=30,"Young", HR_Data[[#This Row],[Age]]&lt;=45,"Mid-Age",HR_Data[[#This Row],[Age]]&gt;45,"Senior")</f>
        <v>Young</v>
      </c>
      <c r="S384" s="1" t="str" cm="1">
        <f t="array" ref="S384">_xlfn.IFS(HR_Data[[#This Row],[Monthly Income]]&lt;5000,"Low", HR_Data[[#This Row],[Monthly Income]]&lt;10000,"Medium",TRUE,"High")</f>
        <v>Low</v>
      </c>
      <c r="T384" s="1" t="str" cm="1">
        <f t="array" ref="T384">_xlfn.IFS(HR_Data[[#This Row],[Total Working Years]]&lt;=5,"Junior", HR_Data[[#This Row],[Total Working Years]]&lt;=15,"Mid-Level", TRUE, "Senior")</f>
        <v>Mid-Level</v>
      </c>
    </row>
    <row r="385" spans="1:20" x14ac:dyDescent="0.25">
      <c r="A385" s="1">
        <v>511</v>
      </c>
      <c r="B385" s="1">
        <v>22</v>
      </c>
      <c r="C385" t="s">
        <v>9</v>
      </c>
      <c r="D385" t="s">
        <v>10</v>
      </c>
      <c r="E385" t="s">
        <v>15</v>
      </c>
      <c r="F385" t="s">
        <v>7</v>
      </c>
      <c r="G385" t="s">
        <v>12</v>
      </c>
      <c r="H385" s="1">
        <v>2</v>
      </c>
      <c r="I385" s="1">
        <v>2244</v>
      </c>
      <c r="J385" t="s">
        <v>9</v>
      </c>
      <c r="K385" s="1">
        <v>13</v>
      </c>
      <c r="L385" s="1">
        <v>3</v>
      </c>
      <c r="M385" s="1">
        <v>2</v>
      </c>
      <c r="N385" s="1">
        <v>3</v>
      </c>
      <c r="O385" s="1">
        <v>2</v>
      </c>
      <c r="P385" s="1">
        <f>COUNTIF(HR_Data[Employee Number],HR_Data[[#This Row],[Employee Number]])</f>
        <v>1</v>
      </c>
      <c r="Q385" s="1" t="str">
        <f>IF(HR_Data[[#This Row],[Years At Company]]&lt;=HR_Data[[#This Row],[Total Working Years]],"Valid","error")</f>
        <v>Valid</v>
      </c>
      <c r="R385" s="1" t="str" cm="1">
        <f t="array" ref="R385">_xlfn.IFS(HR_Data[[#This Row],[Age]]&lt;=30,"Young", HR_Data[[#This Row],[Age]]&lt;=45,"Mid-Age",HR_Data[[#This Row],[Age]]&gt;45,"Senior")</f>
        <v>Young</v>
      </c>
      <c r="S385" s="1" t="str" cm="1">
        <f t="array" ref="S385">_xlfn.IFS(HR_Data[[#This Row],[Monthly Income]]&lt;5000,"Low", HR_Data[[#This Row],[Monthly Income]]&lt;10000,"Medium",TRUE,"High")</f>
        <v>Low</v>
      </c>
      <c r="T385" s="1" t="str" cm="1">
        <f t="array" ref="T385">_xlfn.IFS(HR_Data[[#This Row],[Total Working Years]]&lt;=5,"Junior", HR_Data[[#This Row],[Total Working Years]]&lt;=15,"Mid-Level", TRUE, "Senior")</f>
        <v>Junior</v>
      </c>
    </row>
    <row r="386" spans="1:20" x14ac:dyDescent="0.25">
      <c r="A386" s="1">
        <v>513</v>
      </c>
      <c r="B386" s="1">
        <v>36</v>
      </c>
      <c r="C386" t="s">
        <v>9</v>
      </c>
      <c r="D386" t="s">
        <v>5</v>
      </c>
      <c r="E386" t="s">
        <v>15</v>
      </c>
      <c r="F386" t="s">
        <v>11</v>
      </c>
      <c r="G386" t="s">
        <v>8</v>
      </c>
      <c r="H386" s="1">
        <v>3</v>
      </c>
      <c r="I386" s="1">
        <v>7596</v>
      </c>
      <c r="J386" t="s">
        <v>9</v>
      </c>
      <c r="K386" s="1">
        <v>13</v>
      </c>
      <c r="L386" s="1">
        <v>3</v>
      </c>
      <c r="M386" s="1">
        <v>10</v>
      </c>
      <c r="N386" s="1">
        <v>3</v>
      </c>
      <c r="O386" s="1">
        <v>10</v>
      </c>
      <c r="P386" s="1">
        <f>COUNTIF(HR_Data[Employee Number],HR_Data[[#This Row],[Employee Number]])</f>
        <v>1</v>
      </c>
      <c r="Q386" s="1" t="str">
        <f>IF(HR_Data[[#This Row],[Years At Company]]&lt;=HR_Data[[#This Row],[Total Working Years]],"Valid","error")</f>
        <v>Valid</v>
      </c>
      <c r="R386" s="1" t="str" cm="1">
        <f t="array" ref="R386">_xlfn.IFS(HR_Data[[#This Row],[Age]]&lt;=30,"Young", HR_Data[[#This Row],[Age]]&lt;=45,"Mid-Age",HR_Data[[#This Row],[Age]]&gt;45,"Senior")</f>
        <v>Mid-Age</v>
      </c>
      <c r="S386" s="1" t="str" cm="1">
        <f t="array" ref="S386">_xlfn.IFS(HR_Data[[#This Row],[Monthly Income]]&lt;5000,"Low", HR_Data[[#This Row],[Monthly Income]]&lt;10000,"Medium",TRUE,"High")</f>
        <v>Medium</v>
      </c>
      <c r="T386" s="1" t="str" cm="1">
        <f t="array" ref="T386">_xlfn.IFS(HR_Data[[#This Row],[Total Working Years]]&lt;=5,"Junior", HR_Data[[#This Row],[Total Working Years]]&lt;=15,"Mid-Level", TRUE, "Senior")</f>
        <v>Mid-Level</v>
      </c>
    </row>
    <row r="387" spans="1:20" x14ac:dyDescent="0.25">
      <c r="A387" s="1">
        <v>514</v>
      </c>
      <c r="B387" s="1">
        <v>30</v>
      </c>
      <c r="C387" t="s">
        <v>4</v>
      </c>
      <c r="D387" t="s">
        <v>10</v>
      </c>
      <c r="E387" t="s">
        <v>22</v>
      </c>
      <c r="F387" t="s">
        <v>11</v>
      </c>
      <c r="G387" t="s">
        <v>12</v>
      </c>
      <c r="H387" s="1">
        <v>4</v>
      </c>
      <c r="I387" s="1">
        <v>2285</v>
      </c>
      <c r="J387" t="s">
        <v>4</v>
      </c>
      <c r="K387" s="1">
        <v>23</v>
      </c>
      <c r="L387" s="1">
        <v>4</v>
      </c>
      <c r="M387" s="1">
        <v>3</v>
      </c>
      <c r="N387" s="1">
        <v>3</v>
      </c>
      <c r="O387" s="1">
        <v>1</v>
      </c>
      <c r="P387" s="1">
        <f>COUNTIF(HR_Data[Employee Number],HR_Data[[#This Row],[Employee Number]])</f>
        <v>1</v>
      </c>
      <c r="Q387" s="1" t="str">
        <f>IF(HR_Data[[#This Row],[Years At Company]]&lt;=HR_Data[[#This Row],[Total Working Years]],"Valid","error")</f>
        <v>Valid</v>
      </c>
      <c r="R387" s="1" t="str" cm="1">
        <f t="array" ref="R387">_xlfn.IFS(HR_Data[[#This Row],[Age]]&lt;=30,"Young", HR_Data[[#This Row],[Age]]&lt;=45,"Mid-Age",HR_Data[[#This Row],[Age]]&gt;45,"Senior")</f>
        <v>Young</v>
      </c>
      <c r="S387" s="1" t="str" cm="1">
        <f t="array" ref="S387">_xlfn.IFS(HR_Data[[#This Row],[Monthly Income]]&lt;5000,"Low", HR_Data[[#This Row],[Monthly Income]]&lt;10000,"Medium",TRUE,"High")</f>
        <v>Low</v>
      </c>
      <c r="T387" s="1" t="str" cm="1">
        <f t="array" ref="T387">_xlfn.IFS(HR_Data[[#This Row],[Total Working Years]]&lt;=5,"Junior", HR_Data[[#This Row],[Total Working Years]]&lt;=15,"Mid-Level", TRUE, "Senior")</f>
        <v>Junior</v>
      </c>
    </row>
    <row r="388" spans="1:20" x14ac:dyDescent="0.25">
      <c r="A388" s="1">
        <v>515</v>
      </c>
      <c r="B388" s="1">
        <v>37</v>
      </c>
      <c r="C388" t="s">
        <v>9</v>
      </c>
      <c r="D388" t="s">
        <v>10</v>
      </c>
      <c r="E388" t="s">
        <v>6</v>
      </c>
      <c r="F388" t="s">
        <v>7</v>
      </c>
      <c r="G388" t="s">
        <v>14</v>
      </c>
      <c r="H388" s="1">
        <v>1</v>
      </c>
      <c r="I388" s="1">
        <v>3034</v>
      </c>
      <c r="J388" t="s">
        <v>9</v>
      </c>
      <c r="K388" s="1">
        <v>12</v>
      </c>
      <c r="L388" s="1">
        <v>3</v>
      </c>
      <c r="M388" s="1">
        <v>18</v>
      </c>
      <c r="N388" s="1">
        <v>2</v>
      </c>
      <c r="O388" s="1">
        <v>18</v>
      </c>
      <c r="P388" s="1">
        <f>COUNTIF(HR_Data[Employee Number],HR_Data[[#This Row],[Employee Number]])</f>
        <v>1</v>
      </c>
      <c r="Q388" s="1" t="str">
        <f>IF(HR_Data[[#This Row],[Years At Company]]&lt;=HR_Data[[#This Row],[Total Working Years]],"Valid","error")</f>
        <v>Valid</v>
      </c>
      <c r="R388" s="1" t="str" cm="1">
        <f t="array" ref="R388">_xlfn.IFS(HR_Data[[#This Row],[Age]]&lt;=30,"Young", HR_Data[[#This Row],[Age]]&lt;=45,"Mid-Age",HR_Data[[#This Row],[Age]]&gt;45,"Senior")</f>
        <v>Mid-Age</v>
      </c>
      <c r="S388" s="1" t="str" cm="1">
        <f t="array" ref="S388">_xlfn.IFS(HR_Data[[#This Row],[Monthly Income]]&lt;5000,"Low", HR_Data[[#This Row],[Monthly Income]]&lt;10000,"Medium",TRUE,"High")</f>
        <v>Low</v>
      </c>
      <c r="T388" s="1" t="str" cm="1">
        <f t="array" ref="T388">_xlfn.IFS(HR_Data[[#This Row],[Total Working Years]]&lt;=5,"Junior", HR_Data[[#This Row],[Total Working Years]]&lt;=15,"Mid-Level", TRUE, "Senior")</f>
        <v>Senior</v>
      </c>
    </row>
    <row r="389" spans="1:20" x14ac:dyDescent="0.25">
      <c r="A389" s="1">
        <v>516</v>
      </c>
      <c r="B389" s="1">
        <v>40</v>
      </c>
      <c r="C389" t="s">
        <v>9</v>
      </c>
      <c r="D389" t="s">
        <v>5</v>
      </c>
      <c r="E389" t="s">
        <v>21</v>
      </c>
      <c r="F389" t="s">
        <v>7</v>
      </c>
      <c r="G389" t="s">
        <v>8</v>
      </c>
      <c r="H389" s="1">
        <v>2</v>
      </c>
      <c r="I389" s="1">
        <v>5715</v>
      </c>
      <c r="J389" t="s">
        <v>9</v>
      </c>
      <c r="K389" s="1">
        <v>12</v>
      </c>
      <c r="L389" s="1">
        <v>3</v>
      </c>
      <c r="M389" s="1">
        <v>8</v>
      </c>
      <c r="N389" s="1">
        <v>3</v>
      </c>
      <c r="O389" s="1">
        <v>5</v>
      </c>
      <c r="P389" s="1">
        <f>COUNTIF(HR_Data[Employee Number],HR_Data[[#This Row],[Employee Number]])</f>
        <v>1</v>
      </c>
      <c r="Q389" s="1" t="str">
        <f>IF(HR_Data[[#This Row],[Years At Company]]&lt;=HR_Data[[#This Row],[Total Working Years]],"Valid","error")</f>
        <v>Valid</v>
      </c>
      <c r="R389" s="1" t="str" cm="1">
        <f t="array" ref="R389">_xlfn.IFS(HR_Data[[#This Row],[Age]]&lt;=30,"Young", HR_Data[[#This Row],[Age]]&lt;=45,"Mid-Age",HR_Data[[#This Row],[Age]]&gt;45,"Senior")</f>
        <v>Mid-Age</v>
      </c>
      <c r="S389" s="1" t="str" cm="1">
        <f t="array" ref="S389">_xlfn.IFS(HR_Data[[#This Row],[Monthly Income]]&lt;5000,"Low", HR_Data[[#This Row],[Monthly Income]]&lt;10000,"Medium",TRUE,"High")</f>
        <v>Medium</v>
      </c>
      <c r="T389" s="1" t="str" cm="1">
        <f t="array" ref="T389">_xlfn.IFS(HR_Data[[#This Row],[Total Working Years]]&lt;=5,"Junior", HR_Data[[#This Row],[Total Working Years]]&lt;=15,"Mid-Level", TRUE, "Senior")</f>
        <v>Mid-Level</v>
      </c>
    </row>
    <row r="390" spans="1:20" x14ac:dyDescent="0.25">
      <c r="A390" s="1">
        <v>517</v>
      </c>
      <c r="B390" s="1">
        <v>42</v>
      </c>
      <c r="C390" t="s">
        <v>9</v>
      </c>
      <c r="D390" t="s">
        <v>10</v>
      </c>
      <c r="E390" t="s">
        <v>6</v>
      </c>
      <c r="F390" t="s">
        <v>7</v>
      </c>
      <c r="G390" t="s">
        <v>14</v>
      </c>
      <c r="H390" s="1">
        <v>1</v>
      </c>
      <c r="I390" s="1">
        <v>2576</v>
      </c>
      <c r="J390" t="s">
        <v>9</v>
      </c>
      <c r="K390" s="1">
        <v>16</v>
      </c>
      <c r="L390" s="1">
        <v>3</v>
      </c>
      <c r="M390" s="1">
        <v>8</v>
      </c>
      <c r="N390" s="1">
        <v>3</v>
      </c>
      <c r="O390" s="1">
        <v>5</v>
      </c>
      <c r="P390" s="1">
        <f>COUNTIF(HR_Data[Employee Number],HR_Data[[#This Row],[Employee Number]])</f>
        <v>1</v>
      </c>
      <c r="Q390" s="1" t="str">
        <f>IF(HR_Data[[#This Row],[Years At Company]]&lt;=HR_Data[[#This Row],[Total Working Years]],"Valid","error")</f>
        <v>Valid</v>
      </c>
      <c r="R390" s="1" t="str" cm="1">
        <f t="array" ref="R390">_xlfn.IFS(HR_Data[[#This Row],[Age]]&lt;=30,"Young", HR_Data[[#This Row],[Age]]&lt;=45,"Mid-Age",HR_Data[[#This Row],[Age]]&gt;45,"Senior")</f>
        <v>Mid-Age</v>
      </c>
      <c r="S390" s="1" t="str" cm="1">
        <f t="array" ref="S390">_xlfn.IFS(HR_Data[[#This Row],[Monthly Income]]&lt;5000,"Low", HR_Data[[#This Row],[Monthly Income]]&lt;10000,"Medium",TRUE,"High")</f>
        <v>Low</v>
      </c>
      <c r="T390" s="1" t="str" cm="1">
        <f t="array" ref="T390">_xlfn.IFS(HR_Data[[#This Row],[Total Working Years]]&lt;=5,"Junior", HR_Data[[#This Row],[Total Working Years]]&lt;=15,"Mid-Level", TRUE, "Senior")</f>
        <v>Mid-Level</v>
      </c>
    </row>
    <row r="391" spans="1:20" x14ac:dyDescent="0.25">
      <c r="A391" s="1">
        <v>518</v>
      </c>
      <c r="B391" s="1">
        <v>37</v>
      </c>
      <c r="C391" t="s">
        <v>9</v>
      </c>
      <c r="D391" t="s">
        <v>10</v>
      </c>
      <c r="E391" t="s">
        <v>6</v>
      </c>
      <c r="F391" t="s">
        <v>11</v>
      </c>
      <c r="G391" t="s">
        <v>16</v>
      </c>
      <c r="H391" s="1">
        <v>2</v>
      </c>
      <c r="I391" s="1">
        <v>4197</v>
      </c>
      <c r="J391" t="s">
        <v>4</v>
      </c>
      <c r="K391" s="1">
        <v>12</v>
      </c>
      <c r="L391" s="1">
        <v>3</v>
      </c>
      <c r="M391" s="1">
        <v>18</v>
      </c>
      <c r="N391" s="1">
        <v>2</v>
      </c>
      <c r="O391" s="1">
        <v>1</v>
      </c>
      <c r="P391" s="1">
        <f>COUNTIF(HR_Data[Employee Number],HR_Data[[#This Row],[Employee Number]])</f>
        <v>1</v>
      </c>
      <c r="Q391" s="1" t="str">
        <f>IF(HR_Data[[#This Row],[Years At Company]]&lt;=HR_Data[[#This Row],[Total Working Years]],"Valid","error")</f>
        <v>Valid</v>
      </c>
      <c r="R391" s="1" t="str" cm="1">
        <f t="array" ref="R391">_xlfn.IFS(HR_Data[[#This Row],[Age]]&lt;=30,"Young", HR_Data[[#This Row],[Age]]&lt;=45,"Mid-Age",HR_Data[[#This Row],[Age]]&gt;45,"Senior")</f>
        <v>Mid-Age</v>
      </c>
      <c r="S391" s="1" t="str" cm="1">
        <f t="array" ref="S391">_xlfn.IFS(HR_Data[[#This Row],[Monthly Income]]&lt;5000,"Low", HR_Data[[#This Row],[Monthly Income]]&lt;10000,"Medium",TRUE,"High")</f>
        <v>Low</v>
      </c>
      <c r="T391" s="1" t="str" cm="1">
        <f t="array" ref="T391">_xlfn.IFS(HR_Data[[#This Row],[Total Working Years]]&lt;=5,"Junior", HR_Data[[#This Row],[Total Working Years]]&lt;=15,"Mid-Level", TRUE, "Senior")</f>
        <v>Senior</v>
      </c>
    </row>
    <row r="392" spans="1:20" x14ac:dyDescent="0.25">
      <c r="A392" s="1">
        <v>520</v>
      </c>
      <c r="B392" s="1">
        <v>43</v>
      </c>
      <c r="C392" t="s">
        <v>9</v>
      </c>
      <c r="D392" t="s">
        <v>10</v>
      </c>
      <c r="E392" t="s">
        <v>6</v>
      </c>
      <c r="F392" t="s">
        <v>11</v>
      </c>
      <c r="G392" t="s">
        <v>20</v>
      </c>
      <c r="H392" s="1">
        <v>2</v>
      </c>
      <c r="I392" s="1">
        <v>14336</v>
      </c>
      <c r="J392" t="s">
        <v>9</v>
      </c>
      <c r="K392" s="1">
        <v>11</v>
      </c>
      <c r="L392" s="1">
        <v>3</v>
      </c>
      <c r="M392" s="1">
        <v>25</v>
      </c>
      <c r="N392" s="1">
        <v>3</v>
      </c>
      <c r="O392" s="1">
        <v>25</v>
      </c>
      <c r="P392" s="1">
        <f>COUNTIF(HR_Data[Employee Number],HR_Data[[#This Row],[Employee Number]])</f>
        <v>1</v>
      </c>
      <c r="Q392" s="1" t="str">
        <f>IF(HR_Data[[#This Row],[Years At Company]]&lt;=HR_Data[[#This Row],[Total Working Years]],"Valid","error")</f>
        <v>Valid</v>
      </c>
      <c r="R392" s="1" t="str" cm="1">
        <f t="array" ref="R392">_xlfn.IFS(HR_Data[[#This Row],[Age]]&lt;=30,"Young", HR_Data[[#This Row],[Age]]&lt;=45,"Mid-Age",HR_Data[[#This Row],[Age]]&gt;45,"Senior")</f>
        <v>Mid-Age</v>
      </c>
      <c r="S392" s="1" t="str" cm="1">
        <f t="array" ref="S392">_xlfn.IFS(HR_Data[[#This Row],[Monthly Income]]&lt;5000,"Low", HR_Data[[#This Row],[Monthly Income]]&lt;10000,"Medium",TRUE,"High")</f>
        <v>High</v>
      </c>
      <c r="T392" s="1" t="str" cm="1">
        <f t="array" ref="T392">_xlfn.IFS(HR_Data[[#This Row],[Total Working Years]]&lt;=5,"Junior", HR_Data[[#This Row],[Total Working Years]]&lt;=15,"Mid-Level", TRUE, "Senior")</f>
        <v>Senior</v>
      </c>
    </row>
    <row r="393" spans="1:20" x14ac:dyDescent="0.25">
      <c r="A393" s="1">
        <v>521</v>
      </c>
      <c r="B393" s="1">
        <v>40</v>
      </c>
      <c r="C393" t="s">
        <v>9</v>
      </c>
      <c r="D393" t="s">
        <v>10</v>
      </c>
      <c r="E393" t="s">
        <v>15</v>
      </c>
      <c r="F393" t="s">
        <v>7</v>
      </c>
      <c r="G393" t="s">
        <v>14</v>
      </c>
      <c r="H393" s="1">
        <v>3</v>
      </c>
      <c r="I393" s="1">
        <v>3448</v>
      </c>
      <c r="J393" t="s">
        <v>9</v>
      </c>
      <c r="K393" s="1">
        <v>22</v>
      </c>
      <c r="L393" s="1">
        <v>4</v>
      </c>
      <c r="M393" s="1">
        <v>20</v>
      </c>
      <c r="N393" s="1">
        <v>3</v>
      </c>
      <c r="O393" s="1">
        <v>1</v>
      </c>
      <c r="P393" s="1">
        <f>COUNTIF(HR_Data[Employee Number],HR_Data[[#This Row],[Employee Number]])</f>
        <v>1</v>
      </c>
      <c r="Q393" s="1" t="str">
        <f>IF(HR_Data[[#This Row],[Years At Company]]&lt;=HR_Data[[#This Row],[Total Working Years]],"Valid","error")</f>
        <v>Valid</v>
      </c>
      <c r="R393" s="1" t="str" cm="1">
        <f t="array" ref="R393">_xlfn.IFS(HR_Data[[#This Row],[Age]]&lt;=30,"Young", HR_Data[[#This Row],[Age]]&lt;=45,"Mid-Age",HR_Data[[#This Row],[Age]]&gt;45,"Senior")</f>
        <v>Mid-Age</v>
      </c>
      <c r="S393" s="1" t="str" cm="1">
        <f t="array" ref="S393">_xlfn.IFS(HR_Data[[#This Row],[Monthly Income]]&lt;5000,"Low", HR_Data[[#This Row],[Monthly Income]]&lt;10000,"Medium",TRUE,"High")</f>
        <v>Low</v>
      </c>
      <c r="T393" s="1" t="str" cm="1">
        <f t="array" ref="T393">_xlfn.IFS(HR_Data[[#This Row],[Total Working Years]]&lt;=5,"Junior", HR_Data[[#This Row],[Total Working Years]]&lt;=15,"Mid-Level", TRUE, "Senior")</f>
        <v>Senior</v>
      </c>
    </row>
    <row r="394" spans="1:20" x14ac:dyDescent="0.25">
      <c r="A394" s="1">
        <v>522</v>
      </c>
      <c r="B394" s="1">
        <v>54</v>
      </c>
      <c r="C394" t="s">
        <v>9</v>
      </c>
      <c r="D394" t="s">
        <v>10</v>
      </c>
      <c r="E394" t="s">
        <v>15</v>
      </c>
      <c r="F394" t="s">
        <v>11</v>
      </c>
      <c r="G394" t="s">
        <v>20</v>
      </c>
      <c r="H394" s="1">
        <v>1</v>
      </c>
      <c r="I394" s="1">
        <v>19406</v>
      </c>
      <c r="J394" t="s">
        <v>9</v>
      </c>
      <c r="K394" s="1">
        <v>11</v>
      </c>
      <c r="L394" s="1">
        <v>3</v>
      </c>
      <c r="M394" s="1">
        <v>24</v>
      </c>
      <c r="N394" s="1">
        <v>2</v>
      </c>
      <c r="O394" s="1">
        <v>4</v>
      </c>
      <c r="P394" s="1">
        <f>COUNTIF(HR_Data[Employee Number],HR_Data[[#This Row],[Employee Number]])</f>
        <v>1</v>
      </c>
      <c r="Q394" s="1" t="str">
        <f>IF(HR_Data[[#This Row],[Years At Company]]&lt;=HR_Data[[#This Row],[Total Working Years]],"Valid","error")</f>
        <v>Valid</v>
      </c>
      <c r="R394" s="1" t="str" cm="1">
        <f t="array" ref="R394">_xlfn.IFS(HR_Data[[#This Row],[Age]]&lt;=30,"Young", HR_Data[[#This Row],[Age]]&lt;=45,"Mid-Age",HR_Data[[#This Row],[Age]]&gt;45,"Senior")</f>
        <v>Senior</v>
      </c>
      <c r="S394" s="1" t="str" cm="1">
        <f t="array" ref="S394">_xlfn.IFS(HR_Data[[#This Row],[Monthly Income]]&lt;5000,"Low", HR_Data[[#This Row],[Monthly Income]]&lt;10000,"Medium",TRUE,"High")</f>
        <v>High</v>
      </c>
      <c r="T394" s="1" t="str" cm="1">
        <f t="array" ref="T394">_xlfn.IFS(HR_Data[[#This Row],[Total Working Years]]&lt;=5,"Junior", HR_Data[[#This Row],[Total Working Years]]&lt;=15,"Mid-Level", TRUE, "Senior")</f>
        <v>Senior</v>
      </c>
    </row>
    <row r="395" spans="1:20" x14ac:dyDescent="0.25">
      <c r="A395" s="1">
        <v>523</v>
      </c>
      <c r="B395" s="1">
        <v>34</v>
      </c>
      <c r="C395" t="s">
        <v>9</v>
      </c>
      <c r="D395" t="s">
        <v>5</v>
      </c>
      <c r="E395" t="s">
        <v>21</v>
      </c>
      <c r="F395" t="s">
        <v>7</v>
      </c>
      <c r="G395" t="s">
        <v>8</v>
      </c>
      <c r="H395" s="1">
        <v>3</v>
      </c>
      <c r="I395" s="1">
        <v>6538</v>
      </c>
      <c r="J395" t="s">
        <v>9</v>
      </c>
      <c r="K395" s="1">
        <v>15</v>
      </c>
      <c r="L395" s="1">
        <v>3</v>
      </c>
      <c r="M395" s="1">
        <v>6</v>
      </c>
      <c r="N395" s="1">
        <v>3</v>
      </c>
      <c r="O395" s="1">
        <v>3</v>
      </c>
      <c r="P395" s="1">
        <f>COUNTIF(HR_Data[Employee Number],HR_Data[[#This Row],[Employee Number]])</f>
        <v>1</v>
      </c>
      <c r="Q395" s="1" t="str">
        <f>IF(HR_Data[[#This Row],[Years At Company]]&lt;=HR_Data[[#This Row],[Total Working Years]],"Valid","error")</f>
        <v>Valid</v>
      </c>
      <c r="R395" s="1" t="str" cm="1">
        <f t="array" ref="R395">_xlfn.IFS(HR_Data[[#This Row],[Age]]&lt;=30,"Young", HR_Data[[#This Row],[Age]]&lt;=45,"Mid-Age",HR_Data[[#This Row],[Age]]&gt;45,"Senior")</f>
        <v>Mid-Age</v>
      </c>
      <c r="S395" s="1" t="str" cm="1">
        <f t="array" ref="S395">_xlfn.IFS(HR_Data[[#This Row],[Monthly Income]]&lt;5000,"Low", HR_Data[[#This Row],[Monthly Income]]&lt;10000,"Medium",TRUE,"High")</f>
        <v>Medium</v>
      </c>
      <c r="T395" s="1" t="str" cm="1">
        <f t="array" ref="T395">_xlfn.IFS(HR_Data[[#This Row],[Total Working Years]]&lt;=5,"Junior", HR_Data[[#This Row],[Total Working Years]]&lt;=15,"Mid-Level", TRUE, "Senior")</f>
        <v>Mid-Level</v>
      </c>
    </row>
    <row r="396" spans="1:20" x14ac:dyDescent="0.25">
      <c r="A396" s="1">
        <v>524</v>
      </c>
      <c r="B396" s="1">
        <v>31</v>
      </c>
      <c r="C396" t="s">
        <v>9</v>
      </c>
      <c r="D396" t="s">
        <v>10</v>
      </c>
      <c r="E396" t="s">
        <v>15</v>
      </c>
      <c r="F396" t="s">
        <v>7</v>
      </c>
      <c r="G396" t="s">
        <v>16</v>
      </c>
      <c r="H396" s="1">
        <v>1</v>
      </c>
      <c r="I396" s="1">
        <v>4306</v>
      </c>
      <c r="J396" t="s">
        <v>9</v>
      </c>
      <c r="K396" s="1">
        <v>12</v>
      </c>
      <c r="L396" s="1">
        <v>3</v>
      </c>
      <c r="M396" s="1">
        <v>13</v>
      </c>
      <c r="N396" s="1">
        <v>1</v>
      </c>
      <c r="O396" s="1">
        <v>13</v>
      </c>
      <c r="P396" s="1">
        <f>COUNTIF(HR_Data[Employee Number],HR_Data[[#This Row],[Employee Number]])</f>
        <v>1</v>
      </c>
      <c r="Q396" s="1" t="str">
        <f>IF(HR_Data[[#This Row],[Years At Company]]&lt;=HR_Data[[#This Row],[Total Working Years]],"Valid","error")</f>
        <v>Valid</v>
      </c>
      <c r="R396" s="1" t="str" cm="1">
        <f t="array" ref="R396">_xlfn.IFS(HR_Data[[#This Row],[Age]]&lt;=30,"Young", HR_Data[[#This Row],[Age]]&lt;=45,"Mid-Age",HR_Data[[#This Row],[Age]]&gt;45,"Senior")</f>
        <v>Mid-Age</v>
      </c>
      <c r="S396" s="1" t="str" cm="1">
        <f t="array" ref="S396">_xlfn.IFS(HR_Data[[#This Row],[Monthly Income]]&lt;5000,"Low", HR_Data[[#This Row],[Monthly Income]]&lt;10000,"Medium",TRUE,"High")</f>
        <v>Low</v>
      </c>
      <c r="T396" s="1" t="str" cm="1">
        <f t="array" ref="T396">_xlfn.IFS(HR_Data[[#This Row],[Total Working Years]]&lt;=5,"Junior", HR_Data[[#This Row],[Total Working Years]]&lt;=15,"Mid-Level", TRUE, "Senior")</f>
        <v>Mid-Level</v>
      </c>
    </row>
    <row r="397" spans="1:20" x14ac:dyDescent="0.25">
      <c r="A397" s="1">
        <v>525</v>
      </c>
      <c r="B397" s="1">
        <v>43</v>
      </c>
      <c r="C397" t="s">
        <v>9</v>
      </c>
      <c r="D397" t="s">
        <v>10</v>
      </c>
      <c r="E397" t="s">
        <v>15</v>
      </c>
      <c r="F397" t="s">
        <v>11</v>
      </c>
      <c r="G397" t="s">
        <v>14</v>
      </c>
      <c r="H397" s="1">
        <v>4</v>
      </c>
      <c r="I397" s="1">
        <v>2258</v>
      </c>
      <c r="J397" t="s">
        <v>9</v>
      </c>
      <c r="K397" s="1">
        <v>20</v>
      </c>
      <c r="L397" s="1">
        <v>4</v>
      </c>
      <c r="M397" s="1">
        <v>8</v>
      </c>
      <c r="N397" s="1">
        <v>3</v>
      </c>
      <c r="O397" s="1">
        <v>3</v>
      </c>
      <c r="P397" s="1">
        <f>COUNTIF(HR_Data[Employee Number],HR_Data[[#This Row],[Employee Number]])</f>
        <v>1</v>
      </c>
      <c r="Q397" s="1" t="str">
        <f>IF(HR_Data[[#This Row],[Years At Company]]&lt;=HR_Data[[#This Row],[Total Working Years]],"Valid","error")</f>
        <v>Valid</v>
      </c>
      <c r="R397" s="1" t="str" cm="1">
        <f t="array" ref="R397">_xlfn.IFS(HR_Data[[#This Row],[Age]]&lt;=30,"Young", HR_Data[[#This Row],[Age]]&lt;=45,"Mid-Age",HR_Data[[#This Row],[Age]]&gt;45,"Senior")</f>
        <v>Mid-Age</v>
      </c>
      <c r="S397" s="1" t="str" cm="1">
        <f t="array" ref="S397">_xlfn.IFS(HR_Data[[#This Row],[Monthly Income]]&lt;5000,"Low", HR_Data[[#This Row],[Monthly Income]]&lt;10000,"Medium",TRUE,"High")</f>
        <v>Low</v>
      </c>
      <c r="T397" s="1" t="str" cm="1">
        <f t="array" ref="T397">_xlfn.IFS(HR_Data[[#This Row],[Total Working Years]]&lt;=5,"Junior", HR_Data[[#This Row],[Total Working Years]]&lt;=15,"Mid-Level", TRUE, "Senior")</f>
        <v>Mid-Level</v>
      </c>
    </row>
    <row r="398" spans="1:20" x14ac:dyDescent="0.25">
      <c r="A398" s="1">
        <v>526</v>
      </c>
      <c r="B398" s="1">
        <v>43</v>
      </c>
      <c r="C398" t="s">
        <v>9</v>
      </c>
      <c r="D398" t="s">
        <v>10</v>
      </c>
      <c r="E398" t="s">
        <v>13</v>
      </c>
      <c r="F398" t="s">
        <v>7</v>
      </c>
      <c r="G398" t="s">
        <v>17</v>
      </c>
      <c r="H398" s="1">
        <v>3</v>
      </c>
      <c r="I398" s="1">
        <v>4522</v>
      </c>
      <c r="J398" t="s">
        <v>4</v>
      </c>
      <c r="K398" s="1">
        <v>14</v>
      </c>
      <c r="L398" s="1">
        <v>3</v>
      </c>
      <c r="M398" s="1">
        <v>8</v>
      </c>
      <c r="N398" s="1">
        <v>3</v>
      </c>
      <c r="O398" s="1">
        <v>5</v>
      </c>
      <c r="P398" s="1">
        <f>COUNTIF(HR_Data[Employee Number],HR_Data[[#This Row],[Employee Number]])</f>
        <v>1</v>
      </c>
      <c r="Q398" s="1" t="str">
        <f>IF(HR_Data[[#This Row],[Years At Company]]&lt;=HR_Data[[#This Row],[Total Working Years]],"Valid","error")</f>
        <v>Valid</v>
      </c>
      <c r="R398" s="1" t="str" cm="1">
        <f t="array" ref="R398">_xlfn.IFS(HR_Data[[#This Row],[Age]]&lt;=30,"Young", HR_Data[[#This Row],[Age]]&lt;=45,"Mid-Age",HR_Data[[#This Row],[Age]]&gt;45,"Senior")</f>
        <v>Mid-Age</v>
      </c>
      <c r="S398" s="1" t="str" cm="1">
        <f t="array" ref="S398">_xlfn.IFS(HR_Data[[#This Row],[Monthly Income]]&lt;5000,"Low", HR_Data[[#This Row],[Monthly Income]]&lt;10000,"Medium",TRUE,"High")</f>
        <v>Low</v>
      </c>
      <c r="T398" s="1" t="str" cm="1">
        <f t="array" ref="T398">_xlfn.IFS(HR_Data[[#This Row],[Total Working Years]]&lt;=5,"Junior", HR_Data[[#This Row],[Total Working Years]]&lt;=15,"Mid-Level", TRUE, "Senior")</f>
        <v>Mid-Level</v>
      </c>
    </row>
    <row r="399" spans="1:20" x14ac:dyDescent="0.25">
      <c r="A399" s="1">
        <v>527</v>
      </c>
      <c r="B399" s="1">
        <v>25</v>
      </c>
      <c r="C399" t="s">
        <v>9</v>
      </c>
      <c r="D399" t="s">
        <v>5</v>
      </c>
      <c r="E399" t="s">
        <v>6</v>
      </c>
      <c r="F399" t="s">
        <v>7</v>
      </c>
      <c r="G399" t="s">
        <v>8</v>
      </c>
      <c r="H399" s="1">
        <v>4</v>
      </c>
      <c r="I399" s="1">
        <v>4487</v>
      </c>
      <c r="J399" t="s">
        <v>4</v>
      </c>
      <c r="K399" s="1">
        <v>11</v>
      </c>
      <c r="L399" s="1">
        <v>3</v>
      </c>
      <c r="M399" s="1">
        <v>5</v>
      </c>
      <c r="N399" s="1">
        <v>3</v>
      </c>
      <c r="O399" s="1">
        <v>5</v>
      </c>
      <c r="P399" s="1">
        <f>COUNTIF(HR_Data[Employee Number],HR_Data[[#This Row],[Employee Number]])</f>
        <v>1</v>
      </c>
      <c r="Q399" s="1" t="str">
        <f>IF(HR_Data[[#This Row],[Years At Company]]&lt;=HR_Data[[#This Row],[Total Working Years]],"Valid","error")</f>
        <v>Valid</v>
      </c>
      <c r="R399" s="1" t="str" cm="1">
        <f t="array" ref="R399">_xlfn.IFS(HR_Data[[#This Row],[Age]]&lt;=30,"Young", HR_Data[[#This Row],[Age]]&lt;=45,"Mid-Age",HR_Data[[#This Row],[Age]]&gt;45,"Senior")</f>
        <v>Young</v>
      </c>
      <c r="S399" s="1" t="str" cm="1">
        <f t="array" ref="S399">_xlfn.IFS(HR_Data[[#This Row],[Monthly Income]]&lt;5000,"Low", HR_Data[[#This Row],[Monthly Income]]&lt;10000,"Medium",TRUE,"High")</f>
        <v>Low</v>
      </c>
      <c r="T399" s="1" t="str" cm="1">
        <f t="array" ref="T399">_xlfn.IFS(HR_Data[[#This Row],[Total Working Years]]&lt;=5,"Junior", HR_Data[[#This Row],[Total Working Years]]&lt;=15,"Mid-Level", TRUE, "Senior")</f>
        <v>Junior</v>
      </c>
    </row>
    <row r="400" spans="1:20" x14ac:dyDescent="0.25">
      <c r="A400" s="1">
        <v>529</v>
      </c>
      <c r="B400" s="1">
        <v>37</v>
      </c>
      <c r="C400" t="s">
        <v>9</v>
      </c>
      <c r="D400" t="s">
        <v>10</v>
      </c>
      <c r="E400" t="s">
        <v>15</v>
      </c>
      <c r="F400" t="s">
        <v>7</v>
      </c>
      <c r="G400" t="s">
        <v>12</v>
      </c>
      <c r="H400" s="1">
        <v>3</v>
      </c>
      <c r="I400" s="1">
        <v>4449</v>
      </c>
      <c r="J400" t="s">
        <v>4</v>
      </c>
      <c r="K400" s="1">
        <v>15</v>
      </c>
      <c r="L400" s="1">
        <v>3</v>
      </c>
      <c r="M400" s="1">
        <v>15</v>
      </c>
      <c r="N400" s="1">
        <v>3</v>
      </c>
      <c r="O400" s="1">
        <v>13</v>
      </c>
      <c r="P400" s="1">
        <f>COUNTIF(HR_Data[Employee Number],HR_Data[[#This Row],[Employee Number]])</f>
        <v>1</v>
      </c>
      <c r="Q400" s="1" t="str">
        <f>IF(HR_Data[[#This Row],[Years At Company]]&lt;=HR_Data[[#This Row],[Total Working Years]],"Valid","error")</f>
        <v>Valid</v>
      </c>
      <c r="R400" s="1" t="str" cm="1">
        <f t="array" ref="R400">_xlfn.IFS(HR_Data[[#This Row],[Age]]&lt;=30,"Young", HR_Data[[#This Row],[Age]]&lt;=45,"Mid-Age",HR_Data[[#This Row],[Age]]&gt;45,"Senior")</f>
        <v>Mid-Age</v>
      </c>
      <c r="S400" s="1" t="str" cm="1">
        <f t="array" ref="S400">_xlfn.IFS(HR_Data[[#This Row],[Monthly Income]]&lt;5000,"Low", HR_Data[[#This Row],[Monthly Income]]&lt;10000,"Medium",TRUE,"High")</f>
        <v>Low</v>
      </c>
      <c r="T400" s="1" t="str" cm="1">
        <f t="array" ref="T400">_xlfn.IFS(HR_Data[[#This Row],[Total Working Years]]&lt;=5,"Junior", HR_Data[[#This Row],[Total Working Years]]&lt;=15,"Mid-Level", TRUE, "Senior")</f>
        <v>Mid-Level</v>
      </c>
    </row>
    <row r="401" spans="1:20" x14ac:dyDescent="0.25">
      <c r="A401" s="1">
        <v>530</v>
      </c>
      <c r="B401" s="1">
        <v>31</v>
      </c>
      <c r="C401" t="s">
        <v>9</v>
      </c>
      <c r="D401" t="s">
        <v>10</v>
      </c>
      <c r="E401" t="s">
        <v>6</v>
      </c>
      <c r="F401" t="s">
        <v>11</v>
      </c>
      <c r="G401" t="s">
        <v>14</v>
      </c>
      <c r="H401" s="1">
        <v>1</v>
      </c>
      <c r="I401" s="1">
        <v>2218</v>
      </c>
      <c r="J401" t="s">
        <v>9</v>
      </c>
      <c r="K401" s="1">
        <v>12</v>
      </c>
      <c r="L401" s="1">
        <v>3</v>
      </c>
      <c r="M401" s="1">
        <v>4</v>
      </c>
      <c r="N401" s="1">
        <v>3</v>
      </c>
      <c r="O401" s="1">
        <v>4</v>
      </c>
      <c r="P401" s="1">
        <f>COUNTIF(HR_Data[Employee Number],HR_Data[[#This Row],[Employee Number]])</f>
        <v>1</v>
      </c>
      <c r="Q401" s="1" t="str">
        <f>IF(HR_Data[[#This Row],[Years At Company]]&lt;=HR_Data[[#This Row],[Total Working Years]],"Valid","error")</f>
        <v>Valid</v>
      </c>
      <c r="R401" s="1" t="str" cm="1">
        <f t="array" ref="R401">_xlfn.IFS(HR_Data[[#This Row],[Age]]&lt;=30,"Young", HR_Data[[#This Row],[Age]]&lt;=45,"Mid-Age",HR_Data[[#This Row],[Age]]&gt;45,"Senior")</f>
        <v>Mid-Age</v>
      </c>
      <c r="S401" s="1" t="str" cm="1">
        <f t="array" ref="S401">_xlfn.IFS(HR_Data[[#This Row],[Monthly Income]]&lt;5000,"Low", HR_Data[[#This Row],[Monthly Income]]&lt;10000,"Medium",TRUE,"High")</f>
        <v>Low</v>
      </c>
      <c r="T401" s="1" t="str" cm="1">
        <f t="array" ref="T401">_xlfn.IFS(HR_Data[[#This Row],[Total Working Years]]&lt;=5,"Junior", HR_Data[[#This Row],[Total Working Years]]&lt;=15,"Mid-Level", TRUE, "Senior")</f>
        <v>Junior</v>
      </c>
    </row>
    <row r="402" spans="1:20" x14ac:dyDescent="0.25">
      <c r="A402" s="1">
        <v>531</v>
      </c>
      <c r="B402" s="1">
        <v>39</v>
      </c>
      <c r="C402" t="s">
        <v>9</v>
      </c>
      <c r="D402" t="s">
        <v>10</v>
      </c>
      <c r="E402" t="s">
        <v>6</v>
      </c>
      <c r="F402" t="s">
        <v>11</v>
      </c>
      <c r="G402" t="s">
        <v>18</v>
      </c>
      <c r="H402" s="1">
        <v>3</v>
      </c>
      <c r="I402" s="1">
        <v>19197</v>
      </c>
      <c r="J402" t="s">
        <v>4</v>
      </c>
      <c r="K402" s="1">
        <v>14</v>
      </c>
      <c r="L402" s="1">
        <v>3</v>
      </c>
      <c r="M402" s="1">
        <v>21</v>
      </c>
      <c r="N402" s="1">
        <v>3</v>
      </c>
      <c r="O402" s="1">
        <v>21</v>
      </c>
      <c r="P402" s="1">
        <f>COUNTIF(HR_Data[Employee Number],HR_Data[[#This Row],[Employee Number]])</f>
        <v>1</v>
      </c>
      <c r="Q402" s="1" t="str">
        <f>IF(HR_Data[[#This Row],[Years At Company]]&lt;=HR_Data[[#This Row],[Total Working Years]],"Valid","error")</f>
        <v>Valid</v>
      </c>
      <c r="R402" s="1" t="str" cm="1">
        <f t="array" ref="R402">_xlfn.IFS(HR_Data[[#This Row],[Age]]&lt;=30,"Young", HR_Data[[#This Row],[Age]]&lt;=45,"Mid-Age",HR_Data[[#This Row],[Age]]&gt;45,"Senior")</f>
        <v>Mid-Age</v>
      </c>
      <c r="S402" s="1" t="str" cm="1">
        <f t="array" ref="S402">_xlfn.IFS(HR_Data[[#This Row],[Monthly Income]]&lt;5000,"Low", HR_Data[[#This Row],[Monthly Income]]&lt;10000,"Medium",TRUE,"High")</f>
        <v>High</v>
      </c>
      <c r="T402" s="1" t="str" cm="1">
        <f t="array" ref="T402">_xlfn.IFS(HR_Data[[#This Row],[Total Working Years]]&lt;=5,"Junior", HR_Data[[#This Row],[Total Working Years]]&lt;=15,"Mid-Level", TRUE, "Senior")</f>
        <v>Senior</v>
      </c>
    </row>
    <row r="403" spans="1:20" x14ac:dyDescent="0.25">
      <c r="A403" s="1">
        <v>532</v>
      </c>
      <c r="B403" s="1">
        <v>56</v>
      </c>
      <c r="C403" t="s">
        <v>9</v>
      </c>
      <c r="D403" t="s">
        <v>5</v>
      </c>
      <c r="E403" t="s">
        <v>6</v>
      </c>
      <c r="F403" t="s">
        <v>7</v>
      </c>
      <c r="G403" t="s">
        <v>8</v>
      </c>
      <c r="H403" s="1">
        <v>1</v>
      </c>
      <c r="I403" s="1">
        <v>13212</v>
      </c>
      <c r="J403" t="s">
        <v>9</v>
      </c>
      <c r="K403" s="1">
        <v>11</v>
      </c>
      <c r="L403" s="1">
        <v>3</v>
      </c>
      <c r="M403" s="1">
        <v>36</v>
      </c>
      <c r="N403" s="1">
        <v>2</v>
      </c>
      <c r="O403" s="1">
        <v>7</v>
      </c>
      <c r="P403" s="1">
        <f>COUNTIF(HR_Data[Employee Number],HR_Data[[#This Row],[Employee Number]])</f>
        <v>1</v>
      </c>
      <c r="Q403" s="1" t="str">
        <f>IF(HR_Data[[#This Row],[Years At Company]]&lt;=HR_Data[[#This Row],[Total Working Years]],"Valid","error")</f>
        <v>Valid</v>
      </c>
      <c r="R403" s="1" t="str" cm="1">
        <f t="array" ref="R403">_xlfn.IFS(HR_Data[[#This Row],[Age]]&lt;=30,"Young", HR_Data[[#This Row],[Age]]&lt;=45,"Mid-Age",HR_Data[[#This Row],[Age]]&gt;45,"Senior")</f>
        <v>Senior</v>
      </c>
      <c r="S403" s="1" t="str" cm="1">
        <f t="array" ref="S403">_xlfn.IFS(HR_Data[[#This Row],[Monthly Income]]&lt;5000,"Low", HR_Data[[#This Row],[Monthly Income]]&lt;10000,"Medium",TRUE,"High")</f>
        <v>High</v>
      </c>
      <c r="T403" s="1" t="str" cm="1">
        <f t="array" ref="T403">_xlfn.IFS(HR_Data[[#This Row],[Total Working Years]]&lt;=5,"Junior", HR_Data[[#This Row],[Total Working Years]]&lt;=15,"Mid-Level", TRUE, "Senior")</f>
        <v>Senior</v>
      </c>
    </row>
    <row r="404" spans="1:20" x14ac:dyDescent="0.25">
      <c r="A404" s="1">
        <v>533</v>
      </c>
      <c r="B404" s="1">
        <v>30</v>
      </c>
      <c r="C404" t="s">
        <v>9</v>
      </c>
      <c r="D404" t="s">
        <v>5</v>
      </c>
      <c r="E404" t="s">
        <v>22</v>
      </c>
      <c r="F404" t="s">
        <v>7</v>
      </c>
      <c r="G404" t="s">
        <v>8</v>
      </c>
      <c r="H404" s="1">
        <v>3</v>
      </c>
      <c r="I404" s="1">
        <v>6577</v>
      </c>
      <c r="J404" t="s">
        <v>9</v>
      </c>
      <c r="K404" s="1">
        <v>11</v>
      </c>
      <c r="L404" s="1">
        <v>3</v>
      </c>
      <c r="M404" s="1">
        <v>6</v>
      </c>
      <c r="N404" s="1">
        <v>3</v>
      </c>
      <c r="O404" s="1">
        <v>5</v>
      </c>
      <c r="P404" s="1">
        <f>COUNTIF(HR_Data[Employee Number],HR_Data[[#This Row],[Employee Number]])</f>
        <v>1</v>
      </c>
      <c r="Q404" s="1" t="str">
        <f>IF(HR_Data[[#This Row],[Years At Company]]&lt;=HR_Data[[#This Row],[Total Working Years]],"Valid","error")</f>
        <v>Valid</v>
      </c>
      <c r="R404" s="1" t="str" cm="1">
        <f t="array" ref="R404">_xlfn.IFS(HR_Data[[#This Row],[Age]]&lt;=30,"Young", HR_Data[[#This Row],[Age]]&lt;=45,"Mid-Age",HR_Data[[#This Row],[Age]]&gt;45,"Senior")</f>
        <v>Young</v>
      </c>
      <c r="S404" s="1" t="str" cm="1">
        <f t="array" ref="S404">_xlfn.IFS(HR_Data[[#This Row],[Monthly Income]]&lt;5000,"Low", HR_Data[[#This Row],[Monthly Income]]&lt;10000,"Medium",TRUE,"High")</f>
        <v>Medium</v>
      </c>
      <c r="T404" s="1" t="str" cm="1">
        <f t="array" ref="T404">_xlfn.IFS(HR_Data[[#This Row],[Total Working Years]]&lt;=5,"Junior", HR_Data[[#This Row],[Total Working Years]]&lt;=15,"Mid-Level", TRUE, "Senior")</f>
        <v>Mid-Level</v>
      </c>
    </row>
    <row r="405" spans="1:20" x14ac:dyDescent="0.25">
      <c r="A405" s="1">
        <v>534</v>
      </c>
      <c r="B405" s="1">
        <v>41</v>
      </c>
      <c r="C405" t="s">
        <v>9</v>
      </c>
      <c r="D405" t="s">
        <v>5</v>
      </c>
      <c r="E405" t="s">
        <v>21</v>
      </c>
      <c r="F405" t="s">
        <v>11</v>
      </c>
      <c r="G405" t="s">
        <v>8</v>
      </c>
      <c r="H405" s="1">
        <v>1</v>
      </c>
      <c r="I405" s="1">
        <v>8392</v>
      </c>
      <c r="J405" t="s">
        <v>9</v>
      </c>
      <c r="K405" s="1">
        <v>16</v>
      </c>
      <c r="L405" s="1">
        <v>3</v>
      </c>
      <c r="M405" s="1">
        <v>10</v>
      </c>
      <c r="N405" s="1">
        <v>3</v>
      </c>
      <c r="O405" s="1">
        <v>10</v>
      </c>
      <c r="P405" s="1">
        <f>COUNTIF(HR_Data[Employee Number],HR_Data[[#This Row],[Employee Number]])</f>
        <v>1</v>
      </c>
      <c r="Q405" s="1" t="str">
        <f>IF(HR_Data[[#This Row],[Years At Company]]&lt;=HR_Data[[#This Row],[Total Working Years]],"Valid","error")</f>
        <v>Valid</v>
      </c>
      <c r="R405" s="1" t="str" cm="1">
        <f t="array" ref="R405">_xlfn.IFS(HR_Data[[#This Row],[Age]]&lt;=30,"Young", HR_Data[[#This Row],[Age]]&lt;=45,"Mid-Age",HR_Data[[#This Row],[Age]]&gt;45,"Senior")</f>
        <v>Mid-Age</v>
      </c>
      <c r="S405" s="1" t="str" cm="1">
        <f t="array" ref="S405">_xlfn.IFS(HR_Data[[#This Row],[Monthly Income]]&lt;5000,"Low", HR_Data[[#This Row],[Monthly Income]]&lt;10000,"Medium",TRUE,"High")</f>
        <v>Medium</v>
      </c>
      <c r="T405" s="1" t="str" cm="1">
        <f t="array" ref="T405">_xlfn.IFS(HR_Data[[#This Row],[Total Working Years]]&lt;=5,"Junior", HR_Data[[#This Row],[Total Working Years]]&lt;=15,"Mid-Level", TRUE, "Senior")</f>
        <v>Mid-Level</v>
      </c>
    </row>
    <row r="406" spans="1:20" x14ac:dyDescent="0.25">
      <c r="A406" s="1">
        <v>536</v>
      </c>
      <c r="B406" s="1">
        <v>28</v>
      </c>
      <c r="C406" t="s">
        <v>9</v>
      </c>
      <c r="D406" t="s">
        <v>10</v>
      </c>
      <c r="E406" t="s">
        <v>15</v>
      </c>
      <c r="F406" t="s">
        <v>11</v>
      </c>
      <c r="G406" t="s">
        <v>14</v>
      </c>
      <c r="H406" s="1">
        <v>1</v>
      </c>
      <c r="I406" s="1">
        <v>4558</v>
      </c>
      <c r="J406" t="s">
        <v>9</v>
      </c>
      <c r="K406" s="1">
        <v>12</v>
      </c>
      <c r="L406" s="1">
        <v>3</v>
      </c>
      <c r="M406" s="1">
        <v>10</v>
      </c>
      <c r="N406" s="1">
        <v>3</v>
      </c>
      <c r="O406" s="1">
        <v>10</v>
      </c>
      <c r="P406" s="1">
        <f>COUNTIF(HR_Data[Employee Number],HR_Data[[#This Row],[Employee Number]])</f>
        <v>1</v>
      </c>
      <c r="Q406" s="1" t="str">
        <f>IF(HR_Data[[#This Row],[Years At Company]]&lt;=HR_Data[[#This Row],[Total Working Years]],"Valid","error")</f>
        <v>Valid</v>
      </c>
      <c r="R406" s="1" t="str" cm="1">
        <f t="array" ref="R406">_xlfn.IFS(HR_Data[[#This Row],[Age]]&lt;=30,"Young", HR_Data[[#This Row],[Age]]&lt;=45,"Mid-Age",HR_Data[[#This Row],[Age]]&gt;45,"Senior")</f>
        <v>Young</v>
      </c>
      <c r="S406" s="1" t="str" cm="1">
        <f t="array" ref="S406">_xlfn.IFS(HR_Data[[#This Row],[Monthly Income]]&lt;5000,"Low", HR_Data[[#This Row],[Monthly Income]]&lt;10000,"Medium",TRUE,"High")</f>
        <v>Low</v>
      </c>
      <c r="T406" s="1" t="str" cm="1">
        <f t="array" ref="T406">_xlfn.IFS(HR_Data[[#This Row],[Total Working Years]]&lt;=5,"Junior", HR_Data[[#This Row],[Total Working Years]]&lt;=15,"Mid-Level", TRUE, "Senior")</f>
        <v>Mid-Level</v>
      </c>
    </row>
    <row r="407" spans="1:20" x14ac:dyDescent="0.25">
      <c r="A407" s="1">
        <v>538</v>
      </c>
      <c r="B407" s="1">
        <v>25</v>
      </c>
      <c r="C407" t="s">
        <v>4</v>
      </c>
      <c r="D407" t="s">
        <v>10</v>
      </c>
      <c r="E407" t="s">
        <v>15</v>
      </c>
      <c r="F407" t="s">
        <v>11</v>
      </c>
      <c r="G407" t="s">
        <v>14</v>
      </c>
      <c r="H407" s="1">
        <v>1</v>
      </c>
      <c r="I407" s="1">
        <v>4031</v>
      </c>
      <c r="J407" t="s">
        <v>9</v>
      </c>
      <c r="K407" s="1">
        <v>13</v>
      </c>
      <c r="L407" s="1">
        <v>3</v>
      </c>
      <c r="M407" s="1">
        <v>6</v>
      </c>
      <c r="N407" s="1">
        <v>3</v>
      </c>
      <c r="O407" s="1">
        <v>2</v>
      </c>
      <c r="P407" s="1">
        <f>COUNTIF(HR_Data[Employee Number],HR_Data[[#This Row],[Employee Number]])</f>
        <v>1</v>
      </c>
      <c r="Q407" s="1" t="str">
        <f>IF(HR_Data[[#This Row],[Years At Company]]&lt;=HR_Data[[#This Row],[Total Working Years]],"Valid","error")</f>
        <v>Valid</v>
      </c>
      <c r="R407" s="1" t="str" cm="1">
        <f t="array" ref="R407">_xlfn.IFS(HR_Data[[#This Row],[Age]]&lt;=30,"Young", HR_Data[[#This Row],[Age]]&lt;=45,"Mid-Age",HR_Data[[#This Row],[Age]]&gt;45,"Senior")</f>
        <v>Young</v>
      </c>
      <c r="S407" s="1" t="str" cm="1">
        <f t="array" ref="S407">_xlfn.IFS(HR_Data[[#This Row],[Monthly Income]]&lt;5000,"Low", HR_Data[[#This Row],[Monthly Income]]&lt;10000,"Medium",TRUE,"High")</f>
        <v>Low</v>
      </c>
      <c r="T407" s="1" t="str" cm="1">
        <f t="array" ref="T407">_xlfn.IFS(HR_Data[[#This Row],[Total Working Years]]&lt;=5,"Junior", HR_Data[[#This Row],[Total Working Years]]&lt;=15,"Mid-Level", TRUE, "Senior")</f>
        <v>Mid-Level</v>
      </c>
    </row>
    <row r="408" spans="1:20" x14ac:dyDescent="0.25">
      <c r="A408" s="1">
        <v>543</v>
      </c>
      <c r="B408" s="1">
        <v>52</v>
      </c>
      <c r="C408" t="s">
        <v>9</v>
      </c>
      <c r="D408" t="s">
        <v>10</v>
      </c>
      <c r="E408" t="s">
        <v>15</v>
      </c>
      <c r="F408" t="s">
        <v>11</v>
      </c>
      <c r="G408" t="s">
        <v>16</v>
      </c>
      <c r="H408" s="1">
        <v>3</v>
      </c>
      <c r="I408" s="1">
        <v>7969</v>
      </c>
      <c r="J408" t="s">
        <v>4</v>
      </c>
      <c r="K408" s="1">
        <v>14</v>
      </c>
      <c r="L408" s="1">
        <v>3</v>
      </c>
      <c r="M408" s="1">
        <v>28</v>
      </c>
      <c r="N408" s="1">
        <v>3</v>
      </c>
      <c r="O408" s="1">
        <v>5</v>
      </c>
      <c r="P408" s="1">
        <f>COUNTIF(HR_Data[Employee Number],HR_Data[[#This Row],[Employee Number]])</f>
        <v>1</v>
      </c>
      <c r="Q408" s="1" t="str">
        <f>IF(HR_Data[[#This Row],[Years At Company]]&lt;=HR_Data[[#This Row],[Total Working Years]],"Valid","error")</f>
        <v>Valid</v>
      </c>
      <c r="R408" s="1" t="str" cm="1">
        <f t="array" ref="R408">_xlfn.IFS(HR_Data[[#This Row],[Age]]&lt;=30,"Young", HR_Data[[#This Row],[Age]]&lt;=45,"Mid-Age",HR_Data[[#This Row],[Age]]&gt;45,"Senior")</f>
        <v>Senior</v>
      </c>
      <c r="S408" s="1" t="str" cm="1">
        <f t="array" ref="S408">_xlfn.IFS(HR_Data[[#This Row],[Monthly Income]]&lt;5000,"Low", HR_Data[[#This Row],[Monthly Income]]&lt;10000,"Medium",TRUE,"High")</f>
        <v>Medium</v>
      </c>
      <c r="T408" s="1" t="str" cm="1">
        <f t="array" ref="T408">_xlfn.IFS(HR_Data[[#This Row],[Total Working Years]]&lt;=5,"Junior", HR_Data[[#This Row],[Total Working Years]]&lt;=15,"Mid-Level", TRUE, "Senior")</f>
        <v>Senior</v>
      </c>
    </row>
    <row r="409" spans="1:20" x14ac:dyDescent="0.25">
      <c r="A409" s="1">
        <v>544</v>
      </c>
      <c r="B409" s="1">
        <v>45</v>
      </c>
      <c r="C409" t="s">
        <v>9</v>
      </c>
      <c r="D409" t="s">
        <v>10</v>
      </c>
      <c r="E409" t="s">
        <v>6</v>
      </c>
      <c r="F409" t="s">
        <v>11</v>
      </c>
      <c r="G409" t="s">
        <v>12</v>
      </c>
      <c r="H409" s="1">
        <v>4</v>
      </c>
      <c r="I409" s="1">
        <v>2654</v>
      </c>
      <c r="J409" t="s">
        <v>9</v>
      </c>
      <c r="K409" s="1">
        <v>21</v>
      </c>
      <c r="L409" s="1">
        <v>4</v>
      </c>
      <c r="M409" s="1">
        <v>8</v>
      </c>
      <c r="N409" s="1">
        <v>2</v>
      </c>
      <c r="O409" s="1">
        <v>2</v>
      </c>
      <c r="P409" s="1">
        <f>COUNTIF(HR_Data[Employee Number],HR_Data[[#This Row],[Employee Number]])</f>
        <v>1</v>
      </c>
      <c r="Q409" s="1" t="str">
        <f>IF(HR_Data[[#This Row],[Years At Company]]&lt;=HR_Data[[#This Row],[Total Working Years]],"Valid","error")</f>
        <v>Valid</v>
      </c>
      <c r="R409" s="1" t="str" cm="1">
        <f t="array" ref="R409">_xlfn.IFS(HR_Data[[#This Row],[Age]]&lt;=30,"Young", HR_Data[[#This Row],[Age]]&lt;=45,"Mid-Age",HR_Data[[#This Row],[Age]]&gt;45,"Senior")</f>
        <v>Mid-Age</v>
      </c>
      <c r="S409" s="1" t="str" cm="1">
        <f t="array" ref="S409">_xlfn.IFS(HR_Data[[#This Row],[Monthly Income]]&lt;5000,"Low", HR_Data[[#This Row],[Monthly Income]]&lt;10000,"Medium",TRUE,"High")</f>
        <v>Low</v>
      </c>
      <c r="T409" s="1" t="str" cm="1">
        <f t="array" ref="T409">_xlfn.IFS(HR_Data[[#This Row],[Total Working Years]]&lt;=5,"Junior", HR_Data[[#This Row],[Total Working Years]]&lt;=15,"Mid-Level", TRUE, "Senior")</f>
        <v>Mid-Level</v>
      </c>
    </row>
    <row r="410" spans="1:20" x14ac:dyDescent="0.25">
      <c r="A410" s="1">
        <v>546</v>
      </c>
      <c r="B410" s="1">
        <v>52</v>
      </c>
      <c r="C410" t="s">
        <v>9</v>
      </c>
      <c r="D410" t="s">
        <v>10</v>
      </c>
      <c r="E410" t="s">
        <v>6</v>
      </c>
      <c r="F410" t="s">
        <v>7</v>
      </c>
      <c r="G410" t="s">
        <v>18</v>
      </c>
      <c r="H410" s="1">
        <v>4</v>
      </c>
      <c r="I410" s="1">
        <v>16555</v>
      </c>
      <c r="J410" t="s">
        <v>9</v>
      </c>
      <c r="K410" s="1">
        <v>13</v>
      </c>
      <c r="L410" s="1">
        <v>3</v>
      </c>
      <c r="M410" s="1">
        <v>31</v>
      </c>
      <c r="N410" s="1">
        <v>1</v>
      </c>
      <c r="O410" s="1">
        <v>5</v>
      </c>
      <c r="P410" s="1">
        <f>COUNTIF(HR_Data[Employee Number],HR_Data[[#This Row],[Employee Number]])</f>
        <v>1</v>
      </c>
      <c r="Q410" s="1" t="str">
        <f>IF(HR_Data[[#This Row],[Years At Company]]&lt;=HR_Data[[#This Row],[Total Working Years]],"Valid","error")</f>
        <v>Valid</v>
      </c>
      <c r="R410" s="1" t="str" cm="1">
        <f t="array" ref="R410">_xlfn.IFS(HR_Data[[#This Row],[Age]]&lt;=30,"Young", HR_Data[[#This Row],[Age]]&lt;=45,"Mid-Age",HR_Data[[#This Row],[Age]]&gt;45,"Senior")</f>
        <v>Senior</v>
      </c>
      <c r="S410" s="1" t="str" cm="1">
        <f t="array" ref="S410">_xlfn.IFS(HR_Data[[#This Row],[Monthly Income]]&lt;5000,"Low", HR_Data[[#This Row],[Monthly Income]]&lt;10000,"Medium",TRUE,"High")</f>
        <v>High</v>
      </c>
      <c r="T410" s="1" t="str" cm="1">
        <f t="array" ref="T410">_xlfn.IFS(HR_Data[[#This Row],[Total Working Years]]&lt;=5,"Junior", HR_Data[[#This Row],[Total Working Years]]&lt;=15,"Mid-Level", TRUE, "Senior")</f>
        <v>Senior</v>
      </c>
    </row>
    <row r="411" spans="1:20" x14ac:dyDescent="0.25">
      <c r="A411" s="1">
        <v>547</v>
      </c>
      <c r="B411" s="1">
        <v>42</v>
      </c>
      <c r="C411" t="s">
        <v>9</v>
      </c>
      <c r="D411" t="s">
        <v>10</v>
      </c>
      <c r="E411" t="s">
        <v>6</v>
      </c>
      <c r="F411" t="s">
        <v>7</v>
      </c>
      <c r="G411" t="s">
        <v>12</v>
      </c>
      <c r="H411" s="1">
        <v>3</v>
      </c>
      <c r="I411" s="1">
        <v>4556</v>
      </c>
      <c r="J411" t="s">
        <v>9</v>
      </c>
      <c r="K411" s="1">
        <v>11</v>
      </c>
      <c r="L411" s="1">
        <v>3</v>
      </c>
      <c r="M411" s="1">
        <v>19</v>
      </c>
      <c r="N411" s="1">
        <v>3</v>
      </c>
      <c r="O411" s="1">
        <v>5</v>
      </c>
      <c r="P411" s="1">
        <f>COUNTIF(HR_Data[Employee Number],HR_Data[[#This Row],[Employee Number]])</f>
        <v>1</v>
      </c>
      <c r="Q411" s="1" t="str">
        <f>IF(HR_Data[[#This Row],[Years At Company]]&lt;=HR_Data[[#This Row],[Total Working Years]],"Valid","error")</f>
        <v>Valid</v>
      </c>
      <c r="R411" s="1" t="str" cm="1">
        <f t="array" ref="R411">_xlfn.IFS(HR_Data[[#This Row],[Age]]&lt;=30,"Young", HR_Data[[#This Row],[Age]]&lt;=45,"Mid-Age",HR_Data[[#This Row],[Age]]&gt;45,"Senior")</f>
        <v>Mid-Age</v>
      </c>
      <c r="S411" s="1" t="str" cm="1">
        <f t="array" ref="S411">_xlfn.IFS(HR_Data[[#This Row],[Monthly Income]]&lt;5000,"Low", HR_Data[[#This Row],[Monthly Income]]&lt;10000,"Medium",TRUE,"High")</f>
        <v>Low</v>
      </c>
      <c r="T411" s="1" t="str" cm="1">
        <f t="array" ref="T411">_xlfn.IFS(HR_Data[[#This Row],[Total Working Years]]&lt;=5,"Junior", HR_Data[[#This Row],[Total Working Years]]&lt;=15,"Mid-Level", TRUE, "Senior")</f>
        <v>Senior</v>
      </c>
    </row>
    <row r="412" spans="1:20" x14ac:dyDescent="0.25">
      <c r="A412" s="1">
        <v>548</v>
      </c>
      <c r="B412" s="1">
        <v>30</v>
      </c>
      <c r="C412" t="s">
        <v>9</v>
      </c>
      <c r="D412" t="s">
        <v>10</v>
      </c>
      <c r="E412" t="s">
        <v>6</v>
      </c>
      <c r="F412" t="s">
        <v>7</v>
      </c>
      <c r="G412" t="s">
        <v>16</v>
      </c>
      <c r="H412" s="1">
        <v>4</v>
      </c>
      <c r="I412" s="1">
        <v>6091</v>
      </c>
      <c r="J412" t="s">
        <v>9</v>
      </c>
      <c r="K412" s="1">
        <v>20</v>
      </c>
      <c r="L412" s="1">
        <v>4</v>
      </c>
      <c r="M412" s="1">
        <v>11</v>
      </c>
      <c r="N412" s="1">
        <v>3</v>
      </c>
      <c r="O412" s="1">
        <v>5</v>
      </c>
      <c r="P412" s="1">
        <f>COUNTIF(HR_Data[Employee Number],HR_Data[[#This Row],[Employee Number]])</f>
        <v>1</v>
      </c>
      <c r="Q412" s="1" t="str">
        <f>IF(HR_Data[[#This Row],[Years At Company]]&lt;=HR_Data[[#This Row],[Total Working Years]],"Valid","error")</f>
        <v>Valid</v>
      </c>
      <c r="R412" s="1" t="str" cm="1">
        <f t="array" ref="R412">_xlfn.IFS(HR_Data[[#This Row],[Age]]&lt;=30,"Young", HR_Data[[#This Row],[Age]]&lt;=45,"Mid-Age",HR_Data[[#This Row],[Age]]&gt;45,"Senior")</f>
        <v>Young</v>
      </c>
      <c r="S412" s="1" t="str" cm="1">
        <f t="array" ref="S412">_xlfn.IFS(HR_Data[[#This Row],[Monthly Income]]&lt;5000,"Low", HR_Data[[#This Row],[Monthly Income]]&lt;10000,"Medium",TRUE,"High")</f>
        <v>Medium</v>
      </c>
      <c r="T412" s="1" t="str" cm="1">
        <f t="array" ref="T412">_xlfn.IFS(HR_Data[[#This Row],[Total Working Years]]&lt;=5,"Junior", HR_Data[[#This Row],[Total Working Years]]&lt;=15,"Mid-Level", TRUE, "Senior")</f>
        <v>Mid-Level</v>
      </c>
    </row>
    <row r="413" spans="1:20" x14ac:dyDescent="0.25">
      <c r="A413" s="1">
        <v>549</v>
      </c>
      <c r="B413" s="1">
        <v>60</v>
      </c>
      <c r="C413" t="s">
        <v>9</v>
      </c>
      <c r="D413" t="s">
        <v>10</v>
      </c>
      <c r="E413" t="s">
        <v>6</v>
      </c>
      <c r="F413" t="s">
        <v>7</v>
      </c>
      <c r="G413" t="s">
        <v>18</v>
      </c>
      <c r="H413" s="1">
        <v>1</v>
      </c>
      <c r="I413" s="1">
        <v>19566</v>
      </c>
      <c r="J413" t="s">
        <v>9</v>
      </c>
      <c r="K413" s="1">
        <v>11</v>
      </c>
      <c r="L413" s="1">
        <v>3</v>
      </c>
      <c r="M413" s="1">
        <v>33</v>
      </c>
      <c r="N413" s="1">
        <v>1</v>
      </c>
      <c r="O413" s="1">
        <v>29</v>
      </c>
      <c r="P413" s="1">
        <f>COUNTIF(HR_Data[Employee Number],HR_Data[[#This Row],[Employee Number]])</f>
        <v>1</v>
      </c>
      <c r="Q413" s="1" t="str">
        <f>IF(HR_Data[[#This Row],[Years At Company]]&lt;=HR_Data[[#This Row],[Total Working Years]],"Valid","error")</f>
        <v>Valid</v>
      </c>
      <c r="R413" s="1" t="str" cm="1">
        <f t="array" ref="R413">_xlfn.IFS(HR_Data[[#This Row],[Age]]&lt;=30,"Young", HR_Data[[#This Row],[Age]]&lt;=45,"Mid-Age",HR_Data[[#This Row],[Age]]&gt;45,"Senior")</f>
        <v>Senior</v>
      </c>
      <c r="S413" s="1" t="str" cm="1">
        <f t="array" ref="S413">_xlfn.IFS(HR_Data[[#This Row],[Monthly Income]]&lt;5000,"Low", HR_Data[[#This Row],[Monthly Income]]&lt;10000,"Medium",TRUE,"High")</f>
        <v>High</v>
      </c>
      <c r="T413" s="1" t="str" cm="1">
        <f t="array" ref="T413">_xlfn.IFS(HR_Data[[#This Row],[Total Working Years]]&lt;=5,"Junior", HR_Data[[#This Row],[Total Working Years]]&lt;=15,"Mid-Level", TRUE, "Senior")</f>
        <v>Senior</v>
      </c>
    </row>
    <row r="414" spans="1:20" x14ac:dyDescent="0.25">
      <c r="A414" s="1">
        <v>550</v>
      </c>
      <c r="B414" s="1">
        <v>46</v>
      </c>
      <c r="C414" t="s">
        <v>9</v>
      </c>
      <c r="D414" t="s">
        <v>10</v>
      </c>
      <c r="E414" t="s">
        <v>15</v>
      </c>
      <c r="F414" t="s">
        <v>7</v>
      </c>
      <c r="G414" t="s">
        <v>16</v>
      </c>
      <c r="H414" s="1">
        <v>3</v>
      </c>
      <c r="I414" s="1">
        <v>4810</v>
      </c>
      <c r="J414" t="s">
        <v>9</v>
      </c>
      <c r="K414" s="1">
        <v>14</v>
      </c>
      <c r="L414" s="1">
        <v>3</v>
      </c>
      <c r="M414" s="1">
        <v>19</v>
      </c>
      <c r="N414" s="1">
        <v>2</v>
      </c>
      <c r="O414" s="1">
        <v>10</v>
      </c>
      <c r="P414" s="1">
        <f>COUNTIF(HR_Data[Employee Number],HR_Data[[#This Row],[Employee Number]])</f>
        <v>1</v>
      </c>
      <c r="Q414" s="1" t="str">
        <f>IF(HR_Data[[#This Row],[Years At Company]]&lt;=HR_Data[[#This Row],[Total Working Years]],"Valid","error")</f>
        <v>Valid</v>
      </c>
      <c r="R414" s="1" t="str" cm="1">
        <f t="array" ref="R414">_xlfn.IFS(HR_Data[[#This Row],[Age]]&lt;=30,"Young", HR_Data[[#This Row],[Age]]&lt;=45,"Mid-Age",HR_Data[[#This Row],[Age]]&gt;45,"Senior")</f>
        <v>Senior</v>
      </c>
      <c r="S414" s="1" t="str" cm="1">
        <f t="array" ref="S414">_xlfn.IFS(HR_Data[[#This Row],[Monthly Income]]&lt;5000,"Low", HR_Data[[#This Row],[Monthly Income]]&lt;10000,"Medium",TRUE,"High")</f>
        <v>Low</v>
      </c>
      <c r="T414" s="1" t="str" cm="1">
        <f t="array" ref="T414">_xlfn.IFS(HR_Data[[#This Row],[Total Working Years]]&lt;=5,"Junior", HR_Data[[#This Row],[Total Working Years]]&lt;=15,"Mid-Level", TRUE, "Senior")</f>
        <v>Senior</v>
      </c>
    </row>
    <row r="415" spans="1:20" x14ac:dyDescent="0.25">
      <c r="A415" s="1">
        <v>551</v>
      </c>
      <c r="B415" s="1">
        <v>42</v>
      </c>
      <c r="C415" t="s">
        <v>9</v>
      </c>
      <c r="D415" t="s">
        <v>10</v>
      </c>
      <c r="E415" t="s">
        <v>22</v>
      </c>
      <c r="F415" t="s">
        <v>7</v>
      </c>
      <c r="G415" t="s">
        <v>17</v>
      </c>
      <c r="H415" s="1">
        <v>4</v>
      </c>
      <c r="I415" s="1">
        <v>4523</v>
      </c>
      <c r="J415" t="s">
        <v>9</v>
      </c>
      <c r="K415" s="1">
        <v>11</v>
      </c>
      <c r="L415" s="1">
        <v>3</v>
      </c>
      <c r="M415" s="1">
        <v>7</v>
      </c>
      <c r="N415" s="1">
        <v>4</v>
      </c>
      <c r="O415" s="1">
        <v>6</v>
      </c>
      <c r="P415" s="1">
        <f>COUNTIF(HR_Data[Employee Number],HR_Data[[#This Row],[Employee Number]])</f>
        <v>1</v>
      </c>
      <c r="Q415" s="1" t="str">
        <f>IF(HR_Data[[#This Row],[Years At Company]]&lt;=HR_Data[[#This Row],[Total Working Years]],"Valid","error")</f>
        <v>Valid</v>
      </c>
      <c r="R415" s="1" t="str" cm="1">
        <f t="array" ref="R415">_xlfn.IFS(HR_Data[[#This Row],[Age]]&lt;=30,"Young", HR_Data[[#This Row],[Age]]&lt;=45,"Mid-Age",HR_Data[[#This Row],[Age]]&gt;45,"Senior")</f>
        <v>Mid-Age</v>
      </c>
      <c r="S415" s="1" t="str" cm="1">
        <f t="array" ref="S415">_xlfn.IFS(HR_Data[[#This Row],[Monthly Income]]&lt;5000,"Low", HR_Data[[#This Row],[Monthly Income]]&lt;10000,"Medium",TRUE,"High")</f>
        <v>Low</v>
      </c>
      <c r="T415" s="1" t="str" cm="1">
        <f t="array" ref="T415">_xlfn.IFS(HR_Data[[#This Row],[Total Working Years]]&lt;=5,"Junior", HR_Data[[#This Row],[Total Working Years]]&lt;=15,"Mid-Level", TRUE, "Senior")</f>
        <v>Mid-Level</v>
      </c>
    </row>
    <row r="416" spans="1:20" x14ac:dyDescent="0.25">
      <c r="A416" s="1">
        <v>554</v>
      </c>
      <c r="B416" s="1">
        <v>24</v>
      </c>
      <c r="C416" t="s">
        <v>4</v>
      </c>
      <c r="D416" t="s">
        <v>5</v>
      </c>
      <c r="E416" t="s">
        <v>22</v>
      </c>
      <c r="F416" t="s">
        <v>7</v>
      </c>
      <c r="G416" t="s">
        <v>19</v>
      </c>
      <c r="H416" s="1">
        <v>2</v>
      </c>
      <c r="I416" s="1">
        <v>3202</v>
      </c>
      <c r="J416" t="s">
        <v>4</v>
      </c>
      <c r="K416" s="1">
        <v>16</v>
      </c>
      <c r="L416" s="1">
        <v>3</v>
      </c>
      <c r="M416" s="1">
        <v>6</v>
      </c>
      <c r="N416" s="1">
        <v>3</v>
      </c>
      <c r="O416" s="1">
        <v>5</v>
      </c>
      <c r="P416" s="1">
        <f>COUNTIF(HR_Data[Employee Number],HR_Data[[#This Row],[Employee Number]])</f>
        <v>1</v>
      </c>
      <c r="Q416" s="1" t="str">
        <f>IF(HR_Data[[#This Row],[Years At Company]]&lt;=HR_Data[[#This Row],[Total Working Years]],"Valid","error")</f>
        <v>Valid</v>
      </c>
      <c r="R416" s="1" t="str" cm="1">
        <f t="array" ref="R416">_xlfn.IFS(HR_Data[[#This Row],[Age]]&lt;=30,"Young", HR_Data[[#This Row],[Age]]&lt;=45,"Mid-Age",HR_Data[[#This Row],[Age]]&gt;45,"Senior")</f>
        <v>Young</v>
      </c>
      <c r="S416" s="1" t="str" cm="1">
        <f t="array" ref="S416">_xlfn.IFS(HR_Data[[#This Row],[Monthly Income]]&lt;5000,"Low", HR_Data[[#This Row],[Monthly Income]]&lt;10000,"Medium",TRUE,"High")</f>
        <v>Low</v>
      </c>
      <c r="T416" s="1" t="str" cm="1">
        <f t="array" ref="T416">_xlfn.IFS(HR_Data[[#This Row],[Total Working Years]]&lt;=5,"Junior", HR_Data[[#This Row],[Total Working Years]]&lt;=15,"Mid-Level", TRUE, "Senior")</f>
        <v>Mid-Level</v>
      </c>
    </row>
    <row r="417" spans="1:20" x14ac:dyDescent="0.25">
      <c r="A417" s="1">
        <v>555</v>
      </c>
      <c r="B417" s="1">
        <v>34</v>
      </c>
      <c r="C417" t="s">
        <v>4</v>
      </c>
      <c r="D417" t="s">
        <v>5</v>
      </c>
      <c r="E417" t="s">
        <v>21</v>
      </c>
      <c r="F417" t="s">
        <v>7</v>
      </c>
      <c r="G417" t="s">
        <v>19</v>
      </c>
      <c r="H417" s="1">
        <v>3</v>
      </c>
      <c r="I417" s="1">
        <v>2351</v>
      </c>
      <c r="J417" t="s">
        <v>9</v>
      </c>
      <c r="K417" s="1">
        <v>16</v>
      </c>
      <c r="L417" s="1">
        <v>3</v>
      </c>
      <c r="M417" s="1">
        <v>3</v>
      </c>
      <c r="N417" s="1">
        <v>2</v>
      </c>
      <c r="O417" s="1">
        <v>2</v>
      </c>
      <c r="P417" s="1">
        <f>COUNTIF(HR_Data[Employee Number],HR_Data[[#This Row],[Employee Number]])</f>
        <v>1</v>
      </c>
      <c r="Q417" s="1" t="str">
        <f>IF(HR_Data[[#This Row],[Years At Company]]&lt;=HR_Data[[#This Row],[Total Working Years]],"Valid","error")</f>
        <v>Valid</v>
      </c>
      <c r="R417" s="1" t="str" cm="1">
        <f t="array" ref="R417">_xlfn.IFS(HR_Data[[#This Row],[Age]]&lt;=30,"Young", HR_Data[[#This Row],[Age]]&lt;=45,"Mid-Age",HR_Data[[#This Row],[Age]]&gt;45,"Senior")</f>
        <v>Mid-Age</v>
      </c>
      <c r="S417" s="1" t="str" cm="1">
        <f t="array" ref="S417">_xlfn.IFS(HR_Data[[#This Row],[Monthly Income]]&lt;5000,"Low", HR_Data[[#This Row],[Monthly Income]]&lt;10000,"Medium",TRUE,"High")</f>
        <v>Low</v>
      </c>
      <c r="T417" s="1" t="str" cm="1">
        <f t="array" ref="T417">_xlfn.IFS(HR_Data[[#This Row],[Total Working Years]]&lt;=5,"Junior", HR_Data[[#This Row],[Total Working Years]]&lt;=15,"Mid-Level", TRUE, "Senior")</f>
        <v>Junior</v>
      </c>
    </row>
    <row r="418" spans="1:20" x14ac:dyDescent="0.25">
      <c r="A418" s="1">
        <v>556</v>
      </c>
      <c r="B418" s="1">
        <v>38</v>
      </c>
      <c r="C418" t="s">
        <v>9</v>
      </c>
      <c r="D418" t="s">
        <v>10</v>
      </c>
      <c r="E418" t="s">
        <v>6</v>
      </c>
      <c r="F418" t="s">
        <v>11</v>
      </c>
      <c r="G418" t="s">
        <v>14</v>
      </c>
      <c r="H418" s="1">
        <v>4</v>
      </c>
      <c r="I418" s="1">
        <v>1702</v>
      </c>
      <c r="J418" t="s">
        <v>4</v>
      </c>
      <c r="K418" s="1">
        <v>23</v>
      </c>
      <c r="L418" s="1">
        <v>4</v>
      </c>
      <c r="M418" s="1">
        <v>1</v>
      </c>
      <c r="N418" s="1">
        <v>3</v>
      </c>
      <c r="O418" s="1">
        <v>1</v>
      </c>
      <c r="P418" s="1">
        <f>COUNTIF(HR_Data[Employee Number],HR_Data[[#This Row],[Employee Number]])</f>
        <v>1</v>
      </c>
      <c r="Q418" s="1" t="str">
        <f>IF(HR_Data[[#This Row],[Years At Company]]&lt;=HR_Data[[#This Row],[Total Working Years]],"Valid","error")</f>
        <v>Valid</v>
      </c>
      <c r="R418" s="1" t="str" cm="1">
        <f t="array" ref="R418">_xlfn.IFS(HR_Data[[#This Row],[Age]]&lt;=30,"Young", HR_Data[[#This Row],[Age]]&lt;=45,"Mid-Age",HR_Data[[#This Row],[Age]]&gt;45,"Senior")</f>
        <v>Mid-Age</v>
      </c>
      <c r="S418" s="1" t="str" cm="1">
        <f t="array" ref="S418">_xlfn.IFS(HR_Data[[#This Row],[Monthly Income]]&lt;5000,"Low", HR_Data[[#This Row],[Monthly Income]]&lt;10000,"Medium",TRUE,"High")</f>
        <v>Low</v>
      </c>
      <c r="T418" s="1" t="str" cm="1">
        <f t="array" ref="T418">_xlfn.IFS(HR_Data[[#This Row],[Total Working Years]]&lt;=5,"Junior", HR_Data[[#This Row],[Total Working Years]]&lt;=15,"Mid-Level", TRUE, "Senior")</f>
        <v>Junior</v>
      </c>
    </row>
    <row r="419" spans="1:20" x14ac:dyDescent="0.25">
      <c r="A419" s="1">
        <v>558</v>
      </c>
      <c r="B419" s="1">
        <v>40</v>
      </c>
      <c r="C419" t="s">
        <v>9</v>
      </c>
      <c r="D419" t="s">
        <v>5</v>
      </c>
      <c r="E419" t="s">
        <v>6</v>
      </c>
      <c r="F419" t="s">
        <v>7</v>
      </c>
      <c r="G419" t="s">
        <v>18</v>
      </c>
      <c r="H419" s="1">
        <v>3</v>
      </c>
      <c r="I419" s="1">
        <v>18041</v>
      </c>
      <c r="J419" t="s">
        <v>9</v>
      </c>
      <c r="K419" s="1">
        <v>14</v>
      </c>
      <c r="L419" s="1">
        <v>3</v>
      </c>
      <c r="M419" s="1">
        <v>21</v>
      </c>
      <c r="N419" s="1">
        <v>3</v>
      </c>
      <c r="O419" s="1">
        <v>20</v>
      </c>
      <c r="P419" s="1">
        <f>COUNTIF(HR_Data[Employee Number],HR_Data[[#This Row],[Employee Number]])</f>
        <v>1</v>
      </c>
      <c r="Q419" s="1" t="str">
        <f>IF(HR_Data[[#This Row],[Years At Company]]&lt;=HR_Data[[#This Row],[Total Working Years]],"Valid","error")</f>
        <v>Valid</v>
      </c>
      <c r="R419" s="1" t="str" cm="1">
        <f t="array" ref="R419">_xlfn.IFS(HR_Data[[#This Row],[Age]]&lt;=30,"Young", HR_Data[[#This Row],[Age]]&lt;=45,"Mid-Age",HR_Data[[#This Row],[Age]]&gt;45,"Senior")</f>
        <v>Mid-Age</v>
      </c>
      <c r="S419" s="1" t="str" cm="1">
        <f t="array" ref="S419">_xlfn.IFS(HR_Data[[#This Row],[Monthly Income]]&lt;5000,"Low", HR_Data[[#This Row],[Monthly Income]]&lt;10000,"Medium",TRUE,"High")</f>
        <v>High</v>
      </c>
      <c r="T419" s="1" t="str" cm="1">
        <f t="array" ref="T419">_xlfn.IFS(HR_Data[[#This Row],[Total Working Years]]&lt;=5,"Junior", HR_Data[[#This Row],[Total Working Years]]&lt;=15,"Mid-Level", TRUE, "Senior")</f>
        <v>Senior</v>
      </c>
    </row>
    <row r="420" spans="1:20" x14ac:dyDescent="0.25">
      <c r="A420" s="1">
        <v>560</v>
      </c>
      <c r="B420" s="1">
        <v>26</v>
      </c>
      <c r="C420" t="s">
        <v>9</v>
      </c>
      <c r="D420" t="s">
        <v>10</v>
      </c>
      <c r="E420" t="s">
        <v>6</v>
      </c>
      <c r="F420" t="s">
        <v>7</v>
      </c>
      <c r="G420" t="s">
        <v>12</v>
      </c>
      <c r="H420" s="1">
        <v>4</v>
      </c>
      <c r="I420" s="1">
        <v>2886</v>
      </c>
      <c r="J420" t="s">
        <v>9</v>
      </c>
      <c r="K420" s="1">
        <v>22</v>
      </c>
      <c r="L420" s="1">
        <v>4</v>
      </c>
      <c r="M420" s="1">
        <v>3</v>
      </c>
      <c r="N420" s="1">
        <v>1</v>
      </c>
      <c r="O420" s="1">
        <v>3</v>
      </c>
      <c r="P420" s="1">
        <f>COUNTIF(HR_Data[Employee Number],HR_Data[[#This Row],[Employee Number]])</f>
        <v>1</v>
      </c>
      <c r="Q420" s="1" t="str">
        <f>IF(HR_Data[[#This Row],[Years At Company]]&lt;=HR_Data[[#This Row],[Total Working Years]],"Valid","error")</f>
        <v>Valid</v>
      </c>
      <c r="R420" s="1" t="str" cm="1">
        <f t="array" ref="R420">_xlfn.IFS(HR_Data[[#This Row],[Age]]&lt;=30,"Young", HR_Data[[#This Row],[Age]]&lt;=45,"Mid-Age",HR_Data[[#This Row],[Age]]&gt;45,"Senior")</f>
        <v>Young</v>
      </c>
      <c r="S420" s="1" t="str" cm="1">
        <f t="array" ref="S420">_xlfn.IFS(HR_Data[[#This Row],[Monthly Income]]&lt;5000,"Low", HR_Data[[#This Row],[Monthly Income]]&lt;10000,"Medium",TRUE,"High")</f>
        <v>Low</v>
      </c>
      <c r="T420" s="1" t="str" cm="1">
        <f t="array" ref="T420">_xlfn.IFS(HR_Data[[#This Row],[Total Working Years]]&lt;=5,"Junior", HR_Data[[#This Row],[Total Working Years]]&lt;=15,"Mid-Level", TRUE, "Senior")</f>
        <v>Junior</v>
      </c>
    </row>
    <row r="421" spans="1:20" x14ac:dyDescent="0.25">
      <c r="A421" s="1">
        <v>562</v>
      </c>
      <c r="B421" s="1">
        <v>30</v>
      </c>
      <c r="C421" t="s">
        <v>9</v>
      </c>
      <c r="D421" t="s">
        <v>10</v>
      </c>
      <c r="E421" t="s">
        <v>6</v>
      </c>
      <c r="F421" t="s">
        <v>11</v>
      </c>
      <c r="G421" t="s">
        <v>14</v>
      </c>
      <c r="H421" s="1">
        <v>4</v>
      </c>
      <c r="I421" s="1">
        <v>2097</v>
      </c>
      <c r="J421" t="s">
        <v>9</v>
      </c>
      <c r="K421" s="1">
        <v>15</v>
      </c>
      <c r="L421" s="1">
        <v>3</v>
      </c>
      <c r="M421" s="1">
        <v>9</v>
      </c>
      <c r="N421" s="1">
        <v>1</v>
      </c>
      <c r="O421" s="1">
        <v>5</v>
      </c>
      <c r="P421" s="1">
        <f>COUNTIF(HR_Data[Employee Number],HR_Data[[#This Row],[Employee Number]])</f>
        <v>1</v>
      </c>
      <c r="Q421" s="1" t="str">
        <f>IF(HR_Data[[#This Row],[Years At Company]]&lt;=HR_Data[[#This Row],[Total Working Years]],"Valid","error")</f>
        <v>Valid</v>
      </c>
      <c r="R421" s="1" t="str" cm="1">
        <f t="array" ref="R421">_xlfn.IFS(HR_Data[[#This Row],[Age]]&lt;=30,"Young", HR_Data[[#This Row],[Age]]&lt;=45,"Mid-Age",HR_Data[[#This Row],[Age]]&gt;45,"Senior")</f>
        <v>Young</v>
      </c>
      <c r="S421" s="1" t="str" cm="1">
        <f t="array" ref="S421">_xlfn.IFS(HR_Data[[#This Row],[Monthly Income]]&lt;5000,"Low", HR_Data[[#This Row],[Monthly Income]]&lt;10000,"Medium",TRUE,"High")</f>
        <v>Low</v>
      </c>
      <c r="T421" s="1" t="str" cm="1">
        <f t="array" ref="T421">_xlfn.IFS(HR_Data[[#This Row],[Total Working Years]]&lt;=5,"Junior", HR_Data[[#This Row],[Total Working Years]]&lt;=15,"Mid-Level", TRUE, "Senior")</f>
        <v>Mid-Level</v>
      </c>
    </row>
    <row r="422" spans="1:20" x14ac:dyDescent="0.25">
      <c r="A422" s="1">
        <v>564</v>
      </c>
      <c r="B422" s="1">
        <v>29</v>
      </c>
      <c r="C422" t="s">
        <v>9</v>
      </c>
      <c r="D422" t="s">
        <v>10</v>
      </c>
      <c r="E422" t="s">
        <v>15</v>
      </c>
      <c r="F422" t="s">
        <v>11</v>
      </c>
      <c r="G422" t="s">
        <v>20</v>
      </c>
      <c r="H422" s="1">
        <v>3</v>
      </c>
      <c r="I422" s="1">
        <v>11935</v>
      </c>
      <c r="J422" t="s">
        <v>9</v>
      </c>
      <c r="K422" s="1">
        <v>18</v>
      </c>
      <c r="L422" s="1">
        <v>3</v>
      </c>
      <c r="M422" s="1">
        <v>10</v>
      </c>
      <c r="N422" s="1">
        <v>3</v>
      </c>
      <c r="O422" s="1">
        <v>10</v>
      </c>
      <c r="P422" s="1">
        <f>COUNTIF(HR_Data[Employee Number],HR_Data[[#This Row],[Employee Number]])</f>
        <v>1</v>
      </c>
      <c r="Q422" s="1" t="str">
        <f>IF(HR_Data[[#This Row],[Years At Company]]&lt;=HR_Data[[#This Row],[Total Working Years]],"Valid","error")</f>
        <v>Valid</v>
      </c>
      <c r="R422" s="1" t="str" cm="1">
        <f t="array" ref="R422">_xlfn.IFS(HR_Data[[#This Row],[Age]]&lt;=30,"Young", HR_Data[[#This Row],[Age]]&lt;=45,"Mid-Age",HR_Data[[#This Row],[Age]]&gt;45,"Senior")</f>
        <v>Young</v>
      </c>
      <c r="S422" s="1" t="str" cm="1">
        <f t="array" ref="S422">_xlfn.IFS(HR_Data[[#This Row],[Monthly Income]]&lt;5000,"Low", HR_Data[[#This Row],[Monthly Income]]&lt;10000,"Medium",TRUE,"High")</f>
        <v>High</v>
      </c>
      <c r="T422" s="1" t="str" cm="1">
        <f t="array" ref="T422">_xlfn.IFS(HR_Data[[#This Row],[Total Working Years]]&lt;=5,"Junior", HR_Data[[#This Row],[Total Working Years]]&lt;=15,"Mid-Level", TRUE, "Senior")</f>
        <v>Mid-Level</v>
      </c>
    </row>
    <row r="423" spans="1:20" x14ac:dyDescent="0.25">
      <c r="A423" s="1">
        <v>565</v>
      </c>
      <c r="B423" s="1">
        <v>29</v>
      </c>
      <c r="C423" t="s">
        <v>4</v>
      </c>
      <c r="D423" t="s">
        <v>10</v>
      </c>
      <c r="E423" t="s">
        <v>22</v>
      </c>
      <c r="F423" t="s">
        <v>7</v>
      </c>
      <c r="G423" t="s">
        <v>12</v>
      </c>
      <c r="H423" s="1">
        <v>2</v>
      </c>
      <c r="I423" s="1">
        <v>2546</v>
      </c>
      <c r="J423" t="s">
        <v>9</v>
      </c>
      <c r="K423" s="1">
        <v>16</v>
      </c>
      <c r="L423" s="1">
        <v>3</v>
      </c>
      <c r="M423" s="1">
        <v>6</v>
      </c>
      <c r="N423" s="1">
        <v>4</v>
      </c>
      <c r="O423" s="1">
        <v>2</v>
      </c>
      <c r="P423" s="1">
        <f>COUNTIF(HR_Data[Employee Number],HR_Data[[#This Row],[Employee Number]])</f>
        <v>1</v>
      </c>
      <c r="Q423" s="1" t="str">
        <f>IF(HR_Data[[#This Row],[Years At Company]]&lt;=HR_Data[[#This Row],[Total Working Years]],"Valid","error")</f>
        <v>Valid</v>
      </c>
      <c r="R423" s="1" t="str" cm="1">
        <f t="array" ref="R423">_xlfn.IFS(HR_Data[[#This Row],[Age]]&lt;=30,"Young", HR_Data[[#This Row],[Age]]&lt;=45,"Mid-Age",HR_Data[[#This Row],[Age]]&gt;45,"Senior")</f>
        <v>Young</v>
      </c>
      <c r="S423" s="1" t="str" cm="1">
        <f t="array" ref="S423">_xlfn.IFS(HR_Data[[#This Row],[Monthly Income]]&lt;5000,"Low", HR_Data[[#This Row],[Monthly Income]]&lt;10000,"Medium",TRUE,"High")</f>
        <v>Low</v>
      </c>
      <c r="T423" s="1" t="str" cm="1">
        <f t="array" ref="T423">_xlfn.IFS(HR_Data[[#This Row],[Total Working Years]]&lt;=5,"Junior", HR_Data[[#This Row],[Total Working Years]]&lt;=15,"Mid-Level", TRUE, "Senior")</f>
        <v>Mid-Level</v>
      </c>
    </row>
    <row r="424" spans="1:20" x14ac:dyDescent="0.25">
      <c r="A424" s="1">
        <v>566</v>
      </c>
      <c r="B424" s="1">
        <v>19</v>
      </c>
      <c r="C424" t="s">
        <v>4</v>
      </c>
      <c r="D424" t="s">
        <v>23</v>
      </c>
      <c r="E424" t="s">
        <v>22</v>
      </c>
      <c r="F424" t="s">
        <v>11</v>
      </c>
      <c r="G424" t="s">
        <v>23</v>
      </c>
      <c r="H424" s="1">
        <v>4</v>
      </c>
      <c r="I424" s="1">
        <v>2564</v>
      </c>
      <c r="J424" t="s">
        <v>9</v>
      </c>
      <c r="K424" s="1">
        <v>12</v>
      </c>
      <c r="L424" s="1">
        <v>3</v>
      </c>
      <c r="M424" s="1">
        <v>1</v>
      </c>
      <c r="N424" s="1">
        <v>4</v>
      </c>
      <c r="O424" s="1">
        <v>1</v>
      </c>
      <c r="P424" s="1">
        <f>COUNTIF(HR_Data[Employee Number],HR_Data[[#This Row],[Employee Number]])</f>
        <v>1</v>
      </c>
      <c r="Q424" s="1" t="str">
        <f>IF(HR_Data[[#This Row],[Years At Company]]&lt;=HR_Data[[#This Row],[Total Working Years]],"Valid","error")</f>
        <v>Valid</v>
      </c>
      <c r="R424" s="1" t="str" cm="1">
        <f t="array" ref="R424">_xlfn.IFS(HR_Data[[#This Row],[Age]]&lt;=30,"Young", HR_Data[[#This Row],[Age]]&lt;=45,"Mid-Age",HR_Data[[#This Row],[Age]]&gt;45,"Senior")</f>
        <v>Young</v>
      </c>
      <c r="S424" s="1" t="str" cm="1">
        <f t="array" ref="S424">_xlfn.IFS(HR_Data[[#This Row],[Monthly Income]]&lt;5000,"Low", HR_Data[[#This Row],[Monthly Income]]&lt;10000,"Medium",TRUE,"High")</f>
        <v>Low</v>
      </c>
      <c r="T424" s="1" t="str" cm="1">
        <f t="array" ref="T424">_xlfn.IFS(HR_Data[[#This Row],[Total Working Years]]&lt;=5,"Junior", HR_Data[[#This Row],[Total Working Years]]&lt;=15,"Mid-Level", TRUE, "Senior")</f>
        <v>Junior</v>
      </c>
    </row>
    <row r="425" spans="1:20" x14ac:dyDescent="0.25">
      <c r="A425" s="1">
        <v>567</v>
      </c>
      <c r="B425" s="1">
        <v>30</v>
      </c>
      <c r="C425" t="s">
        <v>9</v>
      </c>
      <c r="D425" t="s">
        <v>5</v>
      </c>
      <c r="E425" t="s">
        <v>13</v>
      </c>
      <c r="F425" t="s">
        <v>7</v>
      </c>
      <c r="G425" t="s">
        <v>8</v>
      </c>
      <c r="H425" s="1">
        <v>1</v>
      </c>
      <c r="I425" s="1">
        <v>8412</v>
      </c>
      <c r="J425" t="s">
        <v>9</v>
      </c>
      <c r="K425" s="1">
        <v>11</v>
      </c>
      <c r="L425" s="1">
        <v>3</v>
      </c>
      <c r="M425" s="1">
        <v>10</v>
      </c>
      <c r="N425" s="1">
        <v>3</v>
      </c>
      <c r="O425" s="1">
        <v>9</v>
      </c>
      <c r="P425" s="1">
        <f>COUNTIF(HR_Data[Employee Number],HR_Data[[#This Row],[Employee Number]])</f>
        <v>1</v>
      </c>
      <c r="Q425" s="1" t="str">
        <f>IF(HR_Data[[#This Row],[Years At Company]]&lt;=HR_Data[[#This Row],[Total Working Years]],"Valid","error")</f>
        <v>Valid</v>
      </c>
      <c r="R425" s="1" t="str" cm="1">
        <f t="array" ref="R425">_xlfn.IFS(HR_Data[[#This Row],[Age]]&lt;=30,"Young", HR_Data[[#This Row],[Age]]&lt;=45,"Mid-Age",HR_Data[[#This Row],[Age]]&gt;45,"Senior")</f>
        <v>Young</v>
      </c>
      <c r="S425" s="1" t="str" cm="1">
        <f t="array" ref="S425">_xlfn.IFS(HR_Data[[#This Row],[Monthly Income]]&lt;5000,"Low", HR_Data[[#This Row],[Monthly Income]]&lt;10000,"Medium",TRUE,"High")</f>
        <v>Medium</v>
      </c>
      <c r="T425" s="1" t="str" cm="1">
        <f t="array" ref="T425">_xlfn.IFS(HR_Data[[#This Row],[Total Working Years]]&lt;=5,"Junior", HR_Data[[#This Row],[Total Working Years]]&lt;=15,"Mid-Level", TRUE, "Senior")</f>
        <v>Mid-Level</v>
      </c>
    </row>
    <row r="426" spans="1:20" x14ac:dyDescent="0.25">
      <c r="A426" s="1">
        <v>568</v>
      </c>
      <c r="B426" s="1">
        <v>57</v>
      </c>
      <c r="C426" t="s">
        <v>9</v>
      </c>
      <c r="D426" t="s">
        <v>5</v>
      </c>
      <c r="E426" t="s">
        <v>21</v>
      </c>
      <c r="F426" t="s">
        <v>11</v>
      </c>
      <c r="G426" t="s">
        <v>18</v>
      </c>
      <c r="H426" s="1">
        <v>4</v>
      </c>
      <c r="I426" s="1">
        <v>14118</v>
      </c>
      <c r="J426" t="s">
        <v>9</v>
      </c>
      <c r="K426" s="1">
        <v>12</v>
      </c>
      <c r="L426" s="1">
        <v>3</v>
      </c>
      <c r="M426" s="1">
        <v>32</v>
      </c>
      <c r="N426" s="1">
        <v>2</v>
      </c>
      <c r="O426" s="1">
        <v>1</v>
      </c>
      <c r="P426" s="1">
        <f>COUNTIF(HR_Data[Employee Number],HR_Data[[#This Row],[Employee Number]])</f>
        <v>1</v>
      </c>
      <c r="Q426" s="1" t="str">
        <f>IF(HR_Data[[#This Row],[Years At Company]]&lt;=HR_Data[[#This Row],[Total Working Years]],"Valid","error")</f>
        <v>Valid</v>
      </c>
      <c r="R426" s="1" t="str" cm="1">
        <f t="array" ref="R426">_xlfn.IFS(HR_Data[[#This Row],[Age]]&lt;=30,"Young", HR_Data[[#This Row],[Age]]&lt;=45,"Mid-Age",HR_Data[[#This Row],[Age]]&gt;45,"Senior")</f>
        <v>Senior</v>
      </c>
      <c r="S426" s="1" t="str" cm="1">
        <f t="array" ref="S426">_xlfn.IFS(HR_Data[[#This Row],[Monthly Income]]&lt;5000,"Low", HR_Data[[#This Row],[Monthly Income]]&lt;10000,"Medium",TRUE,"High")</f>
        <v>High</v>
      </c>
      <c r="T426" s="1" t="str" cm="1">
        <f t="array" ref="T426">_xlfn.IFS(HR_Data[[#This Row],[Total Working Years]]&lt;=5,"Junior", HR_Data[[#This Row],[Total Working Years]]&lt;=15,"Mid-Level", TRUE, "Senior")</f>
        <v>Senior</v>
      </c>
    </row>
    <row r="427" spans="1:20" x14ac:dyDescent="0.25">
      <c r="A427" s="1">
        <v>569</v>
      </c>
      <c r="B427" s="1">
        <v>50</v>
      </c>
      <c r="C427" t="s">
        <v>9</v>
      </c>
      <c r="D427" t="s">
        <v>10</v>
      </c>
      <c r="E427" t="s">
        <v>6</v>
      </c>
      <c r="F427" t="s">
        <v>11</v>
      </c>
      <c r="G427" t="s">
        <v>18</v>
      </c>
      <c r="H427" s="1">
        <v>3</v>
      </c>
      <c r="I427" s="1">
        <v>17046</v>
      </c>
      <c r="J427" t="s">
        <v>9</v>
      </c>
      <c r="K427" s="1">
        <v>15</v>
      </c>
      <c r="L427" s="1">
        <v>3</v>
      </c>
      <c r="M427" s="1">
        <v>28</v>
      </c>
      <c r="N427" s="1">
        <v>3</v>
      </c>
      <c r="O427" s="1">
        <v>27</v>
      </c>
      <c r="P427" s="1">
        <f>COUNTIF(HR_Data[Employee Number],HR_Data[[#This Row],[Employee Number]])</f>
        <v>1</v>
      </c>
      <c r="Q427" s="1" t="str">
        <f>IF(HR_Data[[#This Row],[Years At Company]]&lt;=HR_Data[[#This Row],[Total Working Years]],"Valid","error")</f>
        <v>Valid</v>
      </c>
      <c r="R427" s="1" t="str" cm="1">
        <f t="array" ref="R427">_xlfn.IFS(HR_Data[[#This Row],[Age]]&lt;=30,"Young", HR_Data[[#This Row],[Age]]&lt;=45,"Mid-Age",HR_Data[[#This Row],[Age]]&gt;45,"Senior")</f>
        <v>Senior</v>
      </c>
      <c r="S427" s="1" t="str" cm="1">
        <f t="array" ref="S427">_xlfn.IFS(HR_Data[[#This Row],[Monthly Income]]&lt;5000,"Low", HR_Data[[#This Row],[Monthly Income]]&lt;10000,"Medium",TRUE,"High")</f>
        <v>High</v>
      </c>
      <c r="T427" s="1" t="str" cm="1">
        <f t="array" ref="T427">_xlfn.IFS(HR_Data[[#This Row],[Total Working Years]]&lt;=5,"Junior", HR_Data[[#This Row],[Total Working Years]]&lt;=15,"Mid-Level", TRUE, "Senior")</f>
        <v>Senior</v>
      </c>
    </row>
    <row r="428" spans="1:20" x14ac:dyDescent="0.25">
      <c r="A428" s="1">
        <v>571</v>
      </c>
      <c r="B428" s="1">
        <v>30</v>
      </c>
      <c r="C428" t="s">
        <v>9</v>
      </c>
      <c r="D428" t="s">
        <v>10</v>
      </c>
      <c r="E428" t="s">
        <v>15</v>
      </c>
      <c r="F428" t="s">
        <v>7</v>
      </c>
      <c r="G428" t="s">
        <v>14</v>
      </c>
      <c r="H428" s="1">
        <v>4</v>
      </c>
      <c r="I428" s="1">
        <v>2564</v>
      </c>
      <c r="J428" t="s">
        <v>9</v>
      </c>
      <c r="K428" s="1">
        <v>14</v>
      </c>
      <c r="L428" s="1">
        <v>3</v>
      </c>
      <c r="M428" s="1">
        <v>12</v>
      </c>
      <c r="N428" s="1">
        <v>2</v>
      </c>
      <c r="O428" s="1">
        <v>11</v>
      </c>
      <c r="P428" s="1">
        <f>COUNTIF(HR_Data[Employee Number],HR_Data[[#This Row],[Employee Number]])</f>
        <v>1</v>
      </c>
      <c r="Q428" s="1" t="str">
        <f>IF(HR_Data[[#This Row],[Years At Company]]&lt;=HR_Data[[#This Row],[Total Working Years]],"Valid","error")</f>
        <v>Valid</v>
      </c>
      <c r="R428" s="1" t="str" cm="1">
        <f t="array" ref="R428">_xlfn.IFS(HR_Data[[#This Row],[Age]]&lt;=30,"Young", HR_Data[[#This Row],[Age]]&lt;=45,"Mid-Age",HR_Data[[#This Row],[Age]]&gt;45,"Senior")</f>
        <v>Young</v>
      </c>
      <c r="S428" s="1" t="str" cm="1">
        <f t="array" ref="S428">_xlfn.IFS(HR_Data[[#This Row],[Monthly Income]]&lt;5000,"Low", HR_Data[[#This Row],[Monthly Income]]&lt;10000,"Medium",TRUE,"High")</f>
        <v>Low</v>
      </c>
      <c r="T428" s="1" t="str" cm="1">
        <f t="array" ref="T428">_xlfn.IFS(HR_Data[[#This Row],[Total Working Years]]&lt;=5,"Junior", HR_Data[[#This Row],[Total Working Years]]&lt;=15,"Mid-Level", TRUE, "Senior")</f>
        <v>Mid-Level</v>
      </c>
    </row>
    <row r="429" spans="1:20" x14ac:dyDescent="0.25">
      <c r="A429" s="1">
        <v>573</v>
      </c>
      <c r="B429" s="1">
        <v>60</v>
      </c>
      <c r="C429" t="s">
        <v>9</v>
      </c>
      <c r="D429" t="s">
        <v>5</v>
      </c>
      <c r="E429" t="s">
        <v>21</v>
      </c>
      <c r="F429" t="s">
        <v>7</v>
      </c>
      <c r="G429" t="s">
        <v>8</v>
      </c>
      <c r="H429" s="1">
        <v>1</v>
      </c>
      <c r="I429" s="1">
        <v>10266</v>
      </c>
      <c r="J429" t="s">
        <v>9</v>
      </c>
      <c r="K429" s="1">
        <v>19</v>
      </c>
      <c r="L429" s="1">
        <v>3</v>
      </c>
      <c r="M429" s="1">
        <v>22</v>
      </c>
      <c r="N429" s="1">
        <v>4</v>
      </c>
      <c r="O429" s="1">
        <v>18</v>
      </c>
      <c r="P429" s="1">
        <f>COUNTIF(HR_Data[Employee Number],HR_Data[[#This Row],[Employee Number]])</f>
        <v>1</v>
      </c>
      <c r="Q429" s="1" t="str">
        <f>IF(HR_Data[[#This Row],[Years At Company]]&lt;=HR_Data[[#This Row],[Total Working Years]],"Valid","error")</f>
        <v>Valid</v>
      </c>
      <c r="R429" s="1" t="str" cm="1">
        <f t="array" ref="R429">_xlfn.IFS(HR_Data[[#This Row],[Age]]&lt;=30,"Young", HR_Data[[#This Row],[Age]]&lt;=45,"Mid-Age",HR_Data[[#This Row],[Age]]&gt;45,"Senior")</f>
        <v>Senior</v>
      </c>
      <c r="S429" s="1" t="str" cm="1">
        <f t="array" ref="S429">_xlfn.IFS(HR_Data[[#This Row],[Monthly Income]]&lt;5000,"Low", HR_Data[[#This Row],[Monthly Income]]&lt;10000,"Medium",TRUE,"High")</f>
        <v>High</v>
      </c>
      <c r="T429" s="1" t="str" cm="1">
        <f t="array" ref="T429">_xlfn.IFS(HR_Data[[#This Row],[Total Working Years]]&lt;=5,"Junior", HR_Data[[#This Row],[Total Working Years]]&lt;=15,"Mid-Level", TRUE, "Senior")</f>
        <v>Senior</v>
      </c>
    </row>
    <row r="430" spans="1:20" x14ac:dyDescent="0.25">
      <c r="A430" s="1">
        <v>574</v>
      </c>
      <c r="B430" s="1">
        <v>47</v>
      </c>
      <c r="C430" t="s">
        <v>9</v>
      </c>
      <c r="D430" t="s">
        <v>10</v>
      </c>
      <c r="E430" t="s">
        <v>15</v>
      </c>
      <c r="F430" t="s">
        <v>7</v>
      </c>
      <c r="G430" t="s">
        <v>16</v>
      </c>
      <c r="H430" s="1">
        <v>4</v>
      </c>
      <c r="I430" s="1">
        <v>5070</v>
      </c>
      <c r="J430" t="s">
        <v>9</v>
      </c>
      <c r="K430" s="1">
        <v>13</v>
      </c>
      <c r="L430" s="1">
        <v>3</v>
      </c>
      <c r="M430" s="1">
        <v>20</v>
      </c>
      <c r="N430" s="1">
        <v>3</v>
      </c>
      <c r="O430" s="1">
        <v>5</v>
      </c>
      <c r="P430" s="1">
        <f>COUNTIF(HR_Data[Employee Number],HR_Data[[#This Row],[Employee Number]])</f>
        <v>1</v>
      </c>
      <c r="Q430" s="1" t="str">
        <f>IF(HR_Data[[#This Row],[Years At Company]]&lt;=HR_Data[[#This Row],[Total Working Years]],"Valid","error")</f>
        <v>Valid</v>
      </c>
      <c r="R430" s="1" t="str" cm="1">
        <f t="array" ref="R430">_xlfn.IFS(HR_Data[[#This Row],[Age]]&lt;=30,"Young", HR_Data[[#This Row],[Age]]&lt;=45,"Mid-Age",HR_Data[[#This Row],[Age]]&gt;45,"Senior")</f>
        <v>Senior</v>
      </c>
      <c r="S430" s="1" t="str" cm="1">
        <f t="array" ref="S430">_xlfn.IFS(HR_Data[[#This Row],[Monthly Income]]&lt;5000,"Low", HR_Data[[#This Row],[Monthly Income]]&lt;10000,"Medium",TRUE,"High")</f>
        <v>Medium</v>
      </c>
      <c r="T430" s="1" t="str" cm="1">
        <f t="array" ref="T430">_xlfn.IFS(HR_Data[[#This Row],[Total Working Years]]&lt;=5,"Junior", HR_Data[[#This Row],[Total Working Years]]&lt;=15,"Mid-Level", TRUE, "Senior")</f>
        <v>Senior</v>
      </c>
    </row>
    <row r="431" spans="1:20" x14ac:dyDescent="0.25">
      <c r="A431" s="1">
        <v>575</v>
      </c>
      <c r="B431" s="1">
        <v>46</v>
      </c>
      <c r="C431" t="s">
        <v>9</v>
      </c>
      <c r="D431" t="s">
        <v>10</v>
      </c>
      <c r="E431" t="s">
        <v>6</v>
      </c>
      <c r="F431" t="s">
        <v>11</v>
      </c>
      <c r="G431" t="s">
        <v>20</v>
      </c>
      <c r="H431" s="1">
        <v>3</v>
      </c>
      <c r="I431" s="1">
        <v>17861</v>
      </c>
      <c r="J431" t="s">
        <v>9</v>
      </c>
      <c r="K431" s="1">
        <v>13</v>
      </c>
      <c r="L431" s="1">
        <v>3</v>
      </c>
      <c r="M431" s="1">
        <v>26</v>
      </c>
      <c r="N431" s="1">
        <v>1</v>
      </c>
      <c r="O431" s="1">
        <v>3</v>
      </c>
      <c r="P431" s="1">
        <f>COUNTIF(HR_Data[Employee Number],HR_Data[[#This Row],[Employee Number]])</f>
        <v>1</v>
      </c>
      <c r="Q431" s="1" t="str">
        <f>IF(HR_Data[[#This Row],[Years At Company]]&lt;=HR_Data[[#This Row],[Total Working Years]],"Valid","error")</f>
        <v>Valid</v>
      </c>
      <c r="R431" s="1" t="str" cm="1">
        <f t="array" ref="R431">_xlfn.IFS(HR_Data[[#This Row],[Age]]&lt;=30,"Young", HR_Data[[#This Row],[Age]]&lt;=45,"Mid-Age",HR_Data[[#This Row],[Age]]&gt;45,"Senior")</f>
        <v>Senior</v>
      </c>
      <c r="S431" s="1" t="str" cm="1">
        <f t="array" ref="S431">_xlfn.IFS(HR_Data[[#This Row],[Monthly Income]]&lt;5000,"Low", HR_Data[[#This Row],[Monthly Income]]&lt;10000,"Medium",TRUE,"High")</f>
        <v>High</v>
      </c>
      <c r="T431" s="1" t="str" cm="1">
        <f t="array" ref="T431">_xlfn.IFS(HR_Data[[#This Row],[Total Working Years]]&lt;=5,"Junior", HR_Data[[#This Row],[Total Working Years]]&lt;=15,"Mid-Level", TRUE, "Senior")</f>
        <v>Senior</v>
      </c>
    </row>
    <row r="432" spans="1:20" x14ac:dyDescent="0.25">
      <c r="A432" s="1">
        <v>577</v>
      </c>
      <c r="B432" s="1">
        <v>35</v>
      </c>
      <c r="C432" t="s">
        <v>9</v>
      </c>
      <c r="D432" t="s">
        <v>10</v>
      </c>
      <c r="E432" t="s">
        <v>6</v>
      </c>
      <c r="F432" t="s">
        <v>11</v>
      </c>
      <c r="G432" t="s">
        <v>14</v>
      </c>
      <c r="H432" s="1">
        <v>3</v>
      </c>
      <c r="I432" s="1">
        <v>4230</v>
      </c>
      <c r="J432" t="s">
        <v>9</v>
      </c>
      <c r="K432" s="1">
        <v>15</v>
      </c>
      <c r="L432" s="1">
        <v>3</v>
      </c>
      <c r="M432" s="1">
        <v>6</v>
      </c>
      <c r="N432" s="1">
        <v>3</v>
      </c>
      <c r="O432" s="1">
        <v>5</v>
      </c>
      <c r="P432" s="1">
        <f>COUNTIF(HR_Data[Employee Number],HR_Data[[#This Row],[Employee Number]])</f>
        <v>1</v>
      </c>
      <c r="Q432" s="1" t="str">
        <f>IF(HR_Data[[#This Row],[Years At Company]]&lt;=HR_Data[[#This Row],[Total Working Years]],"Valid","error")</f>
        <v>Valid</v>
      </c>
      <c r="R432" s="1" t="str" cm="1">
        <f t="array" ref="R432">_xlfn.IFS(HR_Data[[#This Row],[Age]]&lt;=30,"Young", HR_Data[[#This Row],[Age]]&lt;=45,"Mid-Age",HR_Data[[#This Row],[Age]]&gt;45,"Senior")</f>
        <v>Mid-Age</v>
      </c>
      <c r="S432" s="1" t="str" cm="1">
        <f t="array" ref="S432">_xlfn.IFS(HR_Data[[#This Row],[Monthly Income]]&lt;5000,"Low", HR_Data[[#This Row],[Monthly Income]]&lt;10000,"Medium",TRUE,"High")</f>
        <v>Low</v>
      </c>
      <c r="T432" s="1" t="str" cm="1">
        <f t="array" ref="T432">_xlfn.IFS(HR_Data[[#This Row],[Total Working Years]]&lt;=5,"Junior", HR_Data[[#This Row],[Total Working Years]]&lt;=15,"Mid-Level", TRUE, "Senior")</f>
        <v>Mid-Level</v>
      </c>
    </row>
    <row r="433" spans="1:20" x14ac:dyDescent="0.25">
      <c r="A433" s="1">
        <v>578</v>
      </c>
      <c r="B433" s="1">
        <v>54</v>
      </c>
      <c r="C433" t="s">
        <v>9</v>
      </c>
      <c r="D433" t="s">
        <v>10</v>
      </c>
      <c r="E433" t="s">
        <v>6</v>
      </c>
      <c r="F433" t="s">
        <v>7</v>
      </c>
      <c r="G433" t="s">
        <v>14</v>
      </c>
      <c r="H433" s="1">
        <v>3</v>
      </c>
      <c r="I433" s="1">
        <v>3780</v>
      </c>
      <c r="J433" t="s">
        <v>9</v>
      </c>
      <c r="K433" s="1">
        <v>11</v>
      </c>
      <c r="L433" s="1">
        <v>3</v>
      </c>
      <c r="M433" s="1">
        <v>19</v>
      </c>
      <c r="N433" s="1">
        <v>3</v>
      </c>
      <c r="O433" s="1">
        <v>1</v>
      </c>
      <c r="P433" s="1">
        <f>COUNTIF(HR_Data[Employee Number],HR_Data[[#This Row],[Employee Number]])</f>
        <v>1</v>
      </c>
      <c r="Q433" s="1" t="str">
        <f>IF(HR_Data[[#This Row],[Years At Company]]&lt;=HR_Data[[#This Row],[Total Working Years]],"Valid","error")</f>
        <v>Valid</v>
      </c>
      <c r="R433" s="1" t="str" cm="1">
        <f t="array" ref="R433">_xlfn.IFS(HR_Data[[#This Row],[Age]]&lt;=30,"Young", HR_Data[[#This Row],[Age]]&lt;=45,"Mid-Age",HR_Data[[#This Row],[Age]]&gt;45,"Senior")</f>
        <v>Senior</v>
      </c>
      <c r="S433" s="1" t="str" cm="1">
        <f t="array" ref="S433">_xlfn.IFS(HR_Data[[#This Row],[Monthly Income]]&lt;5000,"Low", HR_Data[[#This Row],[Monthly Income]]&lt;10000,"Medium",TRUE,"High")</f>
        <v>Low</v>
      </c>
      <c r="T433" s="1" t="str" cm="1">
        <f t="array" ref="T433">_xlfn.IFS(HR_Data[[#This Row],[Total Working Years]]&lt;=5,"Junior", HR_Data[[#This Row],[Total Working Years]]&lt;=15,"Mid-Level", TRUE, "Senior")</f>
        <v>Senior</v>
      </c>
    </row>
    <row r="434" spans="1:20" x14ac:dyDescent="0.25">
      <c r="A434" s="1">
        <v>579</v>
      </c>
      <c r="B434" s="1">
        <v>34</v>
      </c>
      <c r="C434" t="s">
        <v>9</v>
      </c>
      <c r="D434" t="s">
        <v>10</v>
      </c>
      <c r="E434" t="s">
        <v>6</v>
      </c>
      <c r="F434" t="s">
        <v>11</v>
      </c>
      <c r="G434" t="s">
        <v>12</v>
      </c>
      <c r="H434" s="1">
        <v>3</v>
      </c>
      <c r="I434" s="1">
        <v>2768</v>
      </c>
      <c r="J434" t="s">
        <v>9</v>
      </c>
      <c r="K434" s="1">
        <v>12</v>
      </c>
      <c r="L434" s="1">
        <v>3</v>
      </c>
      <c r="M434" s="1">
        <v>14</v>
      </c>
      <c r="N434" s="1">
        <v>3</v>
      </c>
      <c r="O434" s="1">
        <v>7</v>
      </c>
      <c r="P434" s="1">
        <f>COUNTIF(HR_Data[Employee Number],HR_Data[[#This Row],[Employee Number]])</f>
        <v>1</v>
      </c>
      <c r="Q434" s="1" t="str">
        <f>IF(HR_Data[[#This Row],[Years At Company]]&lt;=HR_Data[[#This Row],[Total Working Years]],"Valid","error")</f>
        <v>Valid</v>
      </c>
      <c r="R434" s="1" t="str" cm="1">
        <f t="array" ref="R434">_xlfn.IFS(HR_Data[[#This Row],[Age]]&lt;=30,"Young", HR_Data[[#This Row],[Age]]&lt;=45,"Mid-Age",HR_Data[[#This Row],[Age]]&gt;45,"Senior")</f>
        <v>Mid-Age</v>
      </c>
      <c r="S434" s="1" t="str" cm="1">
        <f t="array" ref="S434">_xlfn.IFS(HR_Data[[#This Row],[Monthly Income]]&lt;5000,"Low", HR_Data[[#This Row],[Monthly Income]]&lt;10000,"Medium",TRUE,"High")</f>
        <v>Low</v>
      </c>
      <c r="T434" s="1" t="str" cm="1">
        <f t="array" ref="T434">_xlfn.IFS(HR_Data[[#This Row],[Total Working Years]]&lt;=5,"Junior", HR_Data[[#This Row],[Total Working Years]]&lt;=15,"Mid-Level", TRUE, "Senior")</f>
        <v>Mid-Level</v>
      </c>
    </row>
    <row r="435" spans="1:20" x14ac:dyDescent="0.25">
      <c r="A435" s="1">
        <v>580</v>
      </c>
      <c r="B435" s="1">
        <v>46</v>
      </c>
      <c r="C435" t="s">
        <v>9</v>
      </c>
      <c r="D435" t="s">
        <v>5</v>
      </c>
      <c r="E435" t="s">
        <v>21</v>
      </c>
      <c r="F435" t="s">
        <v>7</v>
      </c>
      <c r="G435" t="s">
        <v>8</v>
      </c>
      <c r="H435" s="1">
        <v>4</v>
      </c>
      <c r="I435" s="1">
        <v>9071</v>
      </c>
      <c r="J435" t="s">
        <v>4</v>
      </c>
      <c r="K435" s="1">
        <v>19</v>
      </c>
      <c r="L435" s="1">
        <v>3</v>
      </c>
      <c r="M435" s="1">
        <v>15</v>
      </c>
      <c r="N435" s="1">
        <v>3</v>
      </c>
      <c r="O435" s="1">
        <v>3</v>
      </c>
      <c r="P435" s="1">
        <f>COUNTIF(HR_Data[Employee Number],HR_Data[[#This Row],[Employee Number]])</f>
        <v>1</v>
      </c>
      <c r="Q435" s="1" t="str">
        <f>IF(HR_Data[[#This Row],[Years At Company]]&lt;=HR_Data[[#This Row],[Total Working Years]],"Valid","error")</f>
        <v>Valid</v>
      </c>
      <c r="R435" s="1" t="str" cm="1">
        <f t="array" ref="R435">_xlfn.IFS(HR_Data[[#This Row],[Age]]&lt;=30,"Young", HR_Data[[#This Row],[Age]]&lt;=45,"Mid-Age",HR_Data[[#This Row],[Age]]&gt;45,"Senior")</f>
        <v>Senior</v>
      </c>
      <c r="S435" s="1" t="str" cm="1">
        <f t="array" ref="S435">_xlfn.IFS(HR_Data[[#This Row],[Monthly Income]]&lt;5000,"Low", HR_Data[[#This Row],[Monthly Income]]&lt;10000,"Medium",TRUE,"High")</f>
        <v>Medium</v>
      </c>
      <c r="T435" s="1" t="str" cm="1">
        <f t="array" ref="T435">_xlfn.IFS(HR_Data[[#This Row],[Total Working Years]]&lt;=5,"Junior", HR_Data[[#This Row],[Total Working Years]]&lt;=15,"Mid-Level", TRUE, "Senior")</f>
        <v>Mid-Level</v>
      </c>
    </row>
    <row r="436" spans="1:20" x14ac:dyDescent="0.25">
      <c r="A436" s="1">
        <v>581</v>
      </c>
      <c r="B436" s="1">
        <v>31</v>
      </c>
      <c r="C436" t="s">
        <v>9</v>
      </c>
      <c r="D436" t="s">
        <v>10</v>
      </c>
      <c r="E436" t="s">
        <v>6</v>
      </c>
      <c r="F436" t="s">
        <v>11</v>
      </c>
      <c r="G436" t="s">
        <v>16</v>
      </c>
      <c r="H436" s="1">
        <v>2</v>
      </c>
      <c r="I436" s="1">
        <v>10648</v>
      </c>
      <c r="J436" t="s">
        <v>9</v>
      </c>
      <c r="K436" s="1">
        <v>25</v>
      </c>
      <c r="L436" s="1">
        <v>4</v>
      </c>
      <c r="M436" s="1">
        <v>13</v>
      </c>
      <c r="N436" s="1">
        <v>4</v>
      </c>
      <c r="O436" s="1">
        <v>13</v>
      </c>
      <c r="P436" s="1">
        <f>COUNTIF(HR_Data[Employee Number],HR_Data[[#This Row],[Employee Number]])</f>
        <v>1</v>
      </c>
      <c r="Q436" s="1" t="str">
        <f>IF(HR_Data[[#This Row],[Years At Company]]&lt;=HR_Data[[#This Row],[Total Working Years]],"Valid","error")</f>
        <v>Valid</v>
      </c>
      <c r="R436" s="1" t="str" cm="1">
        <f t="array" ref="R436">_xlfn.IFS(HR_Data[[#This Row],[Age]]&lt;=30,"Young", HR_Data[[#This Row],[Age]]&lt;=45,"Mid-Age",HR_Data[[#This Row],[Age]]&gt;45,"Senior")</f>
        <v>Mid-Age</v>
      </c>
      <c r="S436" s="1" t="str" cm="1">
        <f t="array" ref="S436">_xlfn.IFS(HR_Data[[#This Row],[Monthly Income]]&lt;5000,"Low", HR_Data[[#This Row],[Monthly Income]]&lt;10000,"Medium",TRUE,"High")</f>
        <v>High</v>
      </c>
      <c r="T436" s="1" t="str" cm="1">
        <f t="array" ref="T436">_xlfn.IFS(HR_Data[[#This Row],[Total Working Years]]&lt;=5,"Junior", HR_Data[[#This Row],[Total Working Years]]&lt;=15,"Mid-Level", TRUE, "Senior")</f>
        <v>Mid-Level</v>
      </c>
    </row>
    <row r="437" spans="1:20" x14ac:dyDescent="0.25">
      <c r="A437" s="1">
        <v>582</v>
      </c>
      <c r="B437" s="1">
        <v>33</v>
      </c>
      <c r="C437" t="s">
        <v>4</v>
      </c>
      <c r="D437" t="s">
        <v>10</v>
      </c>
      <c r="E437" t="s">
        <v>15</v>
      </c>
      <c r="F437" t="s">
        <v>11</v>
      </c>
      <c r="G437" t="s">
        <v>18</v>
      </c>
      <c r="H437" s="1">
        <v>3</v>
      </c>
      <c r="I437" s="1">
        <v>13610</v>
      </c>
      <c r="J437" t="s">
        <v>4</v>
      </c>
      <c r="K437" s="1">
        <v>12</v>
      </c>
      <c r="L437" s="1">
        <v>3</v>
      </c>
      <c r="M437" s="1">
        <v>15</v>
      </c>
      <c r="N437" s="1">
        <v>4</v>
      </c>
      <c r="O437" s="1">
        <v>7</v>
      </c>
      <c r="P437" s="1">
        <f>COUNTIF(HR_Data[Employee Number],HR_Data[[#This Row],[Employee Number]])</f>
        <v>1</v>
      </c>
      <c r="Q437" s="1" t="str">
        <f>IF(HR_Data[[#This Row],[Years At Company]]&lt;=HR_Data[[#This Row],[Total Working Years]],"Valid","error")</f>
        <v>Valid</v>
      </c>
      <c r="R437" s="1" t="str" cm="1">
        <f t="array" ref="R437">_xlfn.IFS(HR_Data[[#This Row],[Age]]&lt;=30,"Young", HR_Data[[#This Row],[Age]]&lt;=45,"Mid-Age",HR_Data[[#This Row],[Age]]&gt;45,"Senior")</f>
        <v>Mid-Age</v>
      </c>
      <c r="S437" s="1" t="str" cm="1">
        <f t="array" ref="S437">_xlfn.IFS(HR_Data[[#This Row],[Monthly Income]]&lt;5000,"Low", HR_Data[[#This Row],[Monthly Income]]&lt;10000,"Medium",TRUE,"High")</f>
        <v>High</v>
      </c>
      <c r="T437" s="1" t="str" cm="1">
        <f t="array" ref="T437">_xlfn.IFS(HR_Data[[#This Row],[Total Working Years]]&lt;=5,"Junior", HR_Data[[#This Row],[Total Working Years]]&lt;=15,"Mid-Level", TRUE, "Senior")</f>
        <v>Mid-Level</v>
      </c>
    </row>
    <row r="438" spans="1:20" x14ac:dyDescent="0.25">
      <c r="A438" s="1">
        <v>584</v>
      </c>
      <c r="B438" s="1">
        <v>33</v>
      </c>
      <c r="C438" t="s">
        <v>4</v>
      </c>
      <c r="D438" t="s">
        <v>10</v>
      </c>
      <c r="E438" t="s">
        <v>15</v>
      </c>
      <c r="F438" t="s">
        <v>11</v>
      </c>
      <c r="G438" t="s">
        <v>14</v>
      </c>
      <c r="H438" s="1">
        <v>4</v>
      </c>
      <c r="I438" s="1">
        <v>3408</v>
      </c>
      <c r="J438" t="s">
        <v>9</v>
      </c>
      <c r="K438" s="1">
        <v>13</v>
      </c>
      <c r="L438" s="1">
        <v>3</v>
      </c>
      <c r="M438" s="1">
        <v>8</v>
      </c>
      <c r="N438" s="1">
        <v>3</v>
      </c>
      <c r="O438" s="1">
        <v>4</v>
      </c>
      <c r="P438" s="1">
        <f>COUNTIF(HR_Data[Employee Number],HR_Data[[#This Row],[Employee Number]])</f>
        <v>1</v>
      </c>
      <c r="Q438" s="1" t="str">
        <f>IF(HR_Data[[#This Row],[Years At Company]]&lt;=HR_Data[[#This Row],[Total Working Years]],"Valid","error")</f>
        <v>Valid</v>
      </c>
      <c r="R438" s="1" t="str" cm="1">
        <f t="array" ref="R438">_xlfn.IFS(HR_Data[[#This Row],[Age]]&lt;=30,"Young", HR_Data[[#This Row],[Age]]&lt;=45,"Mid-Age",HR_Data[[#This Row],[Age]]&gt;45,"Senior")</f>
        <v>Mid-Age</v>
      </c>
      <c r="S438" s="1" t="str" cm="1">
        <f t="array" ref="S438">_xlfn.IFS(HR_Data[[#This Row],[Monthly Income]]&lt;5000,"Low", HR_Data[[#This Row],[Monthly Income]]&lt;10000,"Medium",TRUE,"High")</f>
        <v>Low</v>
      </c>
      <c r="T438" s="1" t="str" cm="1">
        <f t="array" ref="T438">_xlfn.IFS(HR_Data[[#This Row],[Total Working Years]]&lt;=5,"Junior", HR_Data[[#This Row],[Total Working Years]]&lt;=15,"Mid-Level", TRUE, "Senior")</f>
        <v>Mid-Level</v>
      </c>
    </row>
    <row r="439" spans="1:20" x14ac:dyDescent="0.25">
      <c r="A439" s="1">
        <v>585</v>
      </c>
      <c r="B439" s="1">
        <v>30</v>
      </c>
      <c r="C439" t="s">
        <v>9</v>
      </c>
      <c r="D439" t="s">
        <v>5</v>
      </c>
      <c r="E439" t="s">
        <v>21</v>
      </c>
      <c r="F439" t="s">
        <v>11</v>
      </c>
      <c r="G439" t="s">
        <v>19</v>
      </c>
      <c r="H439" s="1">
        <v>2</v>
      </c>
      <c r="I439" s="1">
        <v>2983</v>
      </c>
      <c r="J439" t="s">
        <v>9</v>
      </c>
      <c r="K439" s="1">
        <v>14</v>
      </c>
      <c r="L439" s="1">
        <v>3</v>
      </c>
      <c r="M439" s="1">
        <v>4</v>
      </c>
      <c r="N439" s="1">
        <v>3</v>
      </c>
      <c r="O439" s="1">
        <v>3</v>
      </c>
      <c r="P439" s="1">
        <f>COUNTIF(HR_Data[Employee Number],HR_Data[[#This Row],[Employee Number]])</f>
        <v>1</v>
      </c>
      <c r="Q439" s="1" t="str">
        <f>IF(HR_Data[[#This Row],[Years At Company]]&lt;=HR_Data[[#This Row],[Total Working Years]],"Valid","error")</f>
        <v>Valid</v>
      </c>
      <c r="R439" s="1" t="str" cm="1">
        <f t="array" ref="R439">_xlfn.IFS(HR_Data[[#This Row],[Age]]&lt;=30,"Young", HR_Data[[#This Row],[Age]]&lt;=45,"Mid-Age",HR_Data[[#This Row],[Age]]&gt;45,"Senior")</f>
        <v>Young</v>
      </c>
      <c r="S439" s="1" t="str" cm="1">
        <f t="array" ref="S439">_xlfn.IFS(HR_Data[[#This Row],[Monthly Income]]&lt;5000,"Low", HR_Data[[#This Row],[Monthly Income]]&lt;10000,"Medium",TRUE,"High")</f>
        <v>Low</v>
      </c>
      <c r="T439" s="1" t="str" cm="1">
        <f t="array" ref="T439">_xlfn.IFS(HR_Data[[#This Row],[Total Working Years]]&lt;=5,"Junior", HR_Data[[#This Row],[Total Working Years]]&lt;=15,"Mid-Level", TRUE, "Senior")</f>
        <v>Junior</v>
      </c>
    </row>
    <row r="440" spans="1:20" x14ac:dyDescent="0.25">
      <c r="A440" s="1">
        <v>586</v>
      </c>
      <c r="B440" s="1">
        <v>35</v>
      </c>
      <c r="C440" t="s">
        <v>9</v>
      </c>
      <c r="D440" t="s">
        <v>10</v>
      </c>
      <c r="E440" t="s">
        <v>6</v>
      </c>
      <c r="F440" t="s">
        <v>11</v>
      </c>
      <c r="G440" t="s">
        <v>17</v>
      </c>
      <c r="H440" s="1">
        <v>3</v>
      </c>
      <c r="I440" s="1">
        <v>7632</v>
      </c>
      <c r="J440" t="s">
        <v>4</v>
      </c>
      <c r="K440" s="1">
        <v>12</v>
      </c>
      <c r="L440" s="1">
        <v>3</v>
      </c>
      <c r="M440" s="1">
        <v>10</v>
      </c>
      <c r="N440" s="1">
        <v>3</v>
      </c>
      <c r="O440" s="1">
        <v>8</v>
      </c>
      <c r="P440" s="1">
        <f>COUNTIF(HR_Data[Employee Number],HR_Data[[#This Row],[Employee Number]])</f>
        <v>1</v>
      </c>
      <c r="Q440" s="1" t="str">
        <f>IF(HR_Data[[#This Row],[Years At Company]]&lt;=HR_Data[[#This Row],[Total Working Years]],"Valid","error")</f>
        <v>Valid</v>
      </c>
      <c r="R440" s="1" t="str" cm="1">
        <f t="array" ref="R440">_xlfn.IFS(HR_Data[[#This Row],[Age]]&lt;=30,"Young", HR_Data[[#This Row],[Age]]&lt;=45,"Mid-Age",HR_Data[[#This Row],[Age]]&gt;45,"Senior")</f>
        <v>Mid-Age</v>
      </c>
      <c r="S440" s="1" t="str" cm="1">
        <f t="array" ref="S440">_xlfn.IFS(HR_Data[[#This Row],[Monthly Income]]&lt;5000,"Low", HR_Data[[#This Row],[Monthly Income]]&lt;10000,"Medium",TRUE,"High")</f>
        <v>Medium</v>
      </c>
      <c r="T440" s="1" t="str" cm="1">
        <f t="array" ref="T440">_xlfn.IFS(HR_Data[[#This Row],[Total Working Years]]&lt;=5,"Junior", HR_Data[[#This Row],[Total Working Years]]&lt;=15,"Mid-Level", TRUE, "Senior")</f>
        <v>Mid-Level</v>
      </c>
    </row>
    <row r="441" spans="1:20" x14ac:dyDescent="0.25">
      <c r="A441" s="1">
        <v>587</v>
      </c>
      <c r="B441" s="1">
        <v>31</v>
      </c>
      <c r="C441" t="s">
        <v>4</v>
      </c>
      <c r="D441" t="s">
        <v>10</v>
      </c>
      <c r="E441" t="s">
        <v>6</v>
      </c>
      <c r="F441" t="s">
        <v>11</v>
      </c>
      <c r="G441" t="s">
        <v>17</v>
      </c>
      <c r="H441" s="1">
        <v>3</v>
      </c>
      <c r="I441" s="1">
        <v>9824</v>
      </c>
      <c r="J441" t="s">
        <v>9</v>
      </c>
      <c r="K441" s="1">
        <v>12</v>
      </c>
      <c r="L441" s="1">
        <v>3</v>
      </c>
      <c r="M441" s="1">
        <v>12</v>
      </c>
      <c r="N441" s="1">
        <v>3</v>
      </c>
      <c r="O441" s="1">
        <v>1</v>
      </c>
      <c r="P441" s="1">
        <f>COUNTIF(HR_Data[Employee Number],HR_Data[[#This Row],[Employee Number]])</f>
        <v>1</v>
      </c>
      <c r="Q441" s="1" t="str">
        <f>IF(HR_Data[[#This Row],[Years At Company]]&lt;=HR_Data[[#This Row],[Total Working Years]],"Valid","error")</f>
        <v>Valid</v>
      </c>
      <c r="R441" s="1" t="str" cm="1">
        <f t="array" ref="R441">_xlfn.IFS(HR_Data[[#This Row],[Age]]&lt;=30,"Young", HR_Data[[#This Row],[Age]]&lt;=45,"Mid-Age",HR_Data[[#This Row],[Age]]&gt;45,"Senior")</f>
        <v>Mid-Age</v>
      </c>
      <c r="S441" s="1" t="str" cm="1">
        <f t="array" ref="S441">_xlfn.IFS(HR_Data[[#This Row],[Monthly Income]]&lt;5000,"Low", HR_Data[[#This Row],[Monthly Income]]&lt;10000,"Medium",TRUE,"High")</f>
        <v>Medium</v>
      </c>
      <c r="T441" s="1" t="str" cm="1">
        <f t="array" ref="T441">_xlfn.IFS(HR_Data[[#This Row],[Total Working Years]]&lt;=5,"Junior", HR_Data[[#This Row],[Total Working Years]]&lt;=15,"Mid-Level", TRUE, "Senior")</f>
        <v>Mid-Level</v>
      </c>
    </row>
    <row r="442" spans="1:20" x14ac:dyDescent="0.25">
      <c r="A442" s="1">
        <v>590</v>
      </c>
      <c r="B442" s="1">
        <v>34</v>
      </c>
      <c r="C442" t="s">
        <v>4</v>
      </c>
      <c r="D442" t="s">
        <v>23</v>
      </c>
      <c r="E442" t="s">
        <v>23</v>
      </c>
      <c r="F442" t="s">
        <v>7</v>
      </c>
      <c r="G442" t="s">
        <v>23</v>
      </c>
      <c r="H442" s="1">
        <v>1</v>
      </c>
      <c r="I442" s="1">
        <v>9950</v>
      </c>
      <c r="J442" t="s">
        <v>4</v>
      </c>
      <c r="K442" s="1">
        <v>15</v>
      </c>
      <c r="L442" s="1">
        <v>3</v>
      </c>
      <c r="M442" s="1">
        <v>11</v>
      </c>
      <c r="N442" s="1">
        <v>3</v>
      </c>
      <c r="O442" s="1">
        <v>3</v>
      </c>
      <c r="P442" s="1">
        <f>COUNTIF(HR_Data[Employee Number],HR_Data[[#This Row],[Employee Number]])</f>
        <v>1</v>
      </c>
      <c r="Q442" s="1" t="str">
        <f>IF(HR_Data[[#This Row],[Years At Company]]&lt;=HR_Data[[#This Row],[Total Working Years]],"Valid","error")</f>
        <v>Valid</v>
      </c>
      <c r="R442" s="1" t="str" cm="1">
        <f t="array" ref="R442">_xlfn.IFS(HR_Data[[#This Row],[Age]]&lt;=30,"Young", HR_Data[[#This Row],[Age]]&lt;=45,"Mid-Age",HR_Data[[#This Row],[Age]]&gt;45,"Senior")</f>
        <v>Mid-Age</v>
      </c>
      <c r="S442" s="1" t="str" cm="1">
        <f t="array" ref="S442">_xlfn.IFS(HR_Data[[#This Row],[Monthly Income]]&lt;5000,"Low", HR_Data[[#This Row],[Monthly Income]]&lt;10000,"Medium",TRUE,"High")</f>
        <v>Medium</v>
      </c>
      <c r="T442" s="1" t="str" cm="1">
        <f t="array" ref="T442">_xlfn.IFS(HR_Data[[#This Row],[Total Working Years]]&lt;=5,"Junior", HR_Data[[#This Row],[Total Working Years]]&lt;=15,"Mid-Level", TRUE, "Senior")</f>
        <v>Mid-Level</v>
      </c>
    </row>
    <row r="443" spans="1:20" x14ac:dyDescent="0.25">
      <c r="A443" s="1">
        <v>591</v>
      </c>
      <c r="B443" s="1">
        <v>42</v>
      </c>
      <c r="C443" t="s">
        <v>9</v>
      </c>
      <c r="D443" t="s">
        <v>10</v>
      </c>
      <c r="E443" t="s">
        <v>13</v>
      </c>
      <c r="F443" t="s">
        <v>11</v>
      </c>
      <c r="G443" t="s">
        <v>14</v>
      </c>
      <c r="H443" s="1">
        <v>3</v>
      </c>
      <c r="I443" s="1">
        <v>2093</v>
      </c>
      <c r="J443" t="s">
        <v>9</v>
      </c>
      <c r="K443" s="1">
        <v>17</v>
      </c>
      <c r="L443" s="1">
        <v>3</v>
      </c>
      <c r="M443" s="1">
        <v>8</v>
      </c>
      <c r="N443" s="1">
        <v>3</v>
      </c>
      <c r="O443" s="1">
        <v>2</v>
      </c>
      <c r="P443" s="1">
        <f>COUNTIF(HR_Data[Employee Number],HR_Data[[#This Row],[Employee Number]])</f>
        <v>1</v>
      </c>
      <c r="Q443" s="1" t="str">
        <f>IF(HR_Data[[#This Row],[Years At Company]]&lt;=HR_Data[[#This Row],[Total Working Years]],"Valid","error")</f>
        <v>Valid</v>
      </c>
      <c r="R443" s="1" t="str" cm="1">
        <f t="array" ref="R443">_xlfn.IFS(HR_Data[[#This Row],[Age]]&lt;=30,"Young", HR_Data[[#This Row],[Age]]&lt;=45,"Mid-Age",HR_Data[[#This Row],[Age]]&gt;45,"Senior")</f>
        <v>Mid-Age</v>
      </c>
      <c r="S443" s="1" t="str" cm="1">
        <f t="array" ref="S443">_xlfn.IFS(HR_Data[[#This Row],[Monthly Income]]&lt;5000,"Low", HR_Data[[#This Row],[Monthly Income]]&lt;10000,"Medium",TRUE,"High")</f>
        <v>Low</v>
      </c>
      <c r="T443" s="1" t="str" cm="1">
        <f t="array" ref="T443">_xlfn.IFS(HR_Data[[#This Row],[Total Working Years]]&lt;=5,"Junior", HR_Data[[#This Row],[Total Working Years]]&lt;=15,"Mid-Level", TRUE, "Senior")</f>
        <v>Mid-Level</v>
      </c>
    </row>
    <row r="444" spans="1:20" x14ac:dyDescent="0.25">
      <c r="A444" s="1">
        <v>592</v>
      </c>
      <c r="B444" s="1">
        <v>36</v>
      </c>
      <c r="C444" t="s">
        <v>9</v>
      </c>
      <c r="D444" t="s">
        <v>5</v>
      </c>
      <c r="E444" t="s">
        <v>15</v>
      </c>
      <c r="F444" t="s">
        <v>11</v>
      </c>
      <c r="G444" t="s">
        <v>8</v>
      </c>
      <c r="H444" s="1">
        <v>4</v>
      </c>
      <c r="I444" s="1">
        <v>9980</v>
      </c>
      <c r="J444" t="s">
        <v>9</v>
      </c>
      <c r="K444" s="1">
        <v>14</v>
      </c>
      <c r="L444" s="1">
        <v>3</v>
      </c>
      <c r="M444" s="1">
        <v>10</v>
      </c>
      <c r="N444" s="1">
        <v>2</v>
      </c>
      <c r="O444" s="1">
        <v>10</v>
      </c>
      <c r="P444" s="1">
        <f>COUNTIF(HR_Data[Employee Number],HR_Data[[#This Row],[Employee Number]])</f>
        <v>1</v>
      </c>
      <c r="Q444" s="1" t="str">
        <f>IF(HR_Data[[#This Row],[Years At Company]]&lt;=HR_Data[[#This Row],[Total Working Years]],"Valid","error")</f>
        <v>Valid</v>
      </c>
      <c r="R444" s="1" t="str" cm="1">
        <f t="array" ref="R444">_xlfn.IFS(HR_Data[[#This Row],[Age]]&lt;=30,"Young", HR_Data[[#This Row],[Age]]&lt;=45,"Mid-Age",HR_Data[[#This Row],[Age]]&gt;45,"Senior")</f>
        <v>Mid-Age</v>
      </c>
      <c r="S444" s="1" t="str" cm="1">
        <f t="array" ref="S444">_xlfn.IFS(HR_Data[[#This Row],[Monthly Income]]&lt;5000,"Low", HR_Data[[#This Row],[Monthly Income]]&lt;10000,"Medium",TRUE,"High")</f>
        <v>Medium</v>
      </c>
      <c r="T444" s="1" t="str" cm="1">
        <f t="array" ref="T444">_xlfn.IFS(HR_Data[[#This Row],[Total Working Years]]&lt;=5,"Junior", HR_Data[[#This Row],[Total Working Years]]&lt;=15,"Mid-Level", TRUE, "Senior")</f>
        <v>Mid-Level</v>
      </c>
    </row>
    <row r="445" spans="1:20" x14ac:dyDescent="0.25">
      <c r="A445" s="1">
        <v>593</v>
      </c>
      <c r="B445" s="1">
        <v>22</v>
      </c>
      <c r="C445" t="s">
        <v>4</v>
      </c>
      <c r="D445" t="s">
        <v>10</v>
      </c>
      <c r="E445" t="s">
        <v>22</v>
      </c>
      <c r="F445" t="s">
        <v>11</v>
      </c>
      <c r="G445" t="s">
        <v>14</v>
      </c>
      <c r="H445" s="1">
        <v>3</v>
      </c>
      <c r="I445" s="1">
        <v>3894</v>
      </c>
      <c r="J445" t="s">
        <v>9</v>
      </c>
      <c r="K445" s="1">
        <v>16</v>
      </c>
      <c r="L445" s="1">
        <v>3</v>
      </c>
      <c r="M445" s="1">
        <v>4</v>
      </c>
      <c r="N445" s="1">
        <v>3</v>
      </c>
      <c r="O445" s="1">
        <v>2</v>
      </c>
      <c r="P445" s="1">
        <f>COUNTIF(HR_Data[Employee Number],HR_Data[[#This Row],[Employee Number]])</f>
        <v>1</v>
      </c>
      <c r="Q445" s="1" t="str">
        <f>IF(HR_Data[[#This Row],[Years At Company]]&lt;=HR_Data[[#This Row],[Total Working Years]],"Valid","error")</f>
        <v>Valid</v>
      </c>
      <c r="R445" s="1" t="str" cm="1">
        <f t="array" ref="R445">_xlfn.IFS(HR_Data[[#This Row],[Age]]&lt;=30,"Young", HR_Data[[#This Row],[Age]]&lt;=45,"Mid-Age",HR_Data[[#This Row],[Age]]&gt;45,"Senior")</f>
        <v>Young</v>
      </c>
      <c r="S445" s="1" t="str" cm="1">
        <f t="array" ref="S445">_xlfn.IFS(HR_Data[[#This Row],[Monthly Income]]&lt;5000,"Low", HR_Data[[#This Row],[Monthly Income]]&lt;10000,"Medium",TRUE,"High")</f>
        <v>Low</v>
      </c>
      <c r="T445" s="1" t="str" cm="1">
        <f t="array" ref="T445">_xlfn.IFS(HR_Data[[#This Row],[Total Working Years]]&lt;=5,"Junior", HR_Data[[#This Row],[Total Working Years]]&lt;=15,"Mid-Level", TRUE, "Senior")</f>
        <v>Junior</v>
      </c>
    </row>
    <row r="446" spans="1:20" x14ac:dyDescent="0.25">
      <c r="A446" s="1">
        <v>595</v>
      </c>
      <c r="B446" s="1">
        <v>48</v>
      </c>
      <c r="C446" t="s">
        <v>9</v>
      </c>
      <c r="D446" t="s">
        <v>5</v>
      </c>
      <c r="E446" t="s">
        <v>21</v>
      </c>
      <c r="F446" t="s">
        <v>7</v>
      </c>
      <c r="G446" t="s">
        <v>8</v>
      </c>
      <c r="H446" s="1">
        <v>4</v>
      </c>
      <c r="I446" s="1">
        <v>4051</v>
      </c>
      <c r="J446" t="s">
        <v>9</v>
      </c>
      <c r="K446" s="1">
        <v>14</v>
      </c>
      <c r="L446" s="1">
        <v>3</v>
      </c>
      <c r="M446" s="1">
        <v>14</v>
      </c>
      <c r="N446" s="1">
        <v>3</v>
      </c>
      <c r="O446" s="1">
        <v>9</v>
      </c>
      <c r="P446" s="1">
        <f>COUNTIF(HR_Data[Employee Number],HR_Data[[#This Row],[Employee Number]])</f>
        <v>1</v>
      </c>
      <c r="Q446" s="1" t="str">
        <f>IF(HR_Data[[#This Row],[Years At Company]]&lt;=HR_Data[[#This Row],[Total Working Years]],"Valid","error")</f>
        <v>Valid</v>
      </c>
      <c r="R446" s="1" t="str" cm="1">
        <f t="array" ref="R446">_xlfn.IFS(HR_Data[[#This Row],[Age]]&lt;=30,"Young", HR_Data[[#This Row],[Age]]&lt;=45,"Mid-Age",HR_Data[[#This Row],[Age]]&gt;45,"Senior")</f>
        <v>Senior</v>
      </c>
      <c r="S446" s="1" t="str" cm="1">
        <f t="array" ref="S446">_xlfn.IFS(HR_Data[[#This Row],[Monthly Income]]&lt;5000,"Low", HR_Data[[#This Row],[Monthly Income]]&lt;10000,"Medium",TRUE,"High")</f>
        <v>Low</v>
      </c>
      <c r="T446" s="1" t="str" cm="1">
        <f t="array" ref="T446">_xlfn.IFS(HR_Data[[#This Row],[Total Working Years]]&lt;=5,"Junior", HR_Data[[#This Row],[Total Working Years]]&lt;=15,"Mid-Level", TRUE, "Senior")</f>
        <v>Mid-Level</v>
      </c>
    </row>
    <row r="447" spans="1:20" x14ac:dyDescent="0.25">
      <c r="A447" s="1">
        <v>597</v>
      </c>
      <c r="B447" s="1">
        <v>55</v>
      </c>
      <c r="C447" t="s">
        <v>9</v>
      </c>
      <c r="D447" t="s">
        <v>5</v>
      </c>
      <c r="E447" t="s">
        <v>6</v>
      </c>
      <c r="F447" t="s">
        <v>7</v>
      </c>
      <c r="G447" t="s">
        <v>18</v>
      </c>
      <c r="H447" s="1">
        <v>2</v>
      </c>
      <c r="I447" s="1">
        <v>16835</v>
      </c>
      <c r="J447" t="s">
        <v>9</v>
      </c>
      <c r="K447" s="1">
        <v>23</v>
      </c>
      <c r="L447" s="1">
        <v>4</v>
      </c>
      <c r="M447" s="1">
        <v>37</v>
      </c>
      <c r="N447" s="1">
        <v>3</v>
      </c>
      <c r="O447" s="1">
        <v>10</v>
      </c>
      <c r="P447" s="1">
        <f>COUNTIF(HR_Data[Employee Number],HR_Data[[#This Row],[Employee Number]])</f>
        <v>1</v>
      </c>
      <c r="Q447" s="1" t="str">
        <f>IF(HR_Data[[#This Row],[Years At Company]]&lt;=HR_Data[[#This Row],[Total Working Years]],"Valid","error")</f>
        <v>Valid</v>
      </c>
      <c r="R447" s="1" t="str" cm="1">
        <f t="array" ref="R447">_xlfn.IFS(HR_Data[[#This Row],[Age]]&lt;=30,"Young", HR_Data[[#This Row],[Age]]&lt;=45,"Mid-Age",HR_Data[[#This Row],[Age]]&gt;45,"Senior")</f>
        <v>Senior</v>
      </c>
      <c r="S447" s="1" t="str" cm="1">
        <f t="array" ref="S447">_xlfn.IFS(HR_Data[[#This Row],[Monthly Income]]&lt;5000,"Low", HR_Data[[#This Row],[Monthly Income]]&lt;10000,"Medium",TRUE,"High")</f>
        <v>High</v>
      </c>
      <c r="T447" s="1" t="str" cm="1">
        <f t="array" ref="T447">_xlfn.IFS(HR_Data[[#This Row],[Total Working Years]]&lt;=5,"Junior", HR_Data[[#This Row],[Total Working Years]]&lt;=15,"Mid-Level", TRUE, "Senior")</f>
        <v>Senior</v>
      </c>
    </row>
    <row r="448" spans="1:20" x14ac:dyDescent="0.25">
      <c r="A448" s="1">
        <v>599</v>
      </c>
      <c r="B448" s="1">
        <v>41</v>
      </c>
      <c r="C448" t="s">
        <v>9</v>
      </c>
      <c r="D448" t="s">
        <v>5</v>
      </c>
      <c r="E448" t="s">
        <v>6</v>
      </c>
      <c r="F448" t="s">
        <v>11</v>
      </c>
      <c r="G448" t="s">
        <v>8</v>
      </c>
      <c r="H448" s="1">
        <v>4</v>
      </c>
      <c r="I448" s="1">
        <v>6230</v>
      </c>
      <c r="J448" t="s">
        <v>9</v>
      </c>
      <c r="K448" s="1">
        <v>14</v>
      </c>
      <c r="L448" s="1">
        <v>3</v>
      </c>
      <c r="M448" s="1">
        <v>16</v>
      </c>
      <c r="N448" s="1">
        <v>3</v>
      </c>
      <c r="O448" s="1">
        <v>14</v>
      </c>
      <c r="P448" s="1">
        <f>COUNTIF(HR_Data[Employee Number],HR_Data[[#This Row],[Employee Number]])</f>
        <v>1</v>
      </c>
      <c r="Q448" s="1" t="str">
        <f>IF(HR_Data[[#This Row],[Years At Company]]&lt;=HR_Data[[#This Row],[Total Working Years]],"Valid","error")</f>
        <v>Valid</v>
      </c>
      <c r="R448" s="1" t="str" cm="1">
        <f t="array" ref="R448">_xlfn.IFS(HR_Data[[#This Row],[Age]]&lt;=30,"Young", HR_Data[[#This Row],[Age]]&lt;=45,"Mid-Age",HR_Data[[#This Row],[Age]]&gt;45,"Senior")</f>
        <v>Mid-Age</v>
      </c>
      <c r="S448" s="1" t="str" cm="1">
        <f t="array" ref="S448">_xlfn.IFS(HR_Data[[#This Row],[Monthly Income]]&lt;5000,"Low", HR_Data[[#This Row],[Monthly Income]]&lt;10000,"Medium",TRUE,"High")</f>
        <v>Medium</v>
      </c>
      <c r="T448" s="1" t="str" cm="1">
        <f t="array" ref="T448">_xlfn.IFS(HR_Data[[#This Row],[Total Working Years]]&lt;=5,"Junior", HR_Data[[#This Row],[Total Working Years]]&lt;=15,"Mid-Level", TRUE, "Senior")</f>
        <v>Senior</v>
      </c>
    </row>
    <row r="449" spans="1:20" x14ac:dyDescent="0.25">
      <c r="A449" s="1">
        <v>600</v>
      </c>
      <c r="B449" s="1">
        <v>35</v>
      </c>
      <c r="C449" t="s">
        <v>9</v>
      </c>
      <c r="D449" t="s">
        <v>5</v>
      </c>
      <c r="E449" t="s">
        <v>21</v>
      </c>
      <c r="F449" t="s">
        <v>11</v>
      </c>
      <c r="G449" t="s">
        <v>8</v>
      </c>
      <c r="H449" s="1">
        <v>3</v>
      </c>
      <c r="I449" s="1">
        <v>4717</v>
      </c>
      <c r="J449" t="s">
        <v>9</v>
      </c>
      <c r="K449" s="1">
        <v>11</v>
      </c>
      <c r="L449" s="1">
        <v>3</v>
      </c>
      <c r="M449" s="1">
        <v>15</v>
      </c>
      <c r="N449" s="1">
        <v>3</v>
      </c>
      <c r="O449" s="1">
        <v>11</v>
      </c>
      <c r="P449" s="1">
        <f>COUNTIF(HR_Data[Employee Number],HR_Data[[#This Row],[Employee Number]])</f>
        <v>1</v>
      </c>
      <c r="Q449" s="1" t="str">
        <f>IF(HR_Data[[#This Row],[Years At Company]]&lt;=HR_Data[[#This Row],[Total Working Years]],"Valid","error")</f>
        <v>Valid</v>
      </c>
      <c r="R449" s="1" t="str" cm="1">
        <f t="array" ref="R449">_xlfn.IFS(HR_Data[[#This Row],[Age]]&lt;=30,"Young", HR_Data[[#This Row],[Age]]&lt;=45,"Mid-Age",HR_Data[[#This Row],[Age]]&gt;45,"Senior")</f>
        <v>Mid-Age</v>
      </c>
      <c r="S449" s="1" t="str" cm="1">
        <f t="array" ref="S449">_xlfn.IFS(HR_Data[[#This Row],[Monthly Income]]&lt;5000,"Low", HR_Data[[#This Row],[Monthly Income]]&lt;10000,"Medium",TRUE,"High")</f>
        <v>Low</v>
      </c>
      <c r="T449" s="1" t="str" cm="1">
        <f t="array" ref="T449">_xlfn.IFS(HR_Data[[#This Row],[Total Working Years]]&lt;=5,"Junior", HR_Data[[#This Row],[Total Working Years]]&lt;=15,"Mid-Level", TRUE, "Senior")</f>
        <v>Mid-Level</v>
      </c>
    </row>
    <row r="450" spans="1:20" x14ac:dyDescent="0.25">
      <c r="A450" s="1">
        <v>601</v>
      </c>
      <c r="B450" s="1">
        <v>40</v>
      </c>
      <c r="C450" t="s">
        <v>9</v>
      </c>
      <c r="D450" t="s">
        <v>10</v>
      </c>
      <c r="E450" t="s">
        <v>6</v>
      </c>
      <c r="F450" t="s">
        <v>7</v>
      </c>
      <c r="G450" t="s">
        <v>16</v>
      </c>
      <c r="H450" s="1">
        <v>3</v>
      </c>
      <c r="I450" s="1">
        <v>13237</v>
      </c>
      <c r="J450" t="s">
        <v>9</v>
      </c>
      <c r="K450" s="1">
        <v>15</v>
      </c>
      <c r="L450" s="1">
        <v>3</v>
      </c>
      <c r="M450" s="1">
        <v>22</v>
      </c>
      <c r="N450" s="1">
        <v>3</v>
      </c>
      <c r="O450" s="1">
        <v>20</v>
      </c>
      <c r="P450" s="1">
        <f>COUNTIF(HR_Data[Employee Number],HR_Data[[#This Row],[Employee Number]])</f>
        <v>1</v>
      </c>
      <c r="Q450" s="1" t="str">
        <f>IF(HR_Data[[#This Row],[Years At Company]]&lt;=HR_Data[[#This Row],[Total Working Years]],"Valid","error")</f>
        <v>Valid</v>
      </c>
      <c r="R450" s="1" t="str" cm="1">
        <f t="array" ref="R450">_xlfn.IFS(HR_Data[[#This Row],[Age]]&lt;=30,"Young", HR_Data[[#This Row],[Age]]&lt;=45,"Mid-Age",HR_Data[[#This Row],[Age]]&gt;45,"Senior")</f>
        <v>Mid-Age</v>
      </c>
      <c r="S450" s="1" t="str" cm="1">
        <f t="array" ref="S450">_xlfn.IFS(HR_Data[[#This Row],[Monthly Income]]&lt;5000,"Low", HR_Data[[#This Row],[Monthly Income]]&lt;10000,"Medium",TRUE,"High")</f>
        <v>High</v>
      </c>
      <c r="T450" s="1" t="str" cm="1">
        <f t="array" ref="T450">_xlfn.IFS(HR_Data[[#This Row],[Total Working Years]]&lt;=5,"Junior", HR_Data[[#This Row],[Total Working Years]]&lt;=15,"Mid-Level", TRUE, "Senior")</f>
        <v>Senior</v>
      </c>
    </row>
    <row r="451" spans="1:20" x14ac:dyDescent="0.25">
      <c r="A451" s="1">
        <v>602</v>
      </c>
      <c r="B451" s="1">
        <v>39</v>
      </c>
      <c r="C451" t="s">
        <v>9</v>
      </c>
      <c r="D451" t="s">
        <v>10</v>
      </c>
      <c r="E451" t="s">
        <v>6</v>
      </c>
      <c r="F451" t="s">
        <v>7</v>
      </c>
      <c r="G451" t="s">
        <v>14</v>
      </c>
      <c r="H451" s="1">
        <v>3</v>
      </c>
      <c r="I451" s="1">
        <v>3755</v>
      </c>
      <c r="J451" t="s">
        <v>9</v>
      </c>
      <c r="K451" s="1">
        <v>11</v>
      </c>
      <c r="L451" s="1">
        <v>3</v>
      </c>
      <c r="M451" s="1">
        <v>8</v>
      </c>
      <c r="N451" s="1">
        <v>3</v>
      </c>
      <c r="O451" s="1">
        <v>8</v>
      </c>
      <c r="P451" s="1">
        <f>COUNTIF(HR_Data[Employee Number],HR_Data[[#This Row],[Employee Number]])</f>
        <v>1</v>
      </c>
      <c r="Q451" s="1" t="str">
        <f>IF(HR_Data[[#This Row],[Years At Company]]&lt;=HR_Data[[#This Row],[Total Working Years]],"Valid","error")</f>
        <v>Valid</v>
      </c>
      <c r="R451" s="1" t="str" cm="1">
        <f t="array" ref="R451">_xlfn.IFS(HR_Data[[#This Row],[Age]]&lt;=30,"Young", HR_Data[[#This Row],[Age]]&lt;=45,"Mid-Age",HR_Data[[#This Row],[Age]]&gt;45,"Senior")</f>
        <v>Mid-Age</v>
      </c>
      <c r="S451" s="1" t="str" cm="1">
        <f t="array" ref="S451">_xlfn.IFS(HR_Data[[#This Row],[Monthly Income]]&lt;5000,"Low", HR_Data[[#This Row],[Monthly Income]]&lt;10000,"Medium",TRUE,"High")</f>
        <v>Low</v>
      </c>
      <c r="T451" s="1" t="str" cm="1">
        <f t="array" ref="T451">_xlfn.IFS(HR_Data[[#This Row],[Total Working Years]]&lt;=5,"Junior", HR_Data[[#This Row],[Total Working Years]]&lt;=15,"Mid-Level", TRUE, "Senior")</f>
        <v>Mid-Level</v>
      </c>
    </row>
    <row r="452" spans="1:20" x14ac:dyDescent="0.25">
      <c r="A452" s="1">
        <v>604</v>
      </c>
      <c r="B452" s="1">
        <v>31</v>
      </c>
      <c r="C452" t="s">
        <v>9</v>
      </c>
      <c r="D452" t="s">
        <v>5</v>
      </c>
      <c r="E452" t="s">
        <v>6</v>
      </c>
      <c r="F452" t="s">
        <v>11</v>
      </c>
      <c r="G452" t="s">
        <v>8</v>
      </c>
      <c r="H452" s="1">
        <v>4</v>
      </c>
      <c r="I452" s="1">
        <v>6582</v>
      </c>
      <c r="J452" t="s">
        <v>4</v>
      </c>
      <c r="K452" s="1">
        <v>13</v>
      </c>
      <c r="L452" s="1">
        <v>3</v>
      </c>
      <c r="M452" s="1">
        <v>10</v>
      </c>
      <c r="N452" s="1">
        <v>4</v>
      </c>
      <c r="O452" s="1">
        <v>6</v>
      </c>
      <c r="P452" s="1">
        <f>COUNTIF(HR_Data[Employee Number],HR_Data[[#This Row],[Employee Number]])</f>
        <v>1</v>
      </c>
      <c r="Q452" s="1" t="str">
        <f>IF(HR_Data[[#This Row],[Years At Company]]&lt;=HR_Data[[#This Row],[Total Working Years]],"Valid","error")</f>
        <v>Valid</v>
      </c>
      <c r="R452" s="1" t="str" cm="1">
        <f t="array" ref="R452">_xlfn.IFS(HR_Data[[#This Row],[Age]]&lt;=30,"Young", HR_Data[[#This Row],[Age]]&lt;=45,"Mid-Age",HR_Data[[#This Row],[Age]]&gt;45,"Senior")</f>
        <v>Mid-Age</v>
      </c>
      <c r="S452" s="1" t="str" cm="1">
        <f t="array" ref="S452">_xlfn.IFS(HR_Data[[#This Row],[Monthly Income]]&lt;5000,"Low", HR_Data[[#This Row],[Monthly Income]]&lt;10000,"Medium",TRUE,"High")</f>
        <v>Medium</v>
      </c>
      <c r="T452" s="1" t="str" cm="1">
        <f t="array" ref="T452">_xlfn.IFS(HR_Data[[#This Row],[Total Working Years]]&lt;=5,"Junior", HR_Data[[#This Row],[Total Working Years]]&lt;=15,"Mid-Level", TRUE, "Senior")</f>
        <v>Mid-Level</v>
      </c>
    </row>
    <row r="453" spans="1:20" x14ac:dyDescent="0.25">
      <c r="A453" s="1">
        <v>605</v>
      </c>
      <c r="B453" s="1">
        <v>42</v>
      </c>
      <c r="C453" t="s">
        <v>9</v>
      </c>
      <c r="D453" t="s">
        <v>10</v>
      </c>
      <c r="E453" t="s">
        <v>15</v>
      </c>
      <c r="F453" t="s">
        <v>11</v>
      </c>
      <c r="G453" t="s">
        <v>16</v>
      </c>
      <c r="H453" s="1">
        <v>1</v>
      </c>
      <c r="I453" s="1">
        <v>7406</v>
      </c>
      <c r="J453" t="s">
        <v>4</v>
      </c>
      <c r="K453" s="1">
        <v>21</v>
      </c>
      <c r="L453" s="1">
        <v>4</v>
      </c>
      <c r="M453" s="1">
        <v>10</v>
      </c>
      <c r="N453" s="1">
        <v>2</v>
      </c>
      <c r="O453" s="1">
        <v>10</v>
      </c>
      <c r="P453" s="1">
        <f>COUNTIF(HR_Data[Employee Number],HR_Data[[#This Row],[Employee Number]])</f>
        <v>1</v>
      </c>
      <c r="Q453" s="1" t="str">
        <f>IF(HR_Data[[#This Row],[Years At Company]]&lt;=HR_Data[[#This Row],[Total Working Years]],"Valid","error")</f>
        <v>Valid</v>
      </c>
      <c r="R453" s="1" t="str" cm="1">
        <f t="array" ref="R453">_xlfn.IFS(HR_Data[[#This Row],[Age]]&lt;=30,"Young", HR_Data[[#This Row],[Age]]&lt;=45,"Mid-Age",HR_Data[[#This Row],[Age]]&gt;45,"Senior")</f>
        <v>Mid-Age</v>
      </c>
      <c r="S453" s="1" t="str" cm="1">
        <f t="array" ref="S453">_xlfn.IFS(HR_Data[[#This Row],[Monthly Income]]&lt;5000,"Low", HR_Data[[#This Row],[Monthly Income]]&lt;10000,"Medium",TRUE,"High")</f>
        <v>Medium</v>
      </c>
      <c r="T453" s="1" t="str" cm="1">
        <f t="array" ref="T453">_xlfn.IFS(HR_Data[[#This Row],[Total Working Years]]&lt;=5,"Junior", HR_Data[[#This Row],[Total Working Years]]&lt;=15,"Mid-Level", TRUE, "Senior")</f>
        <v>Mid-Level</v>
      </c>
    </row>
    <row r="454" spans="1:20" x14ac:dyDescent="0.25">
      <c r="A454" s="1">
        <v>606</v>
      </c>
      <c r="B454" s="1">
        <v>45</v>
      </c>
      <c r="C454" t="s">
        <v>9</v>
      </c>
      <c r="D454" t="s">
        <v>5</v>
      </c>
      <c r="E454" t="s">
        <v>13</v>
      </c>
      <c r="F454" t="s">
        <v>11</v>
      </c>
      <c r="G454" t="s">
        <v>8</v>
      </c>
      <c r="H454" s="1">
        <v>2</v>
      </c>
      <c r="I454" s="1">
        <v>4805</v>
      </c>
      <c r="J454" t="s">
        <v>9</v>
      </c>
      <c r="K454" s="1">
        <v>19</v>
      </c>
      <c r="L454" s="1">
        <v>3</v>
      </c>
      <c r="M454" s="1">
        <v>9</v>
      </c>
      <c r="N454" s="1">
        <v>4</v>
      </c>
      <c r="O454" s="1">
        <v>8</v>
      </c>
      <c r="P454" s="1">
        <f>COUNTIF(HR_Data[Employee Number],HR_Data[[#This Row],[Employee Number]])</f>
        <v>1</v>
      </c>
      <c r="Q454" s="1" t="str">
        <f>IF(HR_Data[[#This Row],[Years At Company]]&lt;=HR_Data[[#This Row],[Total Working Years]],"Valid","error")</f>
        <v>Valid</v>
      </c>
      <c r="R454" s="1" t="str" cm="1">
        <f t="array" ref="R454">_xlfn.IFS(HR_Data[[#This Row],[Age]]&lt;=30,"Young", HR_Data[[#This Row],[Age]]&lt;=45,"Mid-Age",HR_Data[[#This Row],[Age]]&gt;45,"Senior")</f>
        <v>Mid-Age</v>
      </c>
      <c r="S454" s="1" t="str" cm="1">
        <f t="array" ref="S454">_xlfn.IFS(HR_Data[[#This Row],[Monthly Income]]&lt;5000,"Low", HR_Data[[#This Row],[Monthly Income]]&lt;10000,"Medium",TRUE,"High")</f>
        <v>Low</v>
      </c>
      <c r="T454" s="1" t="str" cm="1">
        <f t="array" ref="T454">_xlfn.IFS(HR_Data[[#This Row],[Total Working Years]]&lt;=5,"Junior", HR_Data[[#This Row],[Total Working Years]]&lt;=15,"Mid-Level", TRUE, "Senior")</f>
        <v>Mid-Level</v>
      </c>
    </row>
    <row r="455" spans="1:20" x14ac:dyDescent="0.25">
      <c r="A455" s="1">
        <v>608</v>
      </c>
      <c r="B455" s="1">
        <v>26</v>
      </c>
      <c r="C455" t="s">
        <v>4</v>
      </c>
      <c r="D455" t="s">
        <v>23</v>
      </c>
      <c r="E455" t="s">
        <v>6</v>
      </c>
      <c r="F455" t="s">
        <v>7</v>
      </c>
      <c r="G455" t="s">
        <v>23</v>
      </c>
      <c r="H455" s="1">
        <v>3</v>
      </c>
      <c r="I455" s="1">
        <v>2741</v>
      </c>
      <c r="J455" t="s">
        <v>4</v>
      </c>
      <c r="K455" s="1">
        <v>11</v>
      </c>
      <c r="L455" s="1">
        <v>3</v>
      </c>
      <c r="M455" s="1">
        <v>8</v>
      </c>
      <c r="N455" s="1">
        <v>2</v>
      </c>
      <c r="O455" s="1">
        <v>7</v>
      </c>
      <c r="P455" s="1">
        <f>COUNTIF(HR_Data[Employee Number],HR_Data[[#This Row],[Employee Number]])</f>
        <v>1</v>
      </c>
      <c r="Q455" s="1" t="str">
        <f>IF(HR_Data[[#This Row],[Years At Company]]&lt;=HR_Data[[#This Row],[Total Working Years]],"Valid","error")</f>
        <v>Valid</v>
      </c>
      <c r="R455" s="1" t="str" cm="1">
        <f t="array" ref="R455">_xlfn.IFS(HR_Data[[#This Row],[Age]]&lt;=30,"Young", HR_Data[[#This Row],[Age]]&lt;=45,"Mid-Age",HR_Data[[#This Row],[Age]]&gt;45,"Senior")</f>
        <v>Young</v>
      </c>
      <c r="S455" s="1" t="str" cm="1">
        <f t="array" ref="S455">_xlfn.IFS(HR_Data[[#This Row],[Monthly Income]]&lt;5000,"Low", HR_Data[[#This Row],[Monthly Income]]&lt;10000,"Medium",TRUE,"High")</f>
        <v>Low</v>
      </c>
      <c r="T455" s="1" t="str" cm="1">
        <f t="array" ref="T455">_xlfn.IFS(HR_Data[[#This Row],[Total Working Years]]&lt;=5,"Junior", HR_Data[[#This Row],[Total Working Years]]&lt;=15,"Mid-Level", TRUE, "Senior")</f>
        <v>Mid-Level</v>
      </c>
    </row>
    <row r="456" spans="1:20" x14ac:dyDescent="0.25">
      <c r="A456" s="1">
        <v>611</v>
      </c>
      <c r="B456" s="1">
        <v>29</v>
      </c>
      <c r="C456" t="s">
        <v>9</v>
      </c>
      <c r="D456" t="s">
        <v>10</v>
      </c>
      <c r="E456" t="s">
        <v>22</v>
      </c>
      <c r="F456" t="s">
        <v>11</v>
      </c>
      <c r="G456" t="s">
        <v>16</v>
      </c>
      <c r="H456" s="1">
        <v>4</v>
      </c>
      <c r="I456" s="1">
        <v>4262</v>
      </c>
      <c r="J456" t="s">
        <v>9</v>
      </c>
      <c r="K456" s="1">
        <v>12</v>
      </c>
      <c r="L456" s="1">
        <v>3</v>
      </c>
      <c r="M456" s="1">
        <v>8</v>
      </c>
      <c r="N456" s="1">
        <v>4</v>
      </c>
      <c r="O456" s="1">
        <v>3</v>
      </c>
      <c r="P456" s="1">
        <f>COUNTIF(HR_Data[Employee Number],HR_Data[[#This Row],[Employee Number]])</f>
        <v>1</v>
      </c>
      <c r="Q456" s="1" t="str">
        <f>IF(HR_Data[[#This Row],[Years At Company]]&lt;=HR_Data[[#This Row],[Total Working Years]],"Valid","error")</f>
        <v>Valid</v>
      </c>
      <c r="R456" s="1" t="str" cm="1">
        <f t="array" ref="R456">_xlfn.IFS(HR_Data[[#This Row],[Age]]&lt;=30,"Young", HR_Data[[#This Row],[Age]]&lt;=45,"Mid-Age",HR_Data[[#This Row],[Age]]&gt;45,"Senior")</f>
        <v>Young</v>
      </c>
      <c r="S456" s="1" t="str" cm="1">
        <f t="array" ref="S456">_xlfn.IFS(HR_Data[[#This Row],[Monthly Income]]&lt;5000,"Low", HR_Data[[#This Row],[Monthly Income]]&lt;10000,"Medium",TRUE,"High")</f>
        <v>Low</v>
      </c>
      <c r="T456" s="1" t="str" cm="1">
        <f t="array" ref="T456">_xlfn.IFS(HR_Data[[#This Row],[Total Working Years]]&lt;=5,"Junior", HR_Data[[#This Row],[Total Working Years]]&lt;=15,"Mid-Level", TRUE, "Senior")</f>
        <v>Mid-Level</v>
      </c>
    </row>
    <row r="457" spans="1:20" x14ac:dyDescent="0.25">
      <c r="A457" s="1">
        <v>612</v>
      </c>
      <c r="B457" s="1">
        <v>33</v>
      </c>
      <c r="C457" t="s">
        <v>9</v>
      </c>
      <c r="D457" t="s">
        <v>10</v>
      </c>
      <c r="E457" t="s">
        <v>15</v>
      </c>
      <c r="F457" t="s">
        <v>7</v>
      </c>
      <c r="G457" t="s">
        <v>20</v>
      </c>
      <c r="H457" s="1">
        <v>3</v>
      </c>
      <c r="I457" s="1">
        <v>16184</v>
      </c>
      <c r="J457" t="s">
        <v>9</v>
      </c>
      <c r="K457" s="1">
        <v>19</v>
      </c>
      <c r="L457" s="1">
        <v>3</v>
      </c>
      <c r="M457" s="1">
        <v>10</v>
      </c>
      <c r="N457" s="1">
        <v>3</v>
      </c>
      <c r="O457" s="1">
        <v>6</v>
      </c>
      <c r="P457" s="1">
        <f>COUNTIF(HR_Data[Employee Number],HR_Data[[#This Row],[Employee Number]])</f>
        <v>1</v>
      </c>
      <c r="Q457" s="1" t="str">
        <f>IF(HR_Data[[#This Row],[Years At Company]]&lt;=HR_Data[[#This Row],[Total Working Years]],"Valid","error")</f>
        <v>Valid</v>
      </c>
      <c r="R457" s="1" t="str" cm="1">
        <f t="array" ref="R457">_xlfn.IFS(HR_Data[[#This Row],[Age]]&lt;=30,"Young", HR_Data[[#This Row],[Age]]&lt;=45,"Mid-Age",HR_Data[[#This Row],[Age]]&gt;45,"Senior")</f>
        <v>Mid-Age</v>
      </c>
      <c r="S457" s="1" t="str" cm="1">
        <f t="array" ref="S457">_xlfn.IFS(HR_Data[[#This Row],[Monthly Income]]&lt;5000,"Low", HR_Data[[#This Row],[Monthly Income]]&lt;10000,"Medium",TRUE,"High")</f>
        <v>High</v>
      </c>
      <c r="T457" s="1" t="str" cm="1">
        <f t="array" ref="T457">_xlfn.IFS(HR_Data[[#This Row],[Total Working Years]]&lt;=5,"Junior", HR_Data[[#This Row],[Total Working Years]]&lt;=15,"Mid-Level", TRUE, "Senior")</f>
        <v>Mid-Level</v>
      </c>
    </row>
    <row r="458" spans="1:20" x14ac:dyDescent="0.25">
      <c r="A458" s="1">
        <v>613</v>
      </c>
      <c r="B458" s="1">
        <v>31</v>
      </c>
      <c r="C458" t="s">
        <v>9</v>
      </c>
      <c r="D458" t="s">
        <v>5</v>
      </c>
      <c r="E458" t="s">
        <v>6</v>
      </c>
      <c r="F458" t="s">
        <v>11</v>
      </c>
      <c r="G458" t="s">
        <v>18</v>
      </c>
      <c r="H458" s="1">
        <v>4</v>
      </c>
      <c r="I458" s="1">
        <v>11557</v>
      </c>
      <c r="J458" t="s">
        <v>9</v>
      </c>
      <c r="K458" s="1">
        <v>21</v>
      </c>
      <c r="L458" s="1">
        <v>4</v>
      </c>
      <c r="M458" s="1">
        <v>10</v>
      </c>
      <c r="N458" s="1">
        <v>2</v>
      </c>
      <c r="O458" s="1">
        <v>5</v>
      </c>
      <c r="P458" s="1">
        <f>COUNTIF(HR_Data[Employee Number],HR_Data[[#This Row],[Employee Number]])</f>
        <v>1</v>
      </c>
      <c r="Q458" s="1" t="str">
        <f>IF(HR_Data[[#This Row],[Years At Company]]&lt;=HR_Data[[#This Row],[Total Working Years]],"Valid","error")</f>
        <v>Valid</v>
      </c>
      <c r="R458" s="1" t="str" cm="1">
        <f t="array" ref="R458">_xlfn.IFS(HR_Data[[#This Row],[Age]]&lt;=30,"Young", HR_Data[[#This Row],[Age]]&lt;=45,"Mid-Age",HR_Data[[#This Row],[Age]]&gt;45,"Senior")</f>
        <v>Mid-Age</v>
      </c>
      <c r="S458" s="1" t="str" cm="1">
        <f t="array" ref="S458">_xlfn.IFS(HR_Data[[#This Row],[Monthly Income]]&lt;5000,"Low", HR_Data[[#This Row],[Monthly Income]]&lt;10000,"Medium",TRUE,"High")</f>
        <v>High</v>
      </c>
      <c r="T458" s="1" t="str" cm="1">
        <f t="array" ref="T458">_xlfn.IFS(HR_Data[[#This Row],[Total Working Years]]&lt;=5,"Junior", HR_Data[[#This Row],[Total Working Years]]&lt;=15,"Mid-Level", TRUE, "Senior")</f>
        <v>Mid-Level</v>
      </c>
    </row>
    <row r="459" spans="1:20" x14ac:dyDescent="0.25">
      <c r="A459" s="1">
        <v>614</v>
      </c>
      <c r="B459" s="1">
        <v>18</v>
      </c>
      <c r="C459" t="s">
        <v>4</v>
      </c>
      <c r="D459" t="s">
        <v>5</v>
      </c>
      <c r="E459" t="s">
        <v>21</v>
      </c>
      <c r="F459" t="s">
        <v>11</v>
      </c>
      <c r="G459" t="s">
        <v>19</v>
      </c>
      <c r="H459" s="1">
        <v>2</v>
      </c>
      <c r="I459" s="1">
        <v>1878</v>
      </c>
      <c r="J459" t="s">
        <v>4</v>
      </c>
      <c r="K459" s="1">
        <v>14</v>
      </c>
      <c r="L459" s="1">
        <v>3</v>
      </c>
      <c r="M459" s="1">
        <v>0</v>
      </c>
      <c r="N459" s="1">
        <v>3</v>
      </c>
      <c r="O459" s="1">
        <v>0</v>
      </c>
      <c r="P459" s="1">
        <f>COUNTIF(HR_Data[Employee Number],HR_Data[[#This Row],[Employee Number]])</f>
        <v>1</v>
      </c>
      <c r="Q459" s="1" t="str">
        <f>IF(HR_Data[[#This Row],[Years At Company]]&lt;=HR_Data[[#This Row],[Total Working Years]],"Valid","error")</f>
        <v>Valid</v>
      </c>
      <c r="R459" s="1" t="str" cm="1">
        <f t="array" ref="R459">_xlfn.IFS(HR_Data[[#This Row],[Age]]&lt;=30,"Young", HR_Data[[#This Row],[Age]]&lt;=45,"Mid-Age",HR_Data[[#This Row],[Age]]&gt;45,"Senior")</f>
        <v>Young</v>
      </c>
      <c r="S459" s="1" t="str" cm="1">
        <f t="array" ref="S459">_xlfn.IFS(HR_Data[[#This Row],[Monthly Income]]&lt;5000,"Low", HR_Data[[#This Row],[Monthly Income]]&lt;10000,"Medium",TRUE,"High")</f>
        <v>Low</v>
      </c>
      <c r="T459" s="1" t="str" cm="1">
        <f t="array" ref="T459">_xlfn.IFS(HR_Data[[#This Row],[Total Working Years]]&lt;=5,"Junior", HR_Data[[#This Row],[Total Working Years]]&lt;=15,"Mid-Level", TRUE, "Senior")</f>
        <v>Junior</v>
      </c>
    </row>
    <row r="460" spans="1:20" x14ac:dyDescent="0.25">
      <c r="A460" s="1">
        <v>615</v>
      </c>
      <c r="B460" s="1">
        <v>40</v>
      </c>
      <c r="C460" t="s">
        <v>9</v>
      </c>
      <c r="D460" t="s">
        <v>5</v>
      </c>
      <c r="E460" t="s">
        <v>13</v>
      </c>
      <c r="F460" t="s">
        <v>11</v>
      </c>
      <c r="G460" t="s">
        <v>8</v>
      </c>
      <c r="H460" s="1">
        <v>1</v>
      </c>
      <c r="I460" s="1">
        <v>10932</v>
      </c>
      <c r="J460" t="s">
        <v>9</v>
      </c>
      <c r="K460" s="1">
        <v>15</v>
      </c>
      <c r="L460" s="1">
        <v>3</v>
      </c>
      <c r="M460" s="1">
        <v>20</v>
      </c>
      <c r="N460" s="1">
        <v>3</v>
      </c>
      <c r="O460" s="1">
        <v>1</v>
      </c>
      <c r="P460" s="1">
        <f>COUNTIF(HR_Data[Employee Number],HR_Data[[#This Row],[Employee Number]])</f>
        <v>1</v>
      </c>
      <c r="Q460" s="1" t="str">
        <f>IF(HR_Data[[#This Row],[Years At Company]]&lt;=HR_Data[[#This Row],[Total Working Years]],"Valid","error")</f>
        <v>Valid</v>
      </c>
      <c r="R460" s="1" t="str" cm="1">
        <f t="array" ref="R460">_xlfn.IFS(HR_Data[[#This Row],[Age]]&lt;=30,"Young", HR_Data[[#This Row],[Age]]&lt;=45,"Mid-Age",HR_Data[[#This Row],[Age]]&gt;45,"Senior")</f>
        <v>Mid-Age</v>
      </c>
      <c r="S460" s="1" t="str" cm="1">
        <f t="array" ref="S460">_xlfn.IFS(HR_Data[[#This Row],[Monthly Income]]&lt;5000,"Low", HR_Data[[#This Row],[Monthly Income]]&lt;10000,"Medium",TRUE,"High")</f>
        <v>High</v>
      </c>
      <c r="T460" s="1" t="str" cm="1">
        <f t="array" ref="T460">_xlfn.IFS(HR_Data[[#This Row],[Total Working Years]]&lt;=5,"Junior", HR_Data[[#This Row],[Total Working Years]]&lt;=15,"Mid-Level", TRUE, "Senior")</f>
        <v>Senior</v>
      </c>
    </row>
    <row r="461" spans="1:20" x14ac:dyDescent="0.25">
      <c r="A461" s="1">
        <v>616</v>
      </c>
      <c r="B461" s="1">
        <v>41</v>
      </c>
      <c r="C461" t="s">
        <v>9</v>
      </c>
      <c r="D461" t="s">
        <v>10</v>
      </c>
      <c r="E461" t="s">
        <v>13</v>
      </c>
      <c r="F461" t="s">
        <v>7</v>
      </c>
      <c r="G461" t="s">
        <v>17</v>
      </c>
      <c r="H461" s="1">
        <v>3</v>
      </c>
      <c r="I461" s="1">
        <v>6811</v>
      </c>
      <c r="J461" t="s">
        <v>4</v>
      </c>
      <c r="K461" s="1">
        <v>17</v>
      </c>
      <c r="L461" s="1">
        <v>3</v>
      </c>
      <c r="M461" s="1">
        <v>10</v>
      </c>
      <c r="N461" s="1">
        <v>3</v>
      </c>
      <c r="O461" s="1">
        <v>8</v>
      </c>
      <c r="P461" s="1">
        <f>COUNTIF(HR_Data[Employee Number],HR_Data[[#This Row],[Employee Number]])</f>
        <v>1</v>
      </c>
      <c r="Q461" s="1" t="str">
        <f>IF(HR_Data[[#This Row],[Years At Company]]&lt;=HR_Data[[#This Row],[Total Working Years]],"Valid","error")</f>
        <v>Valid</v>
      </c>
      <c r="R461" s="1" t="str" cm="1">
        <f t="array" ref="R461">_xlfn.IFS(HR_Data[[#This Row],[Age]]&lt;=30,"Young", HR_Data[[#This Row],[Age]]&lt;=45,"Mid-Age",HR_Data[[#This Row],[Age]]&gt;45,"Senior")</f>
        <v>Mid-Age</v>
      </c>
      <c r="S461" s="1" t="str" cm="1">
        <f t="array" ref="S461">_xlfn.IFS(HR_Data[[#This Row],[Monthly Income]]&lt;5000,"Low", HR_Data[[#This Row],[Monthly Income]]&lt;10000,"Medium",TRUE,"High")</f>
        <v>Medium</v>
      </c>
      <c r="T461" s="1" t="str" cm="1">
        <f t="array" ref="T461">_xlfn.IFS(HR_Data[[#This Row],[Total Working Years]]&lt;=5,"Junior", HR_Data[[#This Row],[Total Working Years]]&lt;=15,"Mid-Level", TRUE, "Senior")</f>
        <v>Mid-Level</v>
      </c>
    </row>
    <row r="462" spans="1:20" x14ac:dyDescent="0.25">
      <c r="A462" s="1">
        <v>618</v>
      </c>
      <c r="B462" s="1">
        <v>26</v>
      </c>
      <c r="C462" t="s">
        <v>9</v>
      </c>
      <c r="D462" t="s">
        <v>5</v>
      </c>
      <c r="E462" t="s">
        <v>15</v>
      </c>
      <c r="F462" t="s">
        <v>11</v>
      </c>
      <c r="G462" t="s">
        <v>8</v>
      </c>
      <c r="H462" s="1">
        <v>3</v>
      </c>
      <c r="I462" s="1">
        <v>4306</v>
      </c>
      <c r="J462" t="s">
        <v>9</v>
      </c>
      <c r="K462" s="1">
        <v>12</v>
      </c>
      <c r="L462" s="1">
        <v>3</v>
      </c>
      <c r="M462" s="1">
        <v>8</v>
      </c>
      <c r="N462" s="1">
        <v>3</v>
      </c>
      <c r="O462" s="1">
        <v>0</v>
      </c>
      <c r="P462" s="1">
        <f>COUNTIF(HR_Data[Employee Number],HR_Data[[#This Row],[Employee Number]])</f>
        <v>1</v>
      </c>
      <c r="Q462" s="1" t="str">
        <f>IF(HR_Data[[#This Row],[Years At Company]]&lt;=HR_Data[[#This Row],[Total Working Years]],"Valid","error")</f>
        <v>Valid</v>
      </c>
      <c r="R462" s="1" t="str" cm="1">
        <f t="array" ref="R462">_xlfn.IFS(HR_Data[[#This Row],[Age]]&lt;=30,"Young", HR_Data[[#This Row],[Age]]&lt;=45,"Mid-Age",HR_Data[[#This Row],[Age]]&gt;45,"Senior")</f>
        <v>Young</v>
      </c>
      <c r="S462" s="1" t="str" cm="1">
        <f t="array" ref="S462">_xlfn.IFS(HR_Data[[#This Row],[Monthly Income]]&lt;5000,"Low", HR_Data[[#This Row],[Monthly Income]]&lt;10000,"Medium",TRUE,"High")</f>
        <v>Low</v>
      </c>
      <c r="T462" s="1" t="str" cm="1">
        <f t="array" ref="T462">_xlfn.IFS(HR_Data[[#This Row],[Total Working Years]]&lt;=5,"Junior", HR_Data[[#This Row],[Total Working Years]]&lt;=15,"Mid-Level", TRUE, "Senior")</f>
        <v>Mid-Level</v>
      </c>
    </row>
    <row r="463" spans="1:20" x14ac:dyDescent="0.25">
      <c r="A463" s="1">
        <v>620</v>
      </c>
      <c r="B463" s="1">
        <v>35</v>
      </c>
      <c r="C463" t="s">
        <v>9</v>
      </c>
      <c r="D463" t="s">
        <v>5</v>
      </c>
      <c r="E463" t="s">
        <v>15</v>
      </c>
      <c r="F463" t="s">
        <v>7</v>
      </c>
      <c r="G463" t="s">
        <v>8</v>
      </c>
      <c r="H463" s="1">
        <v>3</v>
      </c>
      <c r="I463" s="1">
        <v>4859</v>
      </c>
      <c r="J463" t="s">
        <v>9</v>
      </c>
      <c r="K463" s="1">
        <v>16</v>
      </c>
      <c r="L463" s="1">
        <v>3</v>
      </c>
      <c r="M463" s="1">
        <v>5</v>
      </c>
      <c r="N463" s="1">
        <v>3</v>
      </c>
      <c r="O463" s="1">
        <v>5</v>
      </c>
      <c r="P463" s="1">
        <f>COUNTIF(HR_Data[Employee Number],HR_Data[[#This Row],[Employee Number]])</f>
        <v>1</v>
      </c>
      <c r="Q463" s="1" t="str">
        <f>IF(HR_Data[[#This Row],[Years At Company]]&lt;=HR_Data[[#This Row],[Total Working Years]],"Valid","error")</f>
        <v>Valid</v>
      </c>
      <c r="R463" s="1" t="str" cm="1">
        <f t="array" ref="R463">_xlfn.IFS(HR_Data[[#This Row],[Age]]&lt;=30,"Young", HR_Data[[#This Row],[Age]]&lt;=45,"Mid-Age",HR_Data[[#This Row],[Age]]&gt;45,"Senior")</f>
        <v>Mid-Age</v>
      </c>
      <c r="S463" s="1" t="str" cm="1">
        <f t="array" ref="S463">_xlfn.IFS(HR_Data[[#This Row],[Monthly Income]]&lt;5000,"Low", HR_Data[[#This Row],[Monthly Income]]&lt;10000,"Medium",TRUE,"High")</f>
        <v>Low</v>
      </c>
      <c r="T463" s="1" t="str" cm="1">
        <f t="array" ref="T463">_xlfn.IFS(HR_Data[[#This Row],[Total Working Years]]&lt;=5,"Junior", HR_Data[[#This Row],[Total Working Years]]&lt;=15,"Mid-Level", TRUE, "Senior")</f>
        <v>Junior</v>
      </c>
    </row>
    <row r="464" spans="1:20" x14ac:dyDescent="0.25">
      <c r="A464" s="1">
        <v>621</v>
      </c>
      <c r="B464" s="1">
        <v>34</v>
      </c>
      <c r="C464" t="s">
        <v>9</v>
      </c>
      <c r="D464" t="s">
        <v>5</v>
      </c>
      <c r="E464" t="s">
        <v>6</v>
      </c>
      <c r="F464" t="s">
        <v>11</v>
      </c>
      <c r="G464" t="s">
        <v>8</v>
      </c>
      <c r="H464" s="1">
        <v>4</v>
      </c>
      <c r="I464" s="1">
        <v>5337</v>
      </c>
      <c r="J464" t="s">
        <v>9</v>
      </c>
      <c r="K464" s="1">
        <v>12</v>
      </c>
      <c r="L464" s="1">
        <v>3</v>
      </c>
      <c r="M464" s="1">
        <v>10</v>
      </c>
      <c r="N464" s="1">
        <v>3</v>
      </c>
      <c r="O464" s="1">
        <v>10</v>
      </c>
      <c r="P464" s="1">
        <f>COUNTIF(HR_Data[Employee Number],HR_Data[[#This Row],[Employee Number]])</f>
        <v>1</v>
      </c>
      <c r="Q464" s="1" t="str">
        <f>IF(HR_Data[[#This Row],[Years At Company]]&lt;=HR_Data[[#This Row],[Total Working Years]],"Valid","error")</f>
        <v>Valid</v>
      </c>
      <c r="R464" s="1" t="str" cm="1">
        <f t="array" ref="R464">_xlfn.IFS(HR_Data[[#This Row],[Age]]&lt;=30,"Young", HR_Data[[#This Row],[Age]]&lt;=45,"Mid-Age",HR_Data[[#This Row],[Age]]&gt;45,"Senior")</f>
        <v>Mid-Age</v>
      </c>
      <c r="S464" s="1" t="str" cm="1">
        <f t="array" ref="S464">_xlfn.IFS(HR_Data[[#This Row],[Monthly Income]]&lt;5000,"Low", HR_Data[[#This Row],[Monthly Income]]&lt;10000,"Medium",TRUE,"High")</f>
        <v>Medium</v>
      </c>
      <c r="T464" s="1" t="str" cm="1">
        <f t="array" ref="T464">_xlfn.IFS(HR_Data[[#This Row],[Total Working Years]]&lt;=5,"Junior", HR_Data[[#This Row],[Total Working Years]]&lt;=15,"Mid-Level", TRUE, "Senior")</f>
        <v>Mid-Level</v>
      </c>
    </row>
    <row r="465" spans="1:20" x14ac:dyDescent="0.25">
      <c r="A465" s="1">
        <v>622</v>
      </c>
      <c r="B465" s="1">
        <v>26</v>
      </c>
      <c r="C465" t="s">
        <v>4</v>
      </c>
      <c r="D465" t="s">
        <v>10</v>
      </c>
      <c r="E465" t="s">
        <v>22</v>
      </c>
      <c r="F465" t="s">
        <v>11</v>
      </c>
      <c r="G465" t="s">
        <v>14</v>
      </c>
      <c r="H465" s="1">
        <v>4</v>
      </c>
      <c r="I465" s="1">
        <v>2340</v>
      </c>
      <c r="J465" t="s">
        <v>4</v>
      </c>
      <c r="K465" s="1">
        <v>18</v>
      </c>
      <c r="L465" s="1">
        <v>3</v>
      </c>
      <c r="M465" s="1">
        <v>1</v>
      </c>
      <c r="N465" s="1">
        <v>1</v>
      </c>
      <c r="O465" s="1">
        <v>1</v>
      </c>
      <c r="P465" s="1">
        <f>COUNTIF(HR_Data[Employee Number],HR_Data[[#This Row],[Employee Number]])</f>
        <v>1</v>
      </c>
      <c r="Q465" s="1" t="str">
        <f>IF(HR_Data[[#This Row],[Years At Company]]&lt;=HR_Data[[#This Row],[Total Working Years]],"Valid","error")</f>
        <v>Valid</v>
      </c>
      <c r="R465" s="1" t="str" cm="1">
        <f t="array" ref="R465">_xlfn.IFS(HR_Data[[#This Row],[Age]]&lt;=30,"Young", HR_Data[[#This Row],[Age]]&lt;=45,"Mid-Age",HR_Data[[#This Row],[Age]]&gt;45,"Senior")</f>
        <v>Young</v>
      </c>
      <c r="S465" s="1" t="str" cm="1">
        <f t="array" ref="S465">_xlfn.IFS(HR_Data[[#This Row],[Monthly Income]]&lt;5000,"Low", HR_Data[[#This Row],[Monthly Income]]&lt;10000,"Medium",TRUE,"High")</f>
        <v>Low</v>
      </c>
      <c r="T465" s="1" t="str" cm="1">
        <f t="array" ref="T465">_xlfn.IFS(HR_Data[[#This Row],[Total Working Years]]&lt;=5,"Junior", HR_Data[[#This Row],[Total Working Years]]&lt;=15,"Mid-Level", TRUE, "Senior")</f>
        <v>Junior</v>
      </c>
    </row>
    <row r="466" spans="1:20" x14ac:dyDescent="0.25">
      <c r="A466" s="1">
        <v>623</v>
      </c>
      <c r="B466" s="1">
        <v>37</v>
      </c>
      <c r="C466" t="s">
        <v>9</v>
      </c>
      <c r="D466" t="s">
        <v>10</v>
      </c>
      <c r="E466" t="s">
        <v>22</v>
      </c>
      <c r="F466" t="s">
        <v>7</v>
      </c>
      <c r="G466" t="s">
        <v>16</v>
      </c>
      <c r="H466" s="1">
        <v>4</v>
      </c>
      <c r="I466" s="1">
        <v>7491</v>
      </c>
      <c r="J466" t="s">
        <v>9</v>
      </c>
      <c r="K466" s="1">
        <v>17</v>
      </c>
      <c r="L466" s="1">
        <v>3</v>
      </c>
      <c r="M466" s="1">
        <v>12</v>
      </c>
      <c r="N466" s="1">
        <v>4</v>
      </c>
      <c r="O466" s="1">
        <v>6</v>
      </c>
      <c r="P466" s="1">
        <f>COUNTIF(HR_Data[Employee Number],HR_Data[[#This Row],[Employee Number]])</f>
        <v>1</v>
      </c>
      <c r="Q466" s="1" t="str">
        <f>IF(HR_Data[[#This Row],[Years At Company]]&lt;=HR_Data[[#This Row],[Total Working Years]],"Valid","error")</f>
        <v>Valid</v>
      </c>
      <c r="R466" s="1" t="str" cm="1">
        <f t="array" ref="R466">_xlfn.IFS(HR_Data[[#This Row],[Age]]&lt;=30,"Young", HR_Data[[#This Row],[Age]]&lt;=45,"Mid-Age",HR_Data[[#This Row],[Age]]&gt;45,"Senior")</f>
        <v>Mid-Age</v>
      </c>
      <c r="S466" s="1" t="str" cm="1">
        <f t="array" ref="S466">_xlfn.IFS(HR_Data[[#This Row],[Monthly Income]]&lt;5000,"Low", HR_Data[[#This Row],[Monthly Income]]&lt;10000,"Medium",TRUE,"High")</f>
        <v>Medium</v>
      </c>
      <c r="T466" s="1" t="str" cm="1">
        <f t="array" ref="T466">_xlfn.IFS(HR_Data[[#This Row],[Total Working Years]]&lt;=5,"Junior", HR_Data[[#This Row],[Total Working Years]]&lt;=15,"Mid-Level", TRUE, "Senior")</f>
        <v>Mid-Level</v>
      </c>
    </row>
    <row r="467" spans="1:20" x14ac:dyDescent="0.25">
      <c r="A467" s="1">
        <v>624</v>
      </c>
      <c r="B467" s="1">
        <v>46</v>
      </c>
      <c r="C467" t="s">
        <v>9</v>
      </c>
      <c r="D467" t="s">
        <v>10</v>
      </c>
      <c r="E467" t="s">
        <v>15</v>
      </c>
      <c r="F467" t="s">
        <v>7</v>
      </c>
      <c r="G467" t="s">
        <v>17</v>
      </c>
      <c r="H467" s="1">
        <v>3</v>
      </c>
      <c r="I467" s="1">
        <v>10527</v>
      </c>
      <c r="J467" t="s">
        <v>9</v>
      </c>
      <c r="K467" s="1">
        <v>11</v>
      </c>
      <c r="L467" s="1">
        <v>3</v>
      </c>
      <c r="M467" s="1">
        <v>28</v>
      </c>
      <c r="N467" s="1">
        <v>2</v>
      </c>
      <c r="O467" s="1">
        <v>2</v>
      </c>
      <c r="P467" s="1">
        <f>COUNTIF(HR_Data[Employee Number],HR_Data[[#This Row],[Employee Number]])</f>
        <v>1</v>
      </c>
      <c r="Q467" s="1" t="str">
        <f>IF(HR_Data[[#This Row],[Years At Company]]&lt;=HR_Data[[#This Row],[Total Working Years]],"Valid","error")</f>
        <v>Valid</v>
      </c>
      <c r="R467" s="1" t="str" cm="1">
        <f t="array" ref="R467">_xlfn.IFS(HR_Data[[#This Row],[Age]]&lt;=30,"Young", HR_Data[[#This Row],[Age]]&lt;=45,"Mid-Age",HR_Data[[#This Row],[Age]]&gt;45,"Senior")</f>
        <v>Senior</v>
      </c>
      <c r="S467" s="1" t="str" cm="1">
        <f t="array" ref="S467">_xlfn.IFS(HR_Data[[#This Row],[Monthly Income]]&lt;5000,"Low", HR_Data[[#This Row],[Monthly Income]]&lt;10000,"Medium",TRUE,"High")</f>
        <v>High</v>
      </c>
      <c r="T467" s="1" t="str" cm="1">
        <f t="array" ref="T467">_xlfn.IFS(HR_Data[[#This Row],[Total Working Years]]&lt;=5,"Junior", HR_Data[[#This Row],[Total Working Years]]&lt;=15,"Mid-Level", TRUE, "Senior")</f>
        <v>Senior</v>
      </c>
    </row>
    <row r="468" spans="1:20" x14ac:dyDescent="0.25">
      <c r="A468" s="1">
        <v>625</v>
      </c>
      <c r="B468" s="1">
        <v>41</v>
      </c>
      <c r="C468" t="s">
        <v>9</v>
      </c>
      <c r="D468" t="s">
        <v>5</v>
      </c>
      <c r="E468" t="s">
        <v>6</v>
      </c>
      <c r="F468" t="s">
        <v>7</v>
      </c>
      <c r="G468" t="s">
        <v>18</v>
      </c>
      <c r="H468" s="1">
        <v>1</v>
      </c>
      <c r="I468" s="1">
        <v>16595</v>
      </c>
      <c r="J468" t="s">
        <v>9</v>
      </c>
      <c r="K468" s="1">
        <v>16</v>
      </c>
      <c r="L468" s="1">
        <v>3</v>
      </c>
      <c r="M468" s="1">
        <v>22</v>
      </c>
      <c r="N468" s="1">
        <v>3</v>
      </c>
      <c r="O468" s="1">
        <v>18</v>
      </c>
      <c r="P468" s="1">
        <f>COUNTIF(HR_Data[Employee Number],HR_Data[[#This Row],[Employee Number]])</f>
        <v>1</v>
      </c>
      <c r="Q468" s="1" t="str">
        <f>IF(HR_Data[[#This Row],[Years At Company]]&lt;=HR_Data[[#This Row],[Total Working Years]],"Valid","error")</f>
        <v>Valid</v>
      </c>
      <c r="R468" s="1" t="str" cm="1">
        <f t="array" ref="R468">_xlfn.IFS(HR_Data[[#This Row],[Age]]&lt;=30,"Young", HR_Data[[#This Row],[Age]]&lt;=45,"Mid-Age",HR_Data[[#This Row],[Age]]&gt;45,"Senior")</f>
        <v>Mid-Age</v>
      </c>
      <c r="S468" s="1" t="str" cm="1">
        <f t="array" ref="S468">_xlfn.IFS(HR_Data[[#This Row],[Monthly Income]]&lt;5000,"Low", HR_Data[[#This Row],[Monthly Income]]&lt;10000,"Medium",TRUE,"High")</f>
        <v>High</v>
      </c>
      <c r="T468" s="1" t="str" cm="1">
        <f t="array" ref="T468">_xlfn.IFS(HR_Data[[#This Row],[Total Working Years]]&lt;=5,"Junior", HR_Data[[#This Row],[Total Working Years]]&lt;=15,"Mid-Level", TRUE, "Senior")</f>
        <v>Senior</v>
      </c>
    </row>
    <row r="469" spans="1:20" x14ac:dyDescent="0.25">
      <c r="A469" s="1">
        <v>626</v>
      </c>
      <c r="B469" s="1">
        <v>37</v>
      </c>
      <c r="C469" t="s">
        <v>9</v>
      </c>
      <c r="D469" t="s">
        <v>5</v>
      </c>
      <c r="E469" t="s">
        <v>15</v>
      </c>
      <c r="F469" t="s">
        <v>11</v>
      </c>
      <c r="G469" t="s">
        <v>8</v>
      </c>
      <c r="H469" s="1">
        <v>2</v>
      </c>
      <c r="I469" s="1">
        <v>8834</v>
      </c>
      <c r="J469" t="s">
        <v>9</v>
      </c>
      <c r="K469" s="1">
        <v>13</v>
      </c>
      <c r="L469" s="1">
        <v>3</v>
      </c>
      <c r="M469" s="1">
        <v>9</v>
      </c>
      <c r="N469" s="1">
        <v>3</v>
      </c>
      <c r="O469" s="1">
        <v>9</v>
      </c>
      <c r="P469" s="1">
        <f>COUNTIF(HR_Data[Employee Number],HR_Data[[#This Row],[Employee Number]])</f>
        <v>1</v>
      </c>
      <c r="Q469" s="1" t="str">
        <f>IF(HR_Data[[#This Row],[Years At Company]]&lt;=HR_Data[[#This Row],[Total Working Years]],"Valid","error")</f>
        <v>Valid</v>
      </c>
      <c r="R469" s="1" t="str" cm="1">
        <f t="array" ref="R469">_xlfn.IFS(HR_Data[[#This Row],[Age]]&lt;=30,"Young", HR_Data[[#This Row],[Age]]&lt;=45,"Mid-Age",HR_Data[[#This Row],[Age]]&gt;45,"Senior")</f>
        <v>Mid-Age</v>
      </c>
      <c r="S469" s="1" t="str" cm="1">
        <f t="array" ref="S469">_xlfn.IFS(HR_Data[[#This Row],[Monthly Income]]&lt;5000,"Low", HR_Data[[#This Row],[Monthly Income]]&lt;10000,"Medium",TRUE,"High")</f>
        <v>Medium</v>
      </c>
      <c r="T469" s="1" t="str" cm="1">
        <f t="array" ref="T469">_xlfn.IFS(HR_Data[[#This Row],[Total Working Years]]&lt;=5,"Junior", HR_Data[[#This Row],[Total Working Years]]&lt;=15,"Mid-Level", TRUE, "Senior")</f>
        <v>Mid-Level</v>
      </c>
    </row>
    <row r="470" spans="1:20" x14ac:dyDescent="0.25">
      <c r="A470" s="1">
        <v>630</v>
      </c>
      <c r="B470" s="1">
        <v>52</v>
      </c>
      <c r="C470" t="s">
        <v>9</v>
      </c>
      <c r="D470" t="s">
        <v>10</v>
      </c>
      <c r="E470" t="s">
        <v>22</v>
      </c>
      <c r="F470" t="s">
        <v>11</v>
      </c>
      <c r="G470" t="s">
        <v>12</v>
      </c>
      <c r="H470" s="1">
        <v>1</v>
      </c>
      <c r="I470" s="1">
        <v>5577</v>
      </c>
      <c r="J470" t="s">
        <v>4</v>
      </c>
      <c r="K470" s="1">
        <v>12</v>
      </c>
      <c r="L470" s="1">
        <v>3</v>
      </c>
      <c r="M470" s="1">
        <v>18</v>
      </c>
      <c r="N470" s="1">
        <v>3</v>
      </c>
      <c r="O470" s="1">
        <v>10</v>
      </c>
      <c r="P470" s="1">
        <f>COUNTIF(HR_Data[Employee Number],HR_Data[[#This Row],[Employee Number]])</f>
        <v>1</v>
      </c>
      <c r="Q470" s="1" t="str">
        <f>IF(HR_Data[[#This Row],[Years At Company]]&lt;=HR_Data[[#This Row],[Total Working Years]],"Valid","error")</f>
        <v>Valid</v>
      </c>
      <c r="R470" s="1" t="str" cm="1">
        <f t="array" ref="R470">_xlfn.IFS(HR_Data[[#This Row],[Age]]&lt;=30,"Young", HR_Data[[#This Row],[Age]]&lt;=45,"Mid-Age",HR_Data[[#This Row],[Age]]&gt;45,"Senior")</f>
        <v>Senior</v>
      </c>
      <c r="S470" s="1" t="str" cm="1">
        <f t="array" ref="S470">_xlfn.IFS(HR_Data[[#This Row],[Monthly Income]]&lt;5000,"Low", HR_Data[[#This Row],[Monthly Income]]&lt;10000,"Medium",TRUE,"High")</f>
        <v>Medium</v>
      </c>
      <c r="T470" s="1" t="str" cm="1">
        <f t="array" ref="T470">_xlfn.IFS(HR_Data[[#This Row],[Total Working Years]]&lt;=5,"Junior", HR_Data[[#This Row],[Total Working Years]]&lt;=15,"Mid-Level", TRUE, "Senior")</f>
        <v>Senior</v>
      </c>
    </row>
    <row r="471" spans="1:20" x14ac:dyDescent="0.25">
      <c r="A471" s="1">
        <v>631</v>
      </c>
      <c r="B471" s="1">
        <v>32</v>
      </c>
      <c r="C471" t="s">
        <v>4</v>
      </c>
      <c r="D471" t="s">
        <v>5</v>
      </c>
      <c r="E471" t="s">
        <v>13</v>
      </c>
      <c r="F471" t="s">
        <v>11</v>
      </c>
      <c r="G471" t="s">
        <v>8</v>
      </c>
      <c r="H471" s="1">
        <v>3</v>
      </c>
      <c r="I471" s="1">
        <v>4707</v>
      </c>
      <c r="J471" t="s">
        <v>9</v>
      </c>
      <c r="K471" s="1">
        <v>12</v>
      </c>
      <c r="L471" s="1">
        <v>3</v>
      </c>
      <c r="M471" s="1">
        <v>6</v>
      </c>
      <c r="N471" s="1">
        <v>3</v>
      </c>
      <c r="O471" s="1">
        <v>4</v>
      </c>
      <c r="P471" s="1">
        <f>COUNTIF(HR_Data[Employee Number],HR_Data[[#This Row],[Employee Number]])</f>
        <v>1</v>
      </c>
      <c r="Q471" s="1" t="str">
        <f>IF(HR_Data[[#This Row],[Years At Company]]&lt;=HR_Data[[#This Row],[Total Working Years]],"Valid","error")</f>
        <v>Valid</v>
      </c>
      <c r="R471" s="1" t="str" cm="1">
        <f t="array" ref="R471">_xlfn.IFS(HR_Data[[#This Row],[Age]]&lt;=30,"Young", HR_Data[[#This Row],[Age]]&lt;=45,"Mid-Age",HR_Data[[#This Row],[Age]]&gt;45,"Senior")</f>
        <v>Mid-Age</v>
      </c>
      <c r="S471" s="1" t="str" cm="1">
        <f t="array" ref="S471">_xlfn.IFS(HR_Data[[#This Row],[Monthly Income]]&lt;5000,"Low", HR_Data[[#This Row],[Monthly Income]]&lt;10000,"Medium",TRUE,"High")</f>
        <v>Low</v>
      </c>
      <c r="T471" s="1" t="str" cm="1">
        <f t="array" ref="T471">_xlfn.IFS(HR_Data[[#This Row],[Total Working Years]]&lt;=5,"Junior", HR_Data[[#This Row],[Total Working Years]]&lt;=15,"Mid-Level", TRUE, "Senior")</f>
        <v>Mid-Level</v>
      </c>
    </row>
    <row r="472" spans="1:20" x14ac:dyDescent="0.25">
      <c r="A472" s="1">
        <v>632</v>
      </c>
      <c r="B472" s="1">
        <v>24</v>
      </c>
      <c r="C472" t="s">
        <v>9</v>
      </c>
      <c r="D472" t="s">
        <v>5</v>
      </c>
      <c r="E472" t="s">
        <v>15</v>
      </c>
      <c r="F472" t="s">
        <v>11</v>
      </c>
      <c r="G472" t="s">
        <v>19</v>
      </c>
      <c r="H472" s="1">
        <v>4</v>
      </c>
      <c r="I472" s="1">
        <v>2400</v>
      </c>
      <c r="J472" t="s">
        <v>9</v>
      </c>
      <c r="K472" s="1">
        <v>13</v>
      </c>
      <c r="L472" s="1">
        <v>3</v>
      </c>
      <c r="M472" s="1">
        <v>3</v>
      </c>
      <c r="N472" s="1">
        <v>3</v>
      </c>
      <c r="O472" s="1">
        <v>2</v>
      </c>
      <c r="P472" s="1">
        <f>COUNTIF(HR_Data[Employee Number],HR_Data[[#This Row],[Employee Number]])</f>
        <v>1</v>
      </c>
      <c r="Q472" s="1" t="str">
        <f>IF(HR_Data[[#This Row],[Years At Company]]&lt;=HR_Data[[#This Row],[Total Working Years]],"Valid","error")</f>
        <v>Valid</v>
      </c>
      <c r="R472" s="1" t="str" cm="1">
        <f t="array" ref="R472">_xlfn.IFS(HR_Data[[#This Row],[Age]]&lt;=30,"Young", HR_Data[[#This Row],[Age]]&lt;=45,"Mid-Age",HR_Data[[#This Row],[Age]]&gt;45,"Senior")</f>
        <v>Young</v>
      </c>
      <c r="S472" s="1" t="str" cm="1">
        <f t="array" ref="S472">_xlfn.IFS(HR_Data[[#This Row],[Monthly Income]]&lt;5000,"Low", HR_Data[[#This Row],[Monthly Income]]&lt;10000,"Medium",TRUE,"High")</f>
        <v>Low</v>
      </c>
      <c r="T472" s="1" t="str" cm="1">
        <f t="array" ref="T472">_xlfn.IFS(HR_Data[[#This Row],[Total Working Years]]&lt;=5,"Junior", HR_Data[[#This Row],[Total Working Years]]&lt;=15,"Mid-Level", TRUE, "Senior")</f>
        <v>Junior</v>
      </c>
    </row>
    <row r="473" spans="1:20" x14ac:dyDescent="0.25">
      <c r="A473" s="1">
        <v>634</v>
      </c>
      <c r="B473" s="1">
        <v>38</v>
      </c>
      <c r="C473" t="s">
        <v>9</v>
      </c>
      <c r="D473" t="s">
        <v>10</v>
      </c>
      <c r="E473" t="s">
        <v>15</v>
      </c>
      <c r="F473" t="s">
        <v>7</v>
      </c>
      <c r="G473" t="s">
        <v>17</v>
      </c>
      <c r="H473" s="1">
        <v>3</v>
      </c>
      <c r="I473" s="1">
        <v>9824</v>
      </c>
      <c r="J473" t="s">
        <v>9</v>
      </c>
      <c r="K473" s="1">
        <v>19</v>
      </c>
      <c r="L473" s="1">
        <v>3</v>
      </c>
      <c r="M473" s="1">
        <v>18</v>
      </c>
      <c r="N473" s="1">
        <v>3</v>
      </c>
      <c r="O473" s="1">
        <v>1</v>
      </c>
      <c r="P473" s="1">
        <f>COUNTIF(HR_Data[Employee Number],HR_Data[[#This Row],[Employee Number]])</f>
        <v>1</v>
      </c>
      <c r="Q473" s="1" t="str">
        <f>IF(HR_Data[[#This Row],[Years At Company]]&lt;=HR_Data[[#This Row],[Total Working Years]],"Valid","error")</f>
        <v>Valid</v>
      </c>
      <c r="R473" s="1" t="str" cm="1">
        <f t="array" ref="R473">_xlfn.IFS(HR_Data[[#This Row],[Age]]&lt;=30,"Young", HR_Data[[#This Row],[Age]]&lt;=45,"Mid-Age",HR_Data[[#This Row],[Age]]&gt;45,"Senior")</f>
        <v>Mid-Age</v>
      </c>
      <c r="S473" s="1" t="str" cm="1">
        <f t="array" ref="S473">_xlfn.IFS(HR_Data[[#This Row],[Monthly Income]]&lt;5000,"Low", HR_Data[[#This Row],[Monthly Income]]&lt;10000,"Medium",TRUE,"High")</f>
        <v>Medium</v>
      </c>
      <c r="T473" s="1" t="str" cm="1">
        <f t="array" ref="T473">_xlfn.IFS(HR_Data[[#This Row],[Total Working Years]]&lt;=5,"Junior", HR_Data[[#This Row],[Total Working Years]]&lt;=15,"Mid-Level", TRUE, "Senior")</f>
        <v>Senior</v>
      </c>
    </row>
    <row r="474" spans="1:20" x14ac:dyDescent="0.25">
      <c r="A474" s="1">
        <v>635</v>
      </c>
      <c r="B474" s="1">
        <v>37</v>
      </c>
      <c r="C474" t="s">
        <v>9</v>
      </c>
      <c r="D474" t="s">
        <v>10</v>
      </c>
      <c r="E474" t="s">
        <v>6</v>
      </c>
      <c r="F474" t="s">
        <v>7</v>
      </c>
      <c r="G474" t="s">
        <v>16</v>
      </c>
      <c r="H474" s="1">
        <v>2</v>
      </c>
      <c r="I474" s="1">
        <v>6447</v>
      </c>
      <c r="J474" t="s">
        <v>9</v>
      </c>
      <c r="K474" s="1">
        <v>12</v>
      </c>
      <c r="L474" s="1">
        <v>3</v>
      </c>
      <c r="M474" s="1">
        <v>8</v>
      </c>
      <c r="N474" s="1">
        <v>2</v>
      </c>
      <c r="O474" s="1">
        <v>6</v>
      </c>
      <c r="P474" s="1">
        <f>COUNTIF(HR_Data[Employee Number],HR_Data[[#This Row],[Employee Number]])</f>
        <v>1</v>
      </c>
      <c r="Q474" s="1" t="str">
        <f>IF(HR_Data[[#This Row],[Years At Company]]&lt;=HR_Data[[#This Row],[Total Working Years]],"Valid","error")</f>
        <v>Valid</v>
      </c>
      <c r="R474" s="1" t="str" cm="1">
        <f t="array" ref="R474">_xlfn.IFS(HR_Data[[#This Row],[Age]]&lt;=30,"Young", HR_Data[[#This Row],[Age]]&lt;=45,"Mid-Age",HR_Data[[#This Row],[Age]]&gt;45,"Senior")</f>
        <v>Mid-Age</v>
      </c>
      <c r="S474" s="1" t="str" cm="1">
        <f t="array" ref="S474">_xlfn.IFS(HR_Data[[#This Row],[Monthly Income]]&lt;5000,"Low", HR_Data[[#This Row],[Monthly Income]]&lt;10000,"Medium",TRUE,"High")</f>
        <v>Medium</v>
      </c>
      <c r="T474" s="1" t="str" cm="1">
        <f t="array" ref="T474">_xlfn.IFS(HR_Data[[#This Row],[Total Working Years]]&lt;=5,"Junior", HR_Data[[#This Row],[Total Working Years]]&lt;=15,"Mid-Level", TRUE, "Senior")</f>
        <v>Mid-Level</v>
      </c>
    </row>
    <row r="475" spans="1:20" x14ac:dyDescent="0.25">
      <c r="A475" s="1">
        <v>638</v>
      </c>
      <c r="B475" s="1">
        <v>49</v>
      </c>
      <c r="C475" t="s">
        <v>9</v>
      </c>
      <c r="D475" t="s">
        <v>10</v>
      </c>
      <c r="E475" t="s">
        <v>6</v>
      </c>
      <c r="F475" t="s">
        <v>11</v>
      </c>
      <c r="G475" t="s">
        <v>20</v>
      </c>
      <c r="H475" s="1">
        <v>3</v>
      </c>
      <c r="I475" s="1">
        <v>19502</v>
      </c>
      <c r="J475" t="s">
        <v>4</v>
      </c>
      <c r="K475" s="1">
        <v>17</v>
      </c>
      <c r="L475" s="1">
        <v>3</v>
      </c>
      <c r="M475" s="1">
        <v>31</v>
      </c>
      <c r="N475" s="1">
        <v>3</v>
      </c>
      <c r="O475" s="1">
        <v>31</v>
      </c>
      <c r="P475" s="1">
        <f>COUNTIF(HR_Data[Employee Number],HR_Data[[#This Row],[Employee Number]])</f>
        <v>1</v>
      </c>
      <c r="Q475" s="1" t="str">
        <f>IF(HR_Data[[#This Row],[Years At Company]]&lt;=HR_Data[[#This Row],[Total Working Years]],"Valid","error")</f>
        <v>Valid</v>
      </c>
      <c r="R475" s="1" t="str" cm="1">
        <f t="array" ref="R475">_xlfn.IFS(HR_Data[[#This Row],[Age]]&lt;=30,"Young", HR_Data[[#This Row],[Age]]&lt;=45,"Mid-Age",HR_Data[[#This Row],[Age]]&gt;45,"Senior")</f>
        <v>Senior</v>
      </c>
      <c r="S475" s="1" t="str" cm="1">
        <f t="array" ref="S475">_xlfn.IFS(HR_Data[[#This Row],[Monthly Income]]&lt;5000,"Low", HR_Data[[#This Row],[Monthly Income]]&lt;10000,"Medium",TRUE,"High")</f>
        <v>High</v>
      </c>
      <c r="T475" s="1" t="str" cm="1">
        <f t="array" ref="T475">_xlfn.IFS(HR_Data[[#This Row],[Total Working Years]]&lt;=5,"Junior", HR_Data[[#This Row],[Total Working Years]]&lt;=15,"Mid-Level", TRUE, "Senior")</f>
        <v>Senior</v>
      </c>
    </row>
    <row r="476" spans="1:20" x14ac:dyDescent="0.25">
      <c r="A476" s="1">
        <v>639</v>
      </c>
      <c r="B476" s="1">
        <v>24</v>
      </c>
      <c r="C476" t="s">
        <v>9</v>
      </c>
      <c r="D476" t="s">
        <v>10</v>
      </c>
      <c r="E476" t="s">
        <v>15</v>
      </c>
      <c r="F476" t="s">
        <v>11</v>
      </c>
      <c r="G476" t="s">
        <v>12</v>
      </c>
      <c r="H476" s="1">
        <v>4</v>
      </c>
      <c r="I476" s="1">
        <v>2725</v>
      </c>
      <c r="J476" t="s">
        <v>4</v>
      </c>
      <c r="K476" s="1">
        <v>11</v>
      </c>
      <c r="L476" s="1">
        <v>3</v>
      </c>
      <c r="M476" s="1">
        <v>6</v>
      </c>
      <c r="N476" s="1">
        <v>3</v>
      </c>
      <c r="O476" s="1">
        <v>6</v>
      </c>
      <c r="P476" s="1">
        <f>COUNTIF(HR_Data[Employee Number],HR_Data[[#This Row],[Employee Number]])</f>
        <v>1</v>
      </c>
      <c r="Q476" s="1" t="str">
        <f>IF(HR_Data[[#This Row],[Years At Company]]&lt;=HR_Data[[#This Row],[Total Working Years]],"Valid","error")</f>
        <v>Valid</v>
      </c>
      <c r="R476" s="1" t="str" cm="1">
        <f t="array" ref="R476">_xlfn.IFS(HR_Data[[#This Row],[Age]]&lt;=30,"Young", HR_Data[[#This Row],[Age]]&lt;=45,"Mid-Age",HR_Data[[#This Row],[Age]]&gt;45,"Senior")</f>
        <v>Young</v>
      </c>
      <c r="S476" s="1" t="str" cm="1">
        <f t="array" ref="S476">_xlfn.IFS(HR_Data[[#This Row],[Monthly Income]]&lt;5000,"Low", HR_Data[[#This Row],[Monthly Income]]&lt;10000,"Medium",TRUE,"High")</f>
        <v>Low</v>
      </c>
      <c r="T476" s="1" t="str" cm="1">
        <f t="array" ref="T476">_xlfn.IFS(HR_Data[[#This Row],[Total Working Years]]&lt;=5,"Junior", HR_Data[[#This Row],[Total Working Years]]&lt;=15,"Mid-Level", TRUE, "Senior")</f>
        <v>Mid-Level</v>
      </c>
    </row>
    <row r="477" spans="1:20" x14ac:dyDescent="0.25">
      <c r="A477" s="1">
        <v>641</v>
      </c>
      <c r="B477" s="1">
        <v>26</v>
      </c>
      <c r="C477" t="s">
        <v>9</v>
      </c>
      <c r="D477" t="s">
        <v>5</v>
      </c>
      <c r="E477" t="s">
        <v>21</v>
      </c>
      <c r="F477" t="s">
        <v>11</v>
      </c>
      <c r="G477" t="s">
        <v>8</v>
      </c>
      <c r="H477" s="1">
        <v>2</v>
      </c>
      <c r="I477" s="1">
        <v>6272</v>
      </c>
      <c r="J477" t="s">
        <v>9</v>
      </c>
      <c r="K477" s="1">
        <v>20</v>
      </c>
      <c r="L477" s="1">
        <v>4</v>
      </c>
      <c r="M477" s="1">
        <v>6</v>
      </c>
      <c r="N477" s="1">
        <v>4</v>
      </c>
      <c r="O477" s="1">
        <v>5</v>
      </c>
      <c r="P477" s="1">
        <f>COUNTIF(HR_Data[Employee Number],HR_Data[[#This Row],[Employee Number]])</f>
        <v>1</v>
      </c>
      <c r="Q477" s="1" t="str">
        <f>IF(HR_Data[[#This Row],[Years At Company]]&lt;=HR_Data[[#This Row],[Total Working Years]],"Valid","error")</f>
        <v>Valid</v>
      </c>
      <c r="R477" s="1" t="str" cm="1">
        <f t="array" ref="R477">_xlfn.IFS(HR_Data[[#This Row],[Age]]&lt;=30,"Young", HR_Data[[#This Row],[Age]]&lt;=45,"Mid-Age",HR_Data[[#This Row],[Age]]&gt;45,"Senior")</f>
        <v>Young</v>
      </c>
      <c r="S477" s="1" t="str" cm="1">
        <f t="array" ref="S477">_xlfn.IFS(HR_Data[[#This Row],[Monthly Income]]&lt;5000,"Low", HR_Data[[#This Row],[Monthly Income]]&lt;10000,"Medium",TRUE,"High")</f>
        <v>Medium</v>
      </c>
      <c r="T477" s="1" t="str" cm="1">
        <f t="array" ref="T477">_xlfn.IFS(HR_Data[[#This Row],[Total Working Years]]&lt;=5,"Junior", HR_Data[[#This Row],[Total Working Years]]&lt;=15,"Mid-Level", TRUE, "Senior")</f>
        <v>Mid-Level</v>
      </c>
    </row>
    <row r="478" spans="1:20" x14ac:dyDescent="0.25">
      <c r="A478" s="1">
        <v>643</v>
      </c>
      <c r="B478" s="1">
        <v>24</v>
      </c>
      <c r="C478" t="s">
        <v>9</v>
      </c>
      <c r="D478" t="s">
        <v>10</v>
      </c>
      <c r="E478" t="s">
        <v>13</v>
      </c>
      <c r="F478" t="s">
        <v>11</v>
      </c>
      <c r="G478" t="s">
        <v>14</v>
      </c>
      <c r="H478" s="1">
        <v>2</v>
      </c>
      <c r="I478" s="1">
        <v>2127</v>
      </c>
      <c r="J478" t="s">
        <v>9</v>
      </c>
      <c r="K478" s="1">
        <v>21</v>
      </c>
      <c r="L478" s="1">
        <v>4</v>
      </c>
      <c r="M478" s="1">
        <v>1</v>
      </c>
      <c r="N478" s="1">
        <v>3</v>
      </c>
      <c r="O478" s="1">
        <v>1</v>
      </c>
      <c r="P478" s="1">
        <f>COUNTIF(HR_Data[Employee Number],HR_Data[[#This Row],[Employee Number]])</f>
        <v>1</v>
      </c>
      <c r="Q478" s="1" t="str">
        <f>IF(HR_Data[[#This Row],[Years At Company]]&lt;=HR_Data[[#This Row],[Total Working Years]],"Valid","error")</f>
        <v>Valid</v>
      </c>
      <c r="R478" s="1" t="str" cm="1">
        <f t="array" ref="R478">_xlfn.IFS(HR_Data[[#This Row],[Age]]&lt;=30,"Young", HR_Data[[#This Row],[Age]]&lt;=45,"Mid-Age",HR_Data[[#This Row],[Age]]&gt;45,"Senior")</f>
        <v>Young</v>
      </c>
      <c r="S478" s="1" t="str" cm="1">
        <f t="array" ref="S478">_xlfn.IFS(HR_Data[[#This Row],[Monthly Income]]&lt;5000,"Low", HR_Data[[#This Row],[Monthly Income]]&lt;10000,"Medium",TRUE,"High")</f>
        <v>Low</v>
      </c>
      <c r="T478" s="1" t="str" cm="1">
        <f t="array" ref="T478">_xlfn.IFS(HR_Data[[#This Row],[Total Working Years]]&lt;=5,"Junior", HR_Data[[#This Row],[Total Working Years]]&lt;=15,"Mid-Level", TRUE, "Senior")</f>
        <v>Junior</v>
      </c>
    </row>
    <row r="479" spans="1:20" x14ac:dyDescent="0.25">
      <c r="A479" s="1">
        <v>644</v>
      </c>
      <c r="B479" s="1">
        <v>50</v>
      </c>
      <c r="C479" t="s">
        <v>9</v>
      </c>
      <c r="D479" t="s">
        <v>23</v>
      </c>
      <c r="E479" t="s">
        <v>15</v>
      </c>
      <c r="F479" t="s">
        <v>11</v>
      </c>
      <c r="G479" t="s">
        <v>18</v>
      </c>
      <c r="H479" s="1">
        <v>2</v>
      </c>
      <c r="I479" s="1">
        <v>18200</v>
      </c>
      <c r="J479" t="s">
        <v>9</v>
      </c>
      <c r="K479" s="1">
        <v>11</v>
      </c>
      <c r="L479" s="1">
        <v>3</v>
      </c>
      <c r="M479" s="1">
        <v>32</v>
      </c>
      <c r="N479" s="1">
        <v>3</v>
      </c>
      <c r="O479" s="1">
        <v>32</v>
      </c>
      <c r="P479" s="1">
        <f>COUNTIF(HR_Data[Employee Number],HR_Data[[#This Row],[Employee Number]])</f>
        <v>1</v>
      </c>
      <c r="Q479" s="1" t="str">
        <f>IF(HR_Data[[#This Row],[Years At Company]]&lt;=HR_Data[[#This Row],[Total Working Years]],"Valid","error")</f>
        <v>Valid</v>
      </c>
      <c r="R479" s="1" t="str" cm="1">
        <f t="array" ref="R479">_xlfn.IFS(HR_Data[[#This Row],[Age]]&lt;=30,"Young", HR_Data[[#This Row],[Age]]&lt;=45,"Mid-Age",HR_Data[[#This Row],[Age]]&gt;45,"Senior")</f>
        <v>Senior</v>
      </c>
      <c r="S479" s="1" t="str" cm="1">
        <f t="array" ref="S479">_xlfn.IFS(HR_Data[[#This Row],[Monthly Income]]&lt;5000,"Low", HR_Data[[#This Row],[Monthly Income]]&lt;10000,"Medium",TRUE,"High")</f>
        <v>High</v>
      </c>
      <c r="T479" s="1" t="str" cm="1">
        <f t="array" ref="T479">_xlfn.IFS(HR_Data[[#This Row],[Total Working Years]]&lt;=5,"Junior", HR_Data[[#This Row],[Total Working Years]]&lt;=15,"Mid-Level", TRUE, "Senior")</f>
        <v>Senior</v>
      </c>
    </row>
    <row r="480" spans="1:20" x14ac:dyDescent="0.25">
      <c r="A480" s="1">
        <v>645</v>
      </c>
      <c r="B480" s="1">
        <v>25</v>
      </c>
      <c r="C480" t="s">
        <v>9</v>
      </c>
      <c r="D480" t="s">
        <v>5</v>
      </c>
      <c r="E480" t="s">
        <v>15</v>
      </c>
      <c r="F480" t="s">
        <v>11</v>
      </c>
      <c r="G480" t="s">
        <v>19</v>
      </c>
      <c r="H480" s="1">
        <v>3</v>
      </c>
      <c r="I480" s="1">
        <v>2096</v>
      </c>
      <c r="J480" t="s">
        <v>9</v>
      </c>
      <c r="K480" s="1">
        <v>11</v>
      </c>
      <c r="L480" s="1">
        <v>3</v>
      </c>
      <c r="M480" s="1">
        <v>7</v>
      </c>
      <c r="N480" s="1">
        <v>3</v>
      </c>
      <c r="O480" s="1">
        <v>7</v>
      </c>
      <c r="P480" s="1">
        <f>COUNTIF(HR_Data[Employee Number],HR_Data[[#This Row],[Employee Number]])</f>
        <v>1</v>
      </c>
      <c r="Q480" s="1" t="str">
        <f>IF(HR_Data[[#This Row],[Years At Company]]&lt;=HR_Data[[#This Row],[Total Working Years]],"Valid","error")</f>
        <v>Valid</v>
      </c>
      <c r="R480" s="1" t="str" cm="1">
        <f t="array" ref="R480">_xlfn.IFS(HR_Data[[#This Row],[Age]]&lt;=30,"Young", HR_Data[[#This Row],[Age]]&lt;=45,"Mid-Age",HR_Data[[#This Row],[Age]]&gt;45,"Senior")</f>
        <v>Young</v>
      </c>
      <c r="S480" s="1" t="str" cm="1">
        <f t="array" ref="S480">_xlfn.IFS(HR_Data[[#This Row],[Monthly Income]]&lt;5000,"Low", HR_Data[[#This Row],[Monthly Income]]&lt;10000,"Medium",TRUE,"High")</f>
        <v>Low</v>
      </c>
      <c r="T480" s="1" t="str" cm="1">
        <f t="array" ref="T480">_xlfn.IFS(HR_Data[[#This Row],[Total Working Years]]&lt;=5,"Junior", HR_Data[[#This Row],[Total Working Years]]&lt;=15,"Mid-Level", TRUE, "Senior")</f>
        <v>Mid-Level</v>
      </c>
    </row>
    <row r="481" spans="1:20" x14ac:dyDescent="0.25">
      <c r="A481" s="1">
        <v>647</v>
      </c>
      <c r="B481" s="1">
        <v>24</v>
      </c>
      <c r="C481" t="s">
        <v>4</v>
      </c>
      <c r="D481" t="s">
        <v>10</v>
      </c>
      <c r="E481" t="s">
        <v>6</v>
      </c>
      <c r="F481" t="s">
        <v>7</v>
      </c>
      <c r="G481" t="s">
        <v>14</v>
      </c>
      <c r="H481" s="1">
        <v>3</v>
      </c>
      <c r="I481" s="1">
        <v>2886</v>
      </c>
      <c r="J481" t="s">
        <v>4</v>
      </c>
      <c r="K481" s="1">
        <v>16</v>
      </c>
      <c r="L481" s="1">
        <v>3</v>
      </c>
      <c r="M481" s="1">
        <v>6</v>
      </c>
      <c r="N481" s="1">
        <v>3</v>
      </c>
      <c r="O481" s="1">
        <v>6</v>
      </c>
      <c r="P481" s="1">
        <f>COUNTIF(HR_Data[Employee Number],HR_Data[[#This Row],[Employee Number]])</f>
        <v>1</v>
      </c>
      <c r="Q481" s="1" t="str">
        <f>IF(HR_Data[[#This Row],[Years At Company]]&lt;=HR_Data[[#This Row],[Total Working Years]],"Valid","error")</f>
        <v>Valid</v>
      </c>
      <c r="R481" s="1" t="str" cm="1">
        <f t="array" ref="R481">_xlfn.IFS(HR_Data[[#This Row],[Age]]&lt;=30,"Young", HR_Data[[#This Row],[Age]]&lt;=45,"Mid-Age",HR_Data[[#This Row],[Age]]&gt;45,"Senior")</f>
        <v>Young</v>
      </c>
      <c r="S481" s="1" t="str" cm="1">
        <f t="array" ref="S481">_xlfn.IFS(HR_Data[[#This Row],[Monthly Income]]&lt;5000,"Low", HR_Data[[#This Row],[Monthly Income]]&lt;10000,"Medium",TRUE,"High")</f>
        <v>Low</v>
      </c>
      <c r="T481" s="1" t="str" cm="1">
        <f t="array" ref="T481">_xlfn.IFS(HR_Data[[#This Row],[Total Working Years]]&lt;=5,"Junior", HR_Data[[#This Row],[Total Working Years]]&lt;=15,"Mid-Level", TRUE, "Senior")</f>
        <v>Mid-Level</v>
      </c>
    </row>
    <row r="482" spans="1:20" x14ac:dyDescent="0.25">
      <c r="A482" s="1">
        <v>648</v>
      </c>
      <c r="B482" s="1">
        <v>30</v>
      </c>
      <c r="C482" t="s">
        <v>4</v>
      </c>
      <c r="D482" t="s">
        <v>5</v>
      </c>
      <c r="E482" t="s">
        <v>6</v>
      </c>
      <c r="F482" t="s">
        <v>11</v>
      </c>
      <c r="G482" t="s">
        <v>19</v>
      </c>
      <c r="H482" s="1">
        <v>1</v>
      </c>
      <c r="I482" s="1">
        <v>2033</v>
      </c>
      <c r="J482" t="s">
        <v>9</v>
      </c>
      <c r="K482" s="1">
        <v>18</v>
      </c>
      <c r="L482" s="1">
        <v>3</v>
      </c>
      <c r="M482" s="1">
        <v>1</v>
      </c>
      <c r="N482" s="1">
        <v>4</v>
      </c>
      <c r="O482" s="1">
        <v>1</v>
      </c>
      <c r="P482" s="1">
        <f>COUNTIF(HR_Data[Employee Number],HR_Data[[#This Row],[Employee Number]])</f>
        <v>1</v>
      </c>
      <c r="Q482" s="1" t="str">
        <f>IF(HR_Data[[#This Row],[Years At Company]]&lt;=HR_Data[[#This Row],[Total Working Years]],"Valid","error")</f>
        <v>Valid</v>
      </c>
      <c r="R482" s="1" t="str" cm="1">
        <f t="array" ref="R482">_xlfn.IFS(HR_Data[[#This Row],[Age]]&lt;=30,"Young", HR_Data[[#This Row],[Age]]&lt;=45,"Mid-Age",HR_Data[[#This Row],[Age]]&gt;45,"Senior")</f>
        <v>Young</v>
      </c>
      <c r="S482" s="1" t="str" cm="1">
        <f t="array" ref="S482">_xlfn.IFS(HR_Data[[#This Row],[Monthly Income]]&lt;5000,"Low", HR_Data[[#This Row],[Monthly Income]]&lt;10000,"Medium",TRUE,"High")</f>
        <v>Low</v>
      </c>
      <c r="T482" s="1" t="str" cm="1">
        <f t="array" ref="T482">_xlfn.IFS(HR_Data[[#This Row],[Total Working Years]]&lt;=5,"Junior", HR_Data[[#This Row],[Total Working Years]]&lt;=15,"Mid-Level", TRUE, "Senior")</f>
        <v>Junior</v>
      </c>
    </row>
    <row r="483" spans="1:20" x14ac:dyDescent="0.25">
      <c r="A483" s="1">
        <v>649</v>
      </c>
      <c r="B483" s="1">
        <v>34</v>
      </c>
      <c r="C483" t="s">
        <v>9</v>
      </c>
      <c r="D483" t="s">
        <v>10</v>
      </c>
      <c r="E483" t="s">
        <v>6</v>
      </c>
      <c r="F483" t="s">
        <v>11</v>
      </c>
      <c r="G483" t="s">
        <v>12</v>
      </c>
      <c r="H483" s="1">
        <v>4</v>
      </c>
      <c r="I483" s="1">
        <v>3622</v>
      </c>
      <c r="J483" t="s">
        <v>4</v>
      </c>
      <c r="K483" s="1">
        <v>13</v>
      </c>
      <c r="L483" s="1">
        <v>3</v>
      </c>
      <c r="M483" s="1">
        <v>6</v>
      </c>
      <c r="N483" s="1">
        <v>3</v>
      </c>
      <c r="O483" s="1">
        <v>6</v>
      </c>
      <c r="P483" s="1">
        <f>COUNTIF(HR_Data[Employee Number],HR_Data[[#This Row],[Employee Number]])</f>
        <v>1</v>
      </c>
      <c r="Q483" s="1" t="str">
        <f>IF(HR_Data[[#This Row],[Years At Company]]&lt;=HR_Data[[#This Row],[Total Working Years]],"Valid","error")</f>
        <v>Valid</v>
      </c>
      <c r="R483" s="1" t="str" cm="1">
        <f t="array" ref="R483">_xlfn.IFS(HR_Data[[#This Row],[Age]]&lt;=30,"Young", HR_Data[[#This Row],[Age]]&lt;=45,"Mid-Age",HR_Data[[#This Row],[Age]]&gt;45,"Senior")</f>
        <v>Mid-Age</v>
      </c>
      <c r="S483" s="1" t="str" cm="1">
        <f t="array" ref="S483">_xlfn.IFS(HR_Data[[#This Row],[Monthly Income]]&lt;5000,"Low", HR_Data[[#This Row],[Monthly Income]]&lt;10000,"Medium",TRUE,"High")</f>
        <v>Low</v>
      </c>
      <c r="T483" s="1" t="str" cm="1">
        <f t="array" ref="T483">_xlfn.IFS(HR_Data[[#This Row],[Total Working Years]]&lt;=5,"Junior", HR_Data[[#This Row],[Total Working Years]]&lt;=15,"Mid-Level", TRUE, "Senior")</f>
        <v>Mid-Level</v>
      </c>
    </row>
    <row r="484" spans="1:20" x14ac:dyDescent="0.25">
      <c r="A484" s="1">
        <v>650</v>
      </c>
      <c r="B484" s="1">
        <v>31</v>
      </c>
      <c r="C484" t="s">
        <v>4</v>
      </c>
      <c r="D484" t="s">
        <v>5</v>
      </c>
      <c r="E484" t="s">
        <v>15</v>
      </c>
      <c r="F484" t="s">
        <v>11</v>
      </c>
      <c r="G484" t="s">
        <v>8</v>
      </c>
      <c r="H484" s="1">
        <v>1</v>
      </c>
      <c r="I484" s="1">
        <v>4233</v>
      </c>
      <c r="J484" t="s">
        <v>9</v>
      </c>
      <c r="K484" s="1">
        <v>17</v>
      </c>
      <c r="L484" s="1">
        <v>3</v>
      </c>
      <c r="M484" s="1">
        <v>9</v>
      </c>
      <c r="N484" s="1">
        <v>1</v>
      </c>
      <c r="O484" s="1">
        <v>3</v>
      </c>
      <c r="P484" s="1">
        <f>COUNTIF(HR_Data[Employee Number],HR_Data[[#This Row],[Employee Number]])</f>
        <v>1</v>
      </c>
      <c r="Q484" s="1" t="str">
        <f>IF(HR_Data[[#This Row],[Years At Company]]&lt;=HR_Data[[#This Row],[Total Working Years]],"Valid","error")</f>
        <v>Valid</v>
      </c>
      <c r="R484" s="1" t="str" cm="1">
        <f t="array" ref="R484">_xlfn.IFS(HR_Data[[#This Row],[Age]]&lt;=30,"Young", HR_Data[[#This Row],[Age]]&lt;=45,"Mid-Age",HR_Data[[#This Row],[Age]]&gt;45,"Senior")</f>
        <v>Mid-Age</v>
      </c>
      <c r="S484" s="1" t="str" cm="1">
        <f t="array" ref="S484">_xlfn.IFS(HR_Data[[#This Row],[Monthly Income]]&lt;5000,"Low", HR_Data[[#This Row],[Monthly Income]]&lt;10000,"Medium",TRUE,"High")</f>
        <v>Low</v>
      </c>
      <c r="T484" s="1" t="str" cm="1">
        <f t="array" ref="T484">_xlfn.IFS(HR_Data[[#This Row],[Total Working Years]]&lt;=5,"Junior", HR_Data[[#This Row],[Total Working Years]]&lt;=15,"Mid-Level", TRUE, "Senior")</f>
        <v>Mid-Level</v>
      </c>
    </row>
    <row r="485" spans="1:20" x14ac:dyDescent="0.25">
      <c r="A485" s="1">
        <v>652</v>
      </c>
      <c r="B485" s="1">
        <v>35</v>
      </c>
      <c r="C485" t="s">
        <v>9</v>
      </c>
      <c r="D485" t="s">
        <v>10</v>
      </c>
      <c r="E485" t="s">
        <v>13</v>
      </c>
      <c r="F485" t="s">
        <v>11</v>
      </c>
      <c r="G485" t="s">
        <v>14</v>
      </c>
      <c r="H485" s="1">
        <v>4</v>
      </c>
      <c r="I485" s="1">
        <v>3681</v>
      </c>
      <c r="J485" t="s">
        <v>9</v>
      </c>
      <c r="K485" s="1">
        <v>14</v>
      </c>
      <c r="L485" s="1">
        <v>3</v>
      </c>
      <c r="M485" s="1">
        <v>9</v>
      </c>
      <c r="N485" s="1">
        <v>3</v>
      </c>
      <c r="O485" s="1">
        <v>3</v>
      </c>
      <c r="P485" s="1">
        <f>COUNTIF(HR_Data[Employee Number],HR_Data[[#This Row],[Employee Number]])</f>
        <v>1</v>
      </c>
      <c r="Q485" s="1" t="str">
        <f>IF(HR_Data[[#This Row],[Years At Company]]&lt;=HR_Data[[#This Row],[Total Working Years]],"Valid","error")</f>
        <v>Valid</v>
      </c>
      <c r="R485" s="1" t="str" cm="1">
        <f t="array" ref="R485">_xlfn.IFS(HR_Data[[#This Row],[Age]]&lt;=30,"Young", HR_Data[[#This Row],[Age]]&lt;=45,"Mid-Age",HR_Data[[#This Row],[Age]]&gt;45,"Senior")</f>
        <v>Mid-Age</v>
      </c>
      <c r="S485" s="1" t="str" cm="1">
        <f t="array" ref="S485">_xlfn.IFS(HR_Data[[#This Row],[Monthly Income]]&lt;5000,"Low", HR_Data[[#This Row],[Monthly Income]]&lt;10000,"Medium",TRUE,"High")</f>
        <v>Low</v>
      </c>
      <c r="T485" s="1" t="str" cm="1">
        <f t="array" ref="T485">_xlfn.IFS(HR_Data[[#This Row],[Total Working Years]]&lt;=5,"Junior", HR_Data[[#This Row],[Total Working Years]]&lt;=15,"Mid-Level", TRUE, "Senior")</f>
        <v>Mid-Level</v>
      </c>
    </row>
    <row r="486" spans="1:20" x14ac:dyDescent="0.25">
      <c r="A486" s="1">
        <v>653</v>
      </c>
      <c r="B486" s="1">
        <v>31</v>
      </c>
      <c r="C486" t="s">
        <v>9</v>
      </c>
      <c r="D486" t="s">
        <v>5</v>
      </c>
      <c r="E486" t="s">
        <v>15</v>
      </c>
      <c r="F486" t="s">
        <v>11</v>
      </c>
      <c r="G486" t="s">
        <v>8</v>
      </c>
      <c r="H486" s="1">
        <v>4</v>
      </c>
      <c r="I486" s="1">
        <v>5460</v>
      </c>
      <c r="J486" t="s">
        <v>9</v>
      </c>
      <c r="K486" s="1">
        <v>22</v>
      </c>
      <c r="L486" s="1">
        <v>4</v>
      </c>
      <c r="M486" s="1">
        <v>13</v>
      </c>
      <c r="N486" s="1">
        <v>4</v>
      </c>
      <c r="O486" s="1">
        <v>7</v>
      </c>
      <c r="P486" s="1">
        <f>COUNTIF(HR_Data[Employee Number],HR_Data[[#This Row],[Employee Number]])</f>
        <v>1</v>
      </c>
      <c r="Q486" s="1" t="str">
        <f>IF(HR_Data[[#This Row],[Years At Company]]&lt;=HR_Data[[#This Row],[Total Working Years]],"Valid","error")</f>
        <v>Valid</v>
      </c>
      <c r="R486" s="1" t="str" cm="1">
        <f t="array" ref="R486">_xlfn.IFS(HR_Data[[#This Row],[Age]]&lt;=30,"Young", HR_Data[[#This Row],[Age]]&lt;=45,"Mid-Age",HR_Data[[#This Row],[Age]]&gt;45,"Senior")</f>
        <v>Mid-Age</v>
      </c>
      <c r="S486" s="1" t="str" cm="1">
        <f t="array" ref="S486">_xlfn.IFS(HR_Data[[#This Row],[Monthly Income]]&lt;5000,"Low", HR_Data[[#This Row],[Monthly Income]]&lt;10000,"Medium",TRUE,"High")</f>
        <v>Medium</v>
      </c>
      <c r="T486" s="1" t="str" cm="1">
        <f t="array" ref="T486">_xlfn.IFS(HR_Data[[#This Row],[Total Working Years]]&lt;=5,"Junior", HR_Data[[#This Row],[Total Working Years]]&lt;=15,"Mid-Level", TRUE, "Senior")</f>
        <v>Mid-Level</v>
      </c>
    </row>
    <row r="487" spans="1:20" x14ac:dyDescent="0.25">
      <c r="A487" s="1">
        <v>655</v>
      </c>
      <c r="B487" s="1">
        <v>27</v>
      </c>
      <c r="C487" t="s">
        <v>9</v>
      </c>
      <c r="D487" t="s">
        <v>10</v>
      </c>
      <c r="E487" t="s">
        <v>15</v>
      </c>
      <c r="F487" t="s">
        <v>7</v>
      </c>
      <c r="G487" t="s">
        <v>12</v>
      </c>
      <c r="H487" s="1">
        <v>3</v>
      </c>
      <c r="I487" s="1">
        <v>2187</v>
      </c>
      <c r="J487" t="s">
        <v>9</v>
      </c>
      <c r="K487" s="1">
        <v>12</v>
      </c>
      <c r="L487" s="1">
        <v>3</v>
      </c>
      <c r="M487" s="1">
        <v>6</v>
      </c>
      <c r="N487" s="1">
        <v>2</v>
      </c>
      <c r="O487" s="1">
        <v>5</v>
      </c>
      <c r="P487" s="1">
        <f>COUNTIF(HR_Data[Employee Number],HR_Data[[#This Row],[Employee Number]])</f>
        <v>1</v>
      </c>
      <c r="Q487" s="1" t="str">
        <f>IF(HR_Data[[#This Row],[Years At Company]]&lt;=HR_Data[[#This Row],[Total Working Years]],"Valid","error")</f>
        <v>Valid</v>
      </c>
      <c r="R487" s="1" t="str" cm="1">
        <f t="array" ref="R487">_xlfn.IFS(HR_Data[[#This Row],[Age]]&lt;=30,"Young", HR_Data[[#This Row],[Age]]&lt;=45,"Mid-Age",HR_Data[[#This Row],[Age]]&gt;45,"Senior")</f>
        <v>Young</v>
      </c>
      <c r="S487" s="1" t="str" cm="1">
        <f t="array" ref="S487">_xlfn.IFS(HR_Data[[#This Row],[Monthly Income]]&lt;5000,"Low", HR_Data[[#This Row],[Monthly Income]]&lt;10000,"Medium",TRUE,"High")</f>
        <v>Low</v>
      </c>
      <c r="T487" s="1" t="str" cm="1">
        <f t="array" ref="T487">_xlfn.IFS(HR_Data[[#This Row],[Total Working Years]]&lt;=5,"Junior", HR_Data[[#This Row],[Total Working Years]]&lt;=15,"Mid-Level", TRUE, "Senior")</f>
        <v>Mid-Level</v>
      </c>
    </row>
    <row r="488" spans="1:20" x14ac:dyDescent="0.25">
      <c r="A488" s="1">
        <v>656</v>
      </c>
      <c r="B488" s="1">
        <v>37</v>
      </c>
      <c r="C488" t="s">
        <v>9</v>
      </c>
      <c r="D488" t="s">
        <v>5</v>
      </c>
      <c r="E488" t="s">
        <v>21</v>
      </c>
      <c r="F488" t="s">
        <v>11</v>
      </c>
      <c r="G488" t="s">
        <v>8</v>
      </c>
      <c r="H488" s="1">
        <v>3</v>
      </c>
      <c r="I488" s="1">
        <v>9602</v>
      </c>
      <c r="J488" t="s">
        <v>4</v>
      </c>
      <c r="K488" s="1">
        <v>11</v>
      </c>
      <c r="L488" s="1">
        <v>3</v>
      </c>
      <c r="M488" s="1">
        <v>17</v>
      </c>
      <c r="N488" s="1">
        <v>2</v>
      </c>
      <c r="O488" s="1">
        <v>3</v>
      </c>
      <c r="P488" s="1">
        <f>COUNTIF(HR_Data[Employee Number],HR_Data[[#This Row],[Employee Number]])</f>
        <v>1</v>
      </c>
      <c r="Q488" s="1" t="str">
        <f>IF(HR_Data[[#This Row],[Years At Company]]&lt;=HR_Data[[#This Row],[Total Working Years]],"Valid","error")</f>
        <v>Valid</v>
      </c>
      <c r="R488" s="1" t="str" cm="1">
        <f t="array" ref="R488">_xlfn.IFS(HR_Data[[#This Row],[Age]]&lt;=30,"Young", HR_Data[[#This Row],[Age]]&lt;=45,"Mid-Age",HR_Data[[#This Row],[Age]]&gt;45,"Senior")</f>
        <v>Mid-Age</v>
      </c>
      <c r="S488" s="1" t="str" cm="1">
        <f t="array" ref="S488">_xlfn.IFS(HR_Data[[#This Row],[Monthly Income]]&lt;5000,"Low", HR_Data[[#This Row],[Monthly Income]]&lt;10000,"Medium",TRUE,"High")</f>
        <v>Medium</v>
      </c>
      <c r="T488" s="1" t="str" cm="1">
        <f t="array" ref="T488">_xlfn.IFS(HR_Data[[#This Row],[Total Working Years]]&lt;=5,"Junior", HR_Data[[#This Row],[Total Working Years]]&lt;=15,"Mid-Level", TRUE, "Senior")</f>
        <v>Senior</v>
      </c>
    </row>
    <row r="489" spans="1:20" x14ac:dyDescent="0.25">
      <c r="A489" s="1">
        <v>657</v>
      </c>
      <c r="B489" s="1">
        <v>20</v>
      </c>
      <c r="C489" t="s">
        <v>9</v>
      </c>
      <c r="D489" t="s">
        <v>10</v>
      </c>
      <c r="E489" t="s">
        <v>6</v>
      </c>
      <c r="F489" t="s">
        <v>7</v>
      </c>
      <c r="G489" t="s">
        <v>12</v>
      </c>
      <c r="H489" s="1">
        <v>2</v>
      </c>
      <c r="I489" s="1">
        <v>2836</v>
      </c>
      <c r="J489" t="s">
        <v>9</v>
      </c>
      <c r="K489" s="1">
        <v>13</v>
      </c>
      <c r="L489" s="1">
        <v>3</v>
      </c>
      <c r="M489" s="1">
        <v>1</v>
      </c>
      <c r="N489" s="1">
        <v>4</v>
      </c>
      <c r="O489" s="1">
        <v>1</v>
      </c>
      <c r="P489" s="1">
        <f>COUNTIF(HR_Data[Employee Number],HR_Data[[#This Row],[Employee Number]])</f>
        <v>1</v>
      </c>
      <c r="Q489" s="1" t="str">
        <f>IF(HR_Data[[#This Row],[Years At Company]]&lt;=HR_Data[[#This Row],[Total Working Years]],"Valid","error")</f>
        <v>Valid</v>
      </c>
      <c r="R489" s="1" t="str" cm="1">
        <f t="array" ref="R489">_xlfn.IFS(HR_Data[[#This Row],[Age]]&lt;=30,"Young", HR_Data[[#This Row],[Age]]&lt;=45,"Mid-Age",HR_Data[[#This Row],[Age]]&gt;45,"Senior")</f>
        <v>Young</v>
      </c>
      <c r="S489" s="1" t="str" cm="1">
        <f t="array" ref="S489">_xlfn.IFS(HR_Data[[#This Row],[Monthly Income]]&lt;5000,"Low", HR_Data[[#This Row],[Monthly Income]]&lt;10000,"Medium",TRUE,"High")</f>
        <v>Low</v>
      </c>
      <c r="T489" s="1" t="str" cm="1">
        <f t="array" ref="T489">_xlfn.IFS(HR_Data[[#This Row],[Total Working Years]]&lt;=5,"Junior", HR_Data[[#This Row],[Total Working Years]]&lt;=15,"Mid-Level", TRUE, "Senior")</f>
        <v>Junior</v>
      </c>
    </row>
    <row r="490" spans="1:20" x14ac:dyDescent="0.25">
      <c r="A490" s="1">
        <v>659</v>
      </c>
      <c r="B490" s="1">
        <v>42</v>
      </c>
      <c r="C490" t="s">
        <v>9</v>
      </c>
      <c r="D490" t="s">
        <v>10</v>
      </c>
      <c r="E490" t="s">
        <v>6</v>
      </c>
      <c r="F490" t="s">
        <v>7</v>
      </c>
      <c r="G490" t="s">
        <v>17</v>
      </c>
      <c r="H490" s="1">
        <v>4</v>
      </c>
      <c r="I490" s="1">
        <v>4089</v>
      </c>
      <c r="J490" t="s">
        <v>9</v>
      </c>
      <c r="K490" s="1">
        <v>13</v>
      </c>
      <c r="L490" s="1">
        <v>3</v>
      </c>
      <c r="M490" s="1">
        <v>10</v>
      </c>
      <c r="N490" s="1">
        <v>3</v>
      </c>
      <c r="O490" s="1">
        <v>10</v>
      </c>
      <c r="P490" s="1">
        <f>COUNTIF(HR_Data[Employee Number],HR_Data[[#This Row],[Employee Number]])</f>
        <v>1</v>
      </c>
      <c r="Q490" s="1" t="str">
        <f>IF(HR_Data[[#This Row],[Years At Company]]&lt;=HR_Data[[#This Row],[Total Working Years]],"Valid","error")</f>
        <v>Valid</v>
      </c>
      <c r="R490" s="1" t="str" cm="1">
        <f t="array" ref="R490">_xlfn.IFS(HR_Data[[#This Row],[Age]]&lt;=30,"Young", HR_Data[[#This Row],[Age]]&lt;=45,"Mid-Age",HR_Data[[#This Row],[Age]]&gt;45,"Senior")</f>
        <v>Mid-Age</v>
      </c>
      <c r="S490" s="1" t="str" cm="1">
        <f t="array" ref="S490">_xlfn.IFS(HR_Data[[#This Row],[Monthly Income]]&lt;5000,"Low", HR_Data[[#This Row],[Monthly Income]]&lt;10000,"Medium",TRUE,"High")</f>
        <v>Low</v>
      </c>
      <c r="T490" s="1" t="str" cm="1">
        <f t="array" ref="T490">_xlfn.IFS(HR_Data[[#This Row],[Total Working Years]]&lt;=5,"Junior", HR_Data[[#This Row],[Total Working Years]]&lt;=15,"Mid-Level", TRUE, "Senior")</f>
        <v>Mid-Level</v>
      </c>
    </row>
    <row r="491" spans="1:20" x14ac:dyDescent="0.25">
      <c r="A491" s="1">
        <v>661</v>
      </c>
      <c r="B491" s="1">
        <v>43</v>
      </c>
      <c r="C491" t="s">
        <v>9</v>
      </c>
      <c r="D491" t="s">
        <v>10</v>
      </c>
      <c r="E491" t="s">
        <v>13</v>
      </c>
      <c r="F491" t="s">
        <v>11</v>
      </c>
      <c r="G491" t="s">
        <v>20</v>
      </c>
      <c r="H491" s="1">
        <v>4</v>
      </c>
      <c r="I491" s="1">
        <v>16627</v>
      </c>
      <c r="J491" t="s">
        <v>4</v>
      </c>
      <c r="K491" s="1">
        <v>14</v>
      </c>
      <c r="L491" s="1">
        <v>3</v>
      </c>
      <c r="M491" s="1">
        <v>21</v>
      </c>
      <c r="N491" s="1">
        <v>2</v>
      </c>
      <c r="O491" s="1">
        <v>1</v>
      </c>
      <c r="P491" s="1">
        <f>COUNTIF(HR_Data[Employee Number],HR_Data[[#This Row],[Employee Number]])</f>
        <v>1</v>
      </c>
      <c r="Q491" s="1" t="str">
        <f>IF(HR_Data[[#This Row],[Years At Company]]&lt;=HR_Data[[#This Row],[Total Working Years]],"Valid","error")</f>
        <v>Valid</v>
      </c>
      <c r="R491" s="1" t="str" cm="1">
        <f t="array" ref="R491">_xlfn.IFS(HR_Data[[#This Row],[Age]]&lt;=30,"Young", HR_Data[[#This Row],[Age]]&lt;=45,"Mid-Age",HR_Data[[#This Row],[Age]]&gt;45,"Senior")</f>
        <v>Mid-Age</v>
      </c>
      <c r="S491" s="1" t="str" cm="1">
        <f t="array" ref="S491">_xlfn.IFS(HR_Data[[#This Row],[Monthly Income]]&lt;5000,"Low", HR_Data[[#This Row],[Monthly Income]]&lt;10000,"Medium",TRUE,"High")</f>
        <v>High</v>
      </c>
      <c r="T491" s="1" t="str" cm="1">
        <f t="array" ref="T491">_xlfn.IFS(HR_Data[[#This Row],[Total Working Years]]&lt;=5,"Junior", HR_Data[[#This Row],[Total Working Years]]&lt;=15,"Mid-Level", TRUE, "Senior")</f>
        <v>Senior</v>
      </c>
    </row>
    <row r="492" spans="1:20" x14ac:dyDescent="0.25">
      <c r="A492" s="1">
        <v>662</v>
      </c>
      <c r="B492" s="1">
        <v>38</v>
      </c>
      <c r="C492" t="s">
        <v>9</v>
      </c>
      <c r="D492" t="s">
        <v>10</v>
      </c>
      <c r="E492" t="s">
        <v>6</v>
      </c>
      <c r="F492" t="s">
        <v>7</v>
      </c>
      <c r="G492" t="s">
        <v>12</v>
      </c>
      <c r="H492" s="1">
        <v>1</v>
      </c>
      <c r="I492" s="1">
        <v>2619</v>
      </c>
      <c r="J492" t="s">
        <v>9</v>
      </c>
      <c r="K492" s="1">
        <v>17</v>
      </c>
      <c r="L492" s="1">
        <v>3</v>
      </c>
      <c r="M492" s="1">
        <v>8</v>
      </c>
      <c r="N492" s="1">
        <v>2</v>
      </c>
      <c r="O492" s="1">
        <v>0</v>
      </c>
      <c r="P492" s="1">
        <f>COUNTIF(HR_Data[Employee Number],HR_Data[[#This Row],[Employee Number]])</f>
        <v>1</v>
      </c>
      <c r="Q492" s="1" t="str">
        <f>IF(HR_Data[[#This Row],[Years At Company]]&lt;=HR_Data[[#This Row],[Total Working Years]],"Valid","error")</f>
        <v>Valid</v>
      </c>
      <c r="R492" s="1" t="str" cm="1">
        <f t="array" ref="R492">_xlfn.IFS(HR_Data[[#This Row],[Age]]&lt;=30,"Young", HR_Data[[#This Row],[Age]]&lt;=45,"Mid-Age",HR_Data[[#This Row],[Age]]&gt;45,"Senior")</f>
        <v>Mid-Age</v>
      </c>
      <c r="S492" s="1" t="str" cm="1">
        <f t="array" ref="S492">_xlfn.IFS(HR_Data[[#This Row],[Monthly Income]]&lt;5000,"Low", HR_Data[[#This Row],[Monthly Income]]&lt;10000,"Medium",TRUE,"High")</f>
        <v>Low</v>
      </c>
      <c r="T492" s="1" t="str" cm="1">
        <f t="array" ref="T492">_xlfn.IFS(HR_Data[[#This Row],[Total Working Years]]&lt;=5,"Junior", HR_Data[[#This Row],[Total Working Years]]&lt;=15,"Mid-Level", TRUE, "Senior")</f>
        <v>Mid-Level</v>
      </c>
    </row>
    <row r="493" spans="1:20" x14ac:dyDescent="0.25">
      <c r="A493" s="1">
        <v>663</v>
      </c>
      <c r="B493" s="1">
        <v>43</v>
      </c>
      <c r="C493" t="s">
        <v>9</v>
      </c>
      <c r="D493" t="s">
        <v>10</v>
      </c>
      <c r="E493" t="s">
        <v>15</v>
      </c>
      <c r="F493" t="s">
        <v>11</v>
      </c>
      <c r="G493" t="s">
        <v>14</v>
      </c>
      <c r="H493" s="1">
        <v>3</v>
      </c>
      <c r="I493" s="1">
        <v>5679</v>
      </c>
      <c r="J493" t="s">
        <v>4</v>
      </c>
      <c r="K493" s="1">
        <v>13</v>
      </c>
      <c r="L493" s="1">
        <v>3</v>
      </c>
      <c r="M493" s="1">
        <v>10</v>
      </c>
      <c r="N493" s="1">
        <v>3</v>
      </c>
      <c r="O493" s="1">
        <v>8</v>
      </c>
      <c r="P493" s="1">
        <f>COUNTIF(HR_Data[Employee Number],HR_Data[[#This Row],[Employee Number]])</f>
        <v>1</v>
      </c>
      <c r="Q493" s="1" t="str">
        <f>IF(HR_Data[[#This Row],[Years At Company]]&lt;=HR_Data[[#This Row],[Total Working Years]],"Valid","error")</f>
        <v>Valid</v>
      </c>
      <c r="R493" s="1" t="str" cm="1">
        <f t="array" ref="R493">_xlfn.IFS(HR_Data[[#This Row],[Age]]&lt;=30,"Young", HR_Data[[#This Row],[Age]]&lt;=45,"Mid-Age",HR_Data[[#This Row],[Age]]&gt;45,"Senior")</f>
        <v>Mid-Age</v>
      </c>
      <c r="S493" s="1" t="str" cm="1">
        <f t="array" ref="S493">_xlfn.IFS(HR_Data[[#This Row],[Monthly Income]]&lt;5000,"Low", HR_Data[[#This Row],[Monthly Income]]&lt;10000,"Medium",TRUE,"High")</f>
        <v>Medium</v>
      </c>
      <c r="T493" s="1" t="str" cm="1">
        <f t="array" ref="T493">_xlfn.IFS(HR_Data[[#This Row],[Total Working Years]]&lt;=5,"Junior", HR_Data[[#This Row],[Total Working Years]]&lt;=15,"Mid-Level", TRUE, "Senior")</f>
        <v>Mid-Level</v>
      </c>
    </row>
    <row r="494" spans="1:20" x14ac:dyDescent="0.25">
      <c r="A494" s="1">
        <v>664</v>
      </c>
      <c r="B494" s="1">
        <v>48</v>
      </c>
      <c r="C494" t="s">
        <v>9</v>
      </c>
      <c r="D494" t="s">
        <v>10</v>
      </c>
      <c r="E494" t="s">
        <v>6</v>
      </c>
      <c r="F494" t="s">
        <v>7</v>
      </c>
      <c r="G494" t="s">
        <v>18</v>
      </c>
      <c r="H494" s="1">
        <v>1</v>
      </c>
      <c r="I494" s="1">
        <v>15402</v>
      </c>
      <c r="J494" t="s">
        <v>9</v>
      </c>
      <c r="K494" s="1">
        <v>11</v>
      </c>
      <c r="L494" s="1">
        <v>3</v>
      </c>
      <c r="M494" s="1">
        <v>21</v>
      </c>
      <c r="N494" s="1">
        <v>1</v>
      </c>
      <c r="O494" s="1">
        <v>3</v>
      </c>
      <c r="P494" s="1">
        <f>COUNTIF(HR_Data[Employee Number],HR_Data[[#This Row],[Employee Number]])</f>
        <v>1</v>
      </c>
      <c r="Q494" s="1" t="str">
        <f>IF(HR_Data[[#This Row],[Years At Company]]&lt;=HR_Data[[#This Row],[Total Working Years]],"Valid","error")</f>
        <v>Valid</v>
      </c>
      <c r="R494" s="1" t="str" cm="1">
        <f t="array" ref="R494">_xlfn.IFS(HR_Data[[#This Row],[Age]]&lt;=30,"Young", HR_Data[[#This Row],[Age]]&lt;=45,"Mid-Age",HR_Data[[#This Row],[Age]]&gt;45,"Senior")</f>
        <v>Senior</v>
      </c>
      <c r="S494" s="1" t="str" cm="1">
        <f t="array" ref="S494">_xlfn.IFS(HR_Data[[#This Row],[Monthly Income]]&lt;5000,"Low", HR_Data[[#This Row],[Monthly Income]]&lt;10000,"Medium",TRUE,"High")</f>
        <v>High</v>
      </c>
      <c r="T494" s="1" t="str" cm="1">
        <f t="array" ref="T494">_xlfn.IFS(HR_Data[[#This Row],[Total Working Years]]&lt;=5,"Junior", HR_Data[[#This Row],[Total Working Years]]&lt;=15,"Mid-Level", TRUE, "Senior")</f>
        <v>Senior</v>
      </c>
    </row>
    <row r="495" spans="1:20" x14ac:dyDescent="0.25">
      <c r="A495" s="1">
        <v>665</v>
      </c>
      <c r="B495" s="1">
        <v>44</v>
      </c>
      <c r="C495" t="s">
        <v>9</v>
      </c>
      <c r="D495" t="s">
        <v>23</v>
      </c>
      <c r="E495" t="s">
        <v>6</v>
      </c>
      <c r="F495" t="s">
        <v>7</v>
      </c>
      <c r="G495" t="s">
        <v>23</v>
      </c>
      <c r="H495" s="1">
        <v>3</v>
      </c>
      <c r="I495" s="1">
        <v>5985</v>
      </c>
      <c r="J495" t="s">
        <v>9</v>
      </c>
      <c r="K495" s="1">
        <v>11</v>
      </c>
      <c r="L495" s="1">
        <v>3</v>
      </c>
      <c r="M495" s="1">
        <v>10</v>
      </c>
      <c r="N495" s="1">
        <v>4</v>
      </c>
      <c r="O495" s="1">
        <v>2</v>
      </c>
      <c r="P495" s="1">
        <f>COUNTIF(HR_Data[Employee Number],HR_Data[[#This Row],[Employee Number]])</f>
        <v>1</v>
      </c>
      <c r="Q495" s="1" t="str">
        <f>IF(HR_Data[[#This Row],[Years At Company]]&lt;=HR_Data[[#This Row],[Total Working Years]],"Valid","error")</f>
        <v>Valid</v>
      </c>
      <c r="R495" s="1" t="str" cm="1">
        <f t="array" ref="R495">_xlfn.IFS(HR_Data[[#This Row],[Age]]&lt;=30,"Young", HR_Data[[#This Row],[Age]]&lt;=45,"Mid-Age",HR_Data[[#This Row],[Age]]&gt;45,"Senior")</f>
        <v>Mid-Age</v>
      </c>
      <c r="S495" s="1" t="str" cm="1">
        <f t="array" ref="S495">_xlfn.IFS(HR_Data[[#This Row],[Monthly Income]]&lt;5000,"Low", HR_Data[[#This Row],[Monthly Income]]&lt;10000,"Medium",TRUE,"High")</f>
        <v>Medium</v>
      </c>
      <c r="T495" s="1" t="str" cm="1">
        <f t="array" ref="T495">_xlfn.IFS(HR_Data[[#This Row],[Total Working Years]]&lt;=5,"Junior", HR_Data[[#This Row],[Total Working Years]]&lt;=15,"Mid-Level", TRUE, "Senior")</f>
        <v>Mid-Level</v>
      </c>
    </row>
    <row r="496" spans="1:20" x14ac:dyDescent="0.25">
      <c r="A496" s="1">
        <v>666</v>
      </c>
      <c r="B496" s="1">
        <v>34</v>
      </c>
      <c r="C496" t="s">
        <v>9</v>
      </c>
      <c r="D496" t="s">
        <v>5</v>
      </c>
      <c r="E496" t="s">
        <v>22</v>
      </c>
      <c r="F496" t="s">
        <v>7</v>
      </c>
      <c r="G496" t="s">
        <v>19</v>
      </c>
      <c r="H496" s="1">
        <v>3</v>
      </c>
      <c r="I496" s="1">
        <v>2579</v>
      </c>
      <c r="J496" t="s">
        <v>4</v>
      </c>
      <c r="K496" s="1">
        <v>18</v>
      </c>
      <c r="L496" s="1">
        <v>3</v>
      </c>
      <c r="M496" s="1">
        <v>8</v>
      </c>
      <c r="N496" s="1">
        <v>3</v>
      </c>
      <c r="O496" s="1">
        <v>8</v>
      </c>
      <c r="P496" s="1">
        <f>COUNTIF(HR_Data[Employee Number],HR_Data[[#This Row],[Employee Number]])</f>
        <v>1</v>
      </c>
      <c r="Q496" s="1" t="str">
        <f>IF(HR_Data[[#This Row],[Years At Company]]&lt;=HR_Data[[#This Row],[Total Working Years]],"Valid","error")</f>
        <v>Valid</v>
      </c>
      <c r="R496" s="1" t="str" cm="1">
        <f t="array" ref="R496">_xlfn.IFS(HR_Data[[#This Row],[Age]]&lt;=30,"Young", HR_Data[[#This Row],[Age]]&lt;=45,"Mid-Age",HR_Data[[#This Row],[Age]]&gt;45,"Senior")</f>
        <v>Mid-Age</v>
      </c>
      <c r="S496" s="1" t="str" cm="1">
        <f t="array" ref="S496">_xlfn.IFS(HR_Data[[#This Row],[Monthly Income]]&lt;5000,"Low", HR_Data[[#This Row],[Monthly Income]]&lt;10000,"Medium",TRUE,"High")</f>
        <v>Low</v>
      </c>
      <c r="T496" s="1" t="str" cm="1">
        <f t="array" ref="T496">_xlfn.IFS(HR_Data[[#This Row],[Total Working Years]]&lt;=5,"Junior", HR_Data[[#This Row],[Total Working Years]]&lt;=15,"Mid-Level", TRUE, "Senior")</f>
        <v>Mid-Level</v>
      </c>
    </row>
    <row r="497" spans="1:20" x14ac:dyDescent="0.25">
      <c r="A497" s="1">
        <v>667</v>
      </c>
      <c r="B497" s="1">
        <v>27</v>
      </c>
      <c r="C497" t="s">
        <v>4</v>
      </c>
      <c r="D497" t="s">
        <v>5</v>
      </c>
      <c r="E497" t="s">
        <v>21</v>
      </c>
      <c r="F497" t="s">
        <v>11</v>
      </c>
      <c r="G497" t="s">
        <v>19</v>
      </c>
      <c r="H497" s="1">
        <v>1</v>
      </c>
      <c r="I497" s="1">
        <v>3041</v>
      </c>
      <c r="J497" t="s">
        <v>9</v>
      </c>
      <c r="K497" s="1">
        <v>11</v>
      </c>
      <c r="L497" s="1">
        <v>3</v>
      </c>
      <c r="M497" s="1">
        <v>5</v>
      </c>
      <c r="N497" s="1">
        <v>3</v>
      </c>
      <c r="O497" s="1">
        <v>4</v>
      </c>
      <c r="P497" s="1">
        <f>COUNTIF(HR_Data[Employee Number],HR_Data[[#This Row],[Employee Number]])</f>
        <v>1</v>
      </c>
      <c r="Q497" s="1" t="str">
        <f>IF(HR_Data[[#This Row],[Years At Company]]&lt;=HR_Data[[#This Row],[Total Working Years]],"Valid","error")</f>
        <v>Valid</v>
      </c>
      <c r="R497" s="1" t="str" cm="1">
        <f t="array" ref="R497">_xlfn.IFS(HR_Data[[#This Row],[Age]]&lt;=30,"Young", HR_Data[[#This Row],[Age]]&lt;=45,"Mid-Age",HR_Data[[#This Row],[Age]]&gt;45,"Senior")</f>
        <v>Young</v>
      </c>
      <c r="S497" s="1" t="str" cm="1">
        <f t="array" ref="S497">_xlfn.IFS(HR_Data[[#This Row],[Monthly Income]]&lt;5000,"Low", HR_Data[[#This Row],[Monthly Income]]&lt;10000,"Medium",TRUE,"High")</f>
        <v>Low</v>
      </c>
      <c r="T497" s="1" t="str" cm="1">
        <f t="array" ref="T497">_xlfn.IFS(HR_Data[[#This Row],[Total Working Years]]&lt;=5,"Junior", HR_Data[[#This Row],[Total Working Years]]&lt;=15,"Mid-Level", TRUE, "Senior")</f>
        <v>Junior</v>
      </c>
    </row>
    <row r="498" spans="1:20" x14ac:dyDescent="0.25">
      <c r="A498" s="1">
        <v>669</v>
      </c>
      <c r="B498" s="1">
        <v>21</v>
      </c>
      <c r="C498" t="s">
        <v>9</v>
      </c>
      <c r="D498" t="s">
        <v>5</v>
      </c>
      <c r="E498" t="s">
        <v>22</v>
      </c>
      <c r="F498" t="s">
        <v>11</v>
      </c>
      <c r="G498" t="s">
        <v>19</v>
      </c>
      <c r="H498" s="1">
        <v>3</v>
      </c>
      <c r="I498" s="1">
        <v>3447</v>
      </c>
      <c r="J498" t="s">
        <v>9</v>
      </c>
      <c r="K498" s="1">
        <v>11</v>
      </c>
      <c r="L498" s="1">
        <v>3</v>
      </c>
      <c r="M498" s="1">
        <v>3</v>
      </c>
      <c r="N498" s="1">
        <v>3</v>
      </c>
      <c r="O498" s="1">
        <v>3</v>
      </c>
      <c r="P498" s="1">
        <f>COUNTIF(HR_Data[Employee Number],HR_Data[[#This Row],[Employee Number]])</f>
        <v>1</v>
      </c>
      <c r="Q498" s="1" t="str">
        <f>IF(HR_Data[[#This Row],[Years At Company]]&lt;=HR_Data[[#This Row],[Total Working Years]],"Valid","error")</f>
        <v>Valid</v>
      </c>
      <c r="R498" s="1" t="str" cm="1">
        <f t="array" ref="R498">_xlfn.IFS(HR_Data[[#This Row],[Age]]&lt;=30,"Young", HR_Data[[#This Row],[Age]]&lt;=45,"Mid-Age",HR_Data[[#This Row],[Age]]&gt;45,"Senior")</f>
        <v>Young</v>
      </c>
      <c r="S498" s="1" t="str" cm="1">
        <f t="array" ref="S498">_xlfn.IFS(HR_Data[[#This Row],[Monthly Income]]&lt;5000,"Low", HR_Data[[#This Row],[Monthly Income]]&lt;10000,"Medium",TRUE,"High")</f>
        <v>Low</v>
      </c>
      <c r="T498" s="1" t="str" cm="1">
        <f t="array" ref="T498">_xlfn.IFS(HR_Data[[#This Row],[Total Working Years]]&lt;=5,"Junior", HR_Data[[#This Row],[Total Working Years]]&lt;=15,"Mid-Level", TRUE, "Senior")</f>
        <v>Junior</v>
      </c>
    </row>
    <row r="499" spans="1:20" x14ac:dyDescent="0.25">
      <c r="A499" s="1">
        <v>671</v>
      </c>
      <c r="B499" s="1">
        <v>44</v>
      </c>
      <c r="C499" t="s">
        <v>9</v>
      </c>
      <c r="D499" t="s">
        <v>10</v>
      </c>
      <c r="E499" t="s">
        <v>13</v>
      </c>
      <c r="F499" t="s">
        <v>11</v>
      </c>
      <c r="G499" t="s">
        <v>18</v>
      </c>
      <c r="H499" s="1">
        <v>4</v>
      </c>
      <c r="I499" s="1">
        <v>19513</v>
      </c>
      <c r="J499" t="s">
        <v>4</v>
      </c>
      <c r="K499" s="1">
        <v>12</v>
      </c>
      <c r="L499" s="1">
        <v>3</v>
      </c>
      <c r="M499" s="1">
        <v>26</v>
      </c>
      <c r="N499" s="1">
        <v>4</v>
      </c>
      <c r="O499" s="1">
        <v>2</v>
      </c>
      <c r="P499" s="1">
        <f>COUNTIF(HR_Data[Employee Number],HR_Data[[#This Row],[Employee Number]])</f>
        <v>1</v>
      </c>
      <c r="Q499" s="1" t="str">
        <f>IF(HR_Data[[#This Row],[Years At Company]]&lt;=HR_Data[[#This Row],[Total Working Years]],"Valid","error")</f>
        <v>Valid</v>
      </c>
      <c r="R499" s="1" t="str" cm="1">
        <f t="array" ref="R499">_xlfn.IFS(HR_Data[[#This Row],[Age]]&lt;=30,"Young", HR_Data[[#This Row],[Age]]&lt;=45,"Mid-Age",HR_Data[[#This Row],[Age]]&gt;45,"Senior")</f>
        <v>Mid-Age</v>
      </c>
      <c r="S499" s="1" t="str" cm="1">
        <f t="array" ref="S499">_xlfn.IFS(HR_Data[[#This Row],[Monthly Income]]&lt;5000,"Low", HR_Data[[#This Row],[Monthly Income]]&lt;10000,"Medium",TRUE,"High")</f>
        <v>High</v>
      </c>
      <c r="T499" s="1" t="str" cm="1">
        <f t="array" ref="T499">_xlfn.IFS(HR_Data[[#This Row],[Total Working Years]]&lt;=5,"Junior", HR_Data[[#This Row],[Total Working Years]]&lt;=15,"Mid-Level", TRUE, "Senior")</f>
        <v>Senior</v>
      </c>
    </row>
    <row r="500" spans="1:20" x14ac:dyDescent="0.25">
      <c r="A500" s="1">
        <v>675</v>
      </c>
      <c r="B500" s="1">
        <v>22</v>
      </c>
      <c r="C500" t="s">
        <v>9</v>
      </c>
      <c r="D500" t="s">
        <v>10</v>
      </c>
      <c r="E500" t="s">
        <v>15</v>
      </c>
      <c r="F500" t="s">
        <v>11</v>
      </c>
      <c r="G500" t="s">
        <v>12</v>
      </c>
      <c r="H500" s="1">
        <v>3</v>
      </c>
      <c r="I500" s="1">
        <v>2773</v>
      </c>
      <c r="J500" t="s">
        <v>9</v>
      </c>
      <c r="K500" s="1">
        <v>20</v>
      </c>
      <c r="L500" s="1">
        <v>4</v>
      </c>
      <c r="M500" s="1">
        <v>3</v>
      </c>
      <c r="N500" s="1">
        <v>3</v>
      </c>
      <c r="O500" s="1">
        <v>2</v>
      </c>
      <c r="P500" s="1">
        <f>COUNTIF(HR_Data[Employee Number],HR_Data[[#This Row],[Employee Number]])</f>
        <v>1</v>
      </c>
      <c r="Q500" s="1" t="str">
        <f>IF(HR_Data[[#This Row],[Years At Company]]&lt;=HR_Data[[#This Row],[Total Working Years]],"Valid","error")</f>
        <v>Valid</v>
      </c>
      <c r="R500" s="1" t="str" cm="1">
        <f t="array" ref="R500">_xlfn.IFS(HR_Data[[#This Row],[Age]]&lt;=30,"Young", HR_Data[[#This Row],[Age]]&lt;=45,"Mid-Age",HR_Data[[#This Row],[Age]]&gt;45,"Senior")</f>
        <v>Young</v>
      </c>
      <c r="S500" s="1" t="str" cm="1">
        <f t="array" ref="S500">_xlfn.IFS(HR_Data[[#This Row],[Monthly Income]]&lt;5000,"Low", HR_Data[[#This Row],[Monthly Income]]&lt;10000,"Medium",TRUE,"High")</f>
        <v>Low</v>
      </c>
      <c r="T500" s="1" t="str" cm="1">
        <f t="array" ref="T500">_xlfn.IFS(HR_Data[[#This Row],[Total Working Years]]&lt;=5,"Junior", HR_Data[[#This Row],[Total Working Years]]&lt;=15,"Mid-Level", TRUE, "Senior")</f>
        <v>Junior</v>
      </c>
    </row>
    <row r="501" spans="1:20" x14ac:dyDescent="0.25">
      <c r="A501" s="1">
        <v>677</v>
      </c>
      <c r="B501" s="1">
        <v>33</v>
      </c>
      <c r="C501" t="s">
        <v>9</v>
      </c>
      <c r="D501" t="s">
        <v>5</v>
      </c>
      <c r="E501" t="s">
        <v>21</v>
      </c>
      <c r="F501" t="s">
        <v>11</v>
      </c>
      <c r="G501" t="s">
        <v>8</v>
      </c>
      <c r="H501" s="1">
        <v>3</v>
      </c>
      <c r="I501" s="1">
        <v>7104</v>
      </c>
      <c r="J501" t="s">
        <v>9</v>
      </c>
      <c r="K501" s="1">
        <v>12</v>
      </c>
      <c r="L501" s="1">
        <v>3</v>
      </c>
      <c r="M501" s="1">
        <v>6</v>
      </c>
      <c r="N501" s="1">
        <v>3</v>
      </c>
      <c r="O501" s="1">
        <v>5</v>
      </c>
      <c r="P501" s="1">
        <f>COUNTIF(HR_Data[Employee Number],HR_Data[[#This Row],[Employee Number]])</f>
        <v>1</v>
      </c>
      <c r="Q501" s="1" t="str">
        <f>IF(HR_Data[[#This Row],[Years At Company]]&lt;=HR_Data[[#This Row],[Total Working Years]],"Valid","error")</f>
        <v>Valid</v>
      </c>
      <c r="R501" s="1" t="str" cm="1">
        <f t="array" ref="R501">_xlfn.IFS(HR_Data[[#This Row],[Age]]&lt;=30,"Young", HR_Data[[#This Row],[Age]]&lt;=45,"Mid-Age",HR_Data[[#This Row],[Age]]&gt;45,"Senior")</f>
        <v>Mid-Age</v>
      </c>
      <c r="S501" s="1" t="str" cm="1">
        <f t="array" ref="S501">_xlfn.IFS(HR_Data[[#This Row],[Monthly Income]]&lt;5000,"Low", HR_Data[[#This Row],[Monthly Income]]&lt;10000,"Medium",TRUE,"High")</f>
        <v>Medium</v>
      </c>
      <c r="T501" s="1" t="str" cm="1">
        <f t="array" ref="T501">_xlfn.IFS(HR_Data[[#This Row],[Total Working Years]]&lt;=5,"Junior", HR_Data[[#This Row],[Total Working Years]]&lt;=15,"Mid-Level", TRUE, "Senior")</f>
        <v>Mid-Level</v>
      </c>
    </row>
    <row r="502" spans="1:20" x14ac:dyDescent="0.25">
      <c r="A502" s="1">
        <v>679</v>
      </c>
      <c r="B502" s="1">
        <v>32</v>
      </c>
      <c r="C502" t="s">
        <v>9</v>
      </c>
      <c r="D502" t="s">
        <v>10</v>
      </c>
      <c r="E502" t="s">
        <v>6</v>
      </c>
      <c r="F502" t="s">
        <v>7</v>
      </c>
      <c r="G502" t="s">
        <v>12</v>
      </c>
      <c r="H502" s="1">
        <v>4</v>
      </c>
      <c r="I502" s="1">
        <v>6322</v>
      </c>
      <c r="J502" t="s">
        <v>4</v>
      </c>
      <c r="K502" s="1">
        <v>12</v>
      </c>
      <c r="L502" s="1">
        <v>3</v>
      </c>
      <c r="M502" s="1">
        <v>6</v>
      </c>
      <c r="N502" s="1">
        <v>2</v>
      </c>
      <c r="O502" s="1">
        <v>6</v>
      </c>
      <c r="P502" s="1">
        <f>COUNTIF(HR_Data[Employee Number],HR_Data[[#This Row],[Employee Number]])</f>
        <v>1</v>
      </c>
      <c r="Q502" s="1" t="str">
        <f>IF(HR_Data[[#This Row],[Years At Company]]&lt;=HR_Data[[#This Row],[Total Working Years]],"Valid","error")</f>
        <v>Valid</v>
      </c>
      <c r="R502" s="1" t="str" cm="1">
        <f t="array" ref="R502">_xlfn.IFS(HR_Data[[#This Row],[Age]]&lt;=30,"Young", HR_Data[[#This Row],[Age]]&lt;=45,"Mid-Age",HR_Data[[#This Row],[Age]]&gt;45,"Senior")</f>
        <v>Mid-Age</v>
      </c>
      <c r="S502" s="1" t="str" cm="1">
        <f t="array" ref="S502">_xlfn.IFS(HR_Data[[#This Row],[Monthly Income]]&lt;5000,"Low", HR_Data[[#This Row],[Monthly Income]]&lt;10000,"Medium",TRUE,"High")</f>
        <v>Medium</v>
      </c>
      <c r="T502" s="1" t="str" cm="1">
        <f t="array" ref="T502">_xlfn.IFS(HR_Data[[#This Row],[Total Working Years]]&lt;=5,"Junior", HR_Data[[#This Row],[Total Working Years]]&lt;=15,"Mid-Level", TRUE, "Senior")</f>
        <v>Mid-Level</v>
      </c>
    </row>
    <row r="503" spans="1:20" x14ac:dyDescent="0.25">
      <c r="A503" s="1">
        <v>680</v>
      </c>
      <c r="B503" s="1">
        <v>30</v>
      </c>
      <c r="C503" t="s">
        <v>9</v>
      </c>
      <c r="D503" t="s">
        <v>10</v>
      </c>
      <c r="E503" t="s">
        <v>15</v>
      </c>
      <c r="F503" t="s">
        <v>7</v>
      </c>
      <c r="G503" t="s">
        <v>12</v>
      </c>
      <c r="H503" s="1">
        <v>3</v>
      </c>
      <c r="I503" s="1">
        <v>2083</v>
      </c>
      <c r="J503" t="s">
        <v>9</v>
      </c>
      <c r="K503" s="1">
        <v>20</v>
      </c>
      <c r="L503" s="1">
        <v>4</v>
      </c>
      <c r="M503" s="1">
        <v>1</v>
      </c>
      <c r="N503" s="1">
        <v>3</v>
      </c>
      <c r="O503" s="1">
        <v>1</v>
      </c>
      <c r="P503" s="1">
        <f>COUNTIF(HR_Data[Employee Number],HR_Data[[#This Row],[Employee Number]])</f>
        <v>1</v>
      </c>
      <c r="Q503" s="1" t="str">
        <f>IF(HR_Data[[#This Row],[Years At Company]]&lt;=HR_Data[[#This Row],[Total Working Years]],"Valid","error")</f>
        <v>Valid</v>
      </c>
      <c r="R503" s="1" t="str" cm="1">
        <f t="array" ref="R503">_xlfn.IFS(HR_Data[[#This Row],[Age]]&lt;=30,"Young", HR_Data[[#This Row],[Age]]&lt;=45,"Mid-Age",HR_Data[[#This Row],[Age]]&gt;45,"Senior")</f>
        <v>Young</v>
      </c>
      <c r="S503" s="1" t="str" cm="1">
        <f t="array" ref="S503">_xlfn.IFS(HR_Data[[#This Row],[Monthly Income]]&lt;5000,"Low", HR_Data[[#This Row],[Monthly Income]]&lt;10000,"Medium",TRUE,"High")</f>
        <v>Low</v>
      </c>
      <c r="T503" s="1" t="str" cm="1">
        <f t="array" ref="T503">_xlfn.IFS(HR_Data[[#This Row],[Total Working Years]]&lt;=5,"Junior", HR_Data[[#This Row],[Total Working Years]]&lt;=15,"Mid-Level", TRUE, "Senior")</f>
        <v>Junior</v>
      </c>
    </row>
    <row r="504" spans="1:20" x14ac:dyDescent="0.25">
      <c r="A504" s="1">
        <v>682</v>
      </c>
      <c r="B504" s="1">
        <v>53</v>
      </c>
      <c r="C504" t="s">
        <v>9</v>
      </c>
      <c r="D504" t="s">
        <v>5</v>
      </c>
      <c r="E504" t="s">
        <v>15</v>
      </c>
      <c r="F504" t="s">
        <v>7</v>
      </c>
      <c r="G504" t="s">
        <v>8</v>
      </c>
      <c r="H504" s="1">
        <v>1</v>
      </c>
      <c r="I504" s="1">
        <v>8381</v>
      </c>
      <c r="J504" t="s">
        <v>9</v>
      </c>
      <c r="K504" s="1">
        <v>20</v>
      </c>
      <c r="L504" s="1">
        <v>4</v>
      </c>
      <c r="M504" s="1">
        <v>18</v>
      </c>
      <c r="N504" s="1">
        <v>4</v>
      </c>
      <c r="O504" s="1">
        <v>14</v>
      </c>
      <c r="P504" s="1">
        <f>COUNTIF(HR_Data[Employee Number],HR_Data[[#This Row],[Employee Number]])</f>
        <v>1</v>
      </c>
      <c r="Q504" s="1" t="str">
        <f>IF(HR_Data[[#This Row],[Years At Company]]&lt;=HR_Data[[#This Row],[Total Working Years]],"Valid","error")</f>
        <v>Valid</v>
      </c>
      <c r="R504" s="1" t="str" cm="1">
        <f t="array" ref="R504">_xlfn.IFS(HR_Data[[#This Row],[Age]]&lt;=30,"Young", HR_Data[[#This Row],[Age]]&lt;=45,"Mid-Age",HR_Data[[#This Row],[Age]]&gt;45,"Senior")</f>
        <v>Senior</v>
      </c>
      <c r="S504" s="1" t="str" cm="1">
        <f t="array" ref="S504">_xlfn.IFS(HR_Data[[#This Row],[Monthly Income]]&lt;5000,"Low", HR_Data[[#This Row],[Monthly Income]]&lt;10000,"Medium",TRUE,"High")</f>
        <v>Medium</v>
      </c>
      <c r="T504" s="1" t="str" cm="1">
        <f t="array" ref="T504">_xlfn.IFS(HR_Data[[#This Row],[Total Working Years]]&lt;=5,"Junior", HR_Data[[#This Row],[Total Working Years]]&lt;=15,"Mid-Level", TRUE, "Senior")</f>
        <v>Senior</v>
      </c>
    </row>
    <row r="505" spans="1:20" x14ac:dyDescent="0.25">
      <c r="A505" s="1">
        <v>683</v>
      </c>
      <c r="B505" s="1">
        <v>34</v>
      </c>
      <c r="C505" t="s">
        <v>9</v>
      </c>
      <c r="D505" t="s">
        <v>10</v>
      </c>
      <c r="E505" t="s">
        <v>6</v>
      </c>
      <c r="F505" t="s">
        <v>11</v>
      </c>
      <c r="G505" t="s">
        <v>12</v>
      </c>
      <c r="H505" s="1">
        <v>4</v>
      </c>
      <c r="I505" s="1">
        <v>2691</v>
      </c>
      <c r="J505" t="s">
        <v>9</v>
      </c>
      <c r="K505" s="1">
        <v>12</v>
      </c>
      <c r="L505" s="1">
        <v>3</v>
      </c>
      <c r="M505" s="1">
        <v>10</v>
      </c>
      <c r="N505" s="1">
        <v>2</v>
      </c>
      <c r="O505" s="1">
        <v>10</v>
      </c>
      <c r="P505" s="1">
        <f>COUNTIF(HR_Data[Employee Number],HR_Data[[#This Row],[Employee Number]])</f>
        <v>1</v>
      </c>
      <c r="Q505" s="1" t="str">
        <f>IF(HR_Data[[#This Row],[Years At Company]]&lt;=HR_Data[[#This Row],[Total Working Years]],"Valid","error")</f>
        <v>Valid</v>
      </c>
      <c r="R505" s="1" t="str" cm="1">
        <f t="array" ref="R505">_xlfn.IFS(HR_Data[[#This Row],[Age]]&lt;=30,"Young", HR_Data[[#This Row],[Age]]&lt;=45,"Mid-Age",HR_Data[[#This Row],[Age]]&gt;45,"Senior")</f>
        <v>Mid-Age</v>
      </c>
      <c r="S505" s="1" t="str" cm="1">
        <f t="array" ref="S505">_xlfn.IFS(HR_Data[[#This Row],[Monthly Income]]&lt;5000,"Low", HR_Data[[#This Row],[Monthly Income]]&lt;10000,"Medium",TRUE,"High")</f>
        <v>Low</v>
      </c>
      <c r="T505" s="1" t="str" cm="1">
        <f t="array" ref="T505">_xlfn.IFS(HR_Data[[#This Row],[Total Working Years]]&lt;=5,"Junior", HR_Data[[#This Row],[Total Working Years]]&lt;=15,"Mid-Level", TRUE, "Senior")</f>
        <v>Mid-Level</v>
      </c>
    </row>
    <row r="506" spans="1:20" x14ac:dyDescent="0.25">
      <c r="A506" s="1">
        <v>684</v>
      </c>
      <c r="B506" s="1">
        <v>45</v>
      </c>
      <c r="C506" t="s">
        <v>4</v>
      </c>
      <c r="D506" t="s">
        <v>5</v>
      </c>
      <c r="E506" t="s">
        <v>6</v>
      </c>
      <c r="F506" t="s">
        <v>7</v>
      </c>
      <c r="G506" t="s">
        <v>8</v>
      </c>
      <c r="H506" s="1">
        <v>1</v>
      </c>
      <c r="I506" s="1">
        <v>4286</v>
      </c>
      <c r="J506" t="s">
        <v>9</v>
      </c>
      <c r="K506" s="1">
        <v>14</v>
      </c>
      <c r="L506" s="1">
        <v>3</v>
      </c>
      <c r="M506" s="1">
        <v>5</v>
      </c>
      <c r="N506" s="1">
        <v>3</v>
      </c>
      <c r="O506" s="1">
        <v>1</v>
      </c>
      <c r="P506" s="1">
        <f>COUNTIF(HR_Data[Employee Number],HR_Data[[#This Row],[Employee Number]])</f>
        <v>1</v>
      </c>
      <c r="Q506" s="1" t="str">
        <f>IF(HR_Data[[#This Row],[Years At Company]]&lt;=HR_Data[[#This Row],[Total Working Years]],"Valid","error")</f>
        <v>Valid</v>
      </c>
      <c r="R506" s="1" t="str" cm="1">
        <f t="array" ref="R506">_xlfn.IFS(HR_Data[[#This Row],[Age]]&lt;=30,"Young", HR_Data[[#This Row],[Age]]&lt;=45,"Mid-Age",HR_Data[[#This Row],[Age]]&gt;45,"Senior")</f>
        <v>Mid-Age</v>
      </c>
      <c r="S506" s="1" t="str" cm="1">
        <f t="array" ref="S506">_xlfn.IFS(HR_Data[[#This Row],[Monthly Income]]&lt;5000,"Low", HR_Data[[#This Row],[Monthly Income]]&lt;10000,"Medium",TRUE,"High")</f>
        <v>Low</v>
      </c>
      <c r="T506" s="1" t="str" cm="1">
        <f t="array" ref="T506">_xlfn.IFS(HR_Data[[#This Row],[Total Working Years]]&lt;=5,"Junior", HR_Data[[#This Row],[Total Working Years]]&lt;=15,"Mid-Level", TRUE, "Senior")</f>
        <v>Junior</v>
      </c>
    </row>
    <row r="507" spans="1:20" x14ac:dyDescent="0.25">
      <c r="A507" s="1">
        <v>686</v>
      </c>
      <c r="B507" s="1">
        <v>26</v>
      </c>
      <c r="C507" t="s">
        <v>9</v>
      </c>
      <c r="D507" t="s">
        <v>10</v>
      </c>
      <c r="E507" t="s">
        <v>6</v>
      </c>
      <c r="F507" t="s">
        <v>7</v>
      </c>
      <c r="G507" t="s">
        <v>14</v>
      </c>
      <c r="H507" s="1">
        <v>4</v>
      </c>
      <c r="I507" s="1">
        <v>2659</v>
      </c>
      <c r="J507" t="s">
        <v>4</v>
      </c>
      <c r="K507" s="1">
        <v>13</v>
      </c>
      <c r="L507" s="1">
        <v>3</v>
      </c>
      <c r="M507" s="1">
        <v>3</v>
      </c>
      <c r="N507" s="1">
        <v>3</v>
      </c>
      <c r="O507" s="1">
        <v>3</v>
      </c>
      <c r="P507" s="1">
        <f>COUNTIF(HR_Data[Employee Number],HR_Data[[#This Row],[Employee Number]])</f>
        <v>1</v>
      </c>
      <c r="Q507" s="1" t="str">
        <f>IF(HR_Data[[#This Row],[Years At Company]]&lt;=HR_Data[[#This Row],[Total Working Years]],"Valid","error")</f>
        <v>Valid</v>
      </c>
      <c r="R507" s="1" t="str" cm="1">
        <f t="array" ref="R507">_xlfn.IFS(HR_Data[[#This Row],[Age]]&lt;=30,"Young", HR_Data[[#This Row],[Age]]&lt;=45,"Mid-Age",HR_Data[[#This Row],[Age]]&gt;45,"Senior")</f>
        <v>Young</v>
      </c>
      <c r="S507" s="1" t="str" cm="1">
        <f t="array" ref="S507">_xlfn.IFS(HR_Data[[#This Row],[Monthly Income]]&lt;5000,"Low", HR_Data[[#This Row],[Monthly Income]]&lt;10000,"Medium",TRUE,"High")</f>
        <v>Low</v>
      </c>
      <c r="T507" s="1" t="str" cm="1">
        <f t="array" ref="T507">_xlfn.IFS(HR_Data[[#This Row],[Total Working Years]]&lt;=5,"Junior", HR_Data[[#This Row],[Total Working Years]]&lt;=15,"Mid-Level", TRUE, "Senior")</f>
        <v>Junior</v>
      </c>
    </row>
    <row r="508" spans="1:20" x14ac:dyDescent="0.25">
      <c r="A508" s="1">
        <v>689</v>
      </c>
      <c r="B508" s="1">
        <v>37</v>
      </c>
      <c r="C508" t="s">
        <v>9</v>
      </c>
      <c r="D508" t="s">
        <v>10</v>
      </c>
      <c r="E508" t="s">
        <v>13</v>
      </c>
      <c r="F508" t="s">
        <v>11</v>
      </c>
      <c r="G508" t="s">
        <v>16</v>
      </c>
      <c r="H508" s="1">
        <v>3</v>
      </c>
      <c r="I508" s="1">
        <v>9434</v>
      </c>
      <c r="J508" t="s">
        <v>9</v>
      </c>
      <c r="K508" s="1">
        <v>15</v>
      </c>
      <c r="L508" s="1">
        <v>3</v>
      </c>
      <c r="M508" s="1">
        <v>10</v>
      </c>
      <c r="N508" s="1">
        <v>3</v>
      </c>
      <c r="O508" s="1">
        <v>10</v>
      </c>
      <c r="P508" s="1">
        <f>COUNTIF(HR_Data[Employee Number],HR_Data[[#This Row],[Employee Number]])</f>
        <v>1</v>
      </c>
      <c r="Q508" s="1" t="str">
        <f>IF(HR_Data[[#This Row],[Years At Company]]&lt;=HR_Data[[#This Row],[Total Working Years]],"Valid","error")</f>
        <v>Valid</v>
      </c>
      <c r="R508" s="1" t="str" cm="1">
        <f t="array" ref="R508">_xlfn.IFS(HR_Data[[#This Row],[Age]]&lt;=30,"Young", HR_Data[[#This Row],[Age]]&lt;=45,"Mid-Age",HR_Data[[#This Row],[Age]]&gt;45,"Senior")</f>
        <v>Mid-Age</v>
      </c>
      <c r="S508" s="1" t="str" cm="1">
        <f t="array" ref="S508">_xlfn.IFS(HR_Data[[#This Row],[Monthly Income]]&lt;5000,"Low", HR_Data[[#This Row],[Monthly Income]]&lt;10000,"Medium",TRUE,"High")</f>
        <v>Medium</v>
      </c>
      <c r="T508" s="1" t="str" cm="1">
        <f t="array" ref="T508">_xlfn.IFS(HR_Data[[#This Row],[Total Working Years]]&lt;=5,"Junior", HR_Data[[#This Row],[Total Working Years]]&lt;=15,"Mid-Level", TRUE, "Senior")</f>
        <v>Mid-Level</v>
      </c>
    </row>
    <row r="509" spans="1:20" x14ac:dyDescent="0.25">
      <c r="A509" s="1">
        <v>690</v>
      </c>
      <c r="B509" s="1">
        <v>29</v>
      </c>
      <c r="C509" t="s">
        <v>9</v>
      </c>
      <c r="D509" t="s">
        <v>5</v>
      </c>
      <c r="E509" t="s">
        <v>15</v>
      </c>
      <c r="F509" t="s">
        <v>7</v>
      </c>
      <c r="G509" t="s">
        <v>8</v>
      </c>
      <c r="H509" s="1">
        <v>3</v>
      </c>
      <c r="I509" s="1">
        <v>5561</v>
      </c>
      <c r="J509" t="s">
        <v>9</v>
      </c>
      <c r="K509" s="1">
        <v>14</v>
      </c>
      <c r="L509" s="1">
        <v>3</v>
      </c>
      <c r="M509" s="1">
        <v>6</v>
      </c>
      <c r="N509" s="1">
        <v>2</v>
      </c>
      <c r="O509" s="1">
        <v>6</v>
      </c>
      <c r="P509" s="1">
        <f>COUNTIF(HR_Data[Employee Number],HR_Data[[#This Row],[Employee Number]])</f>
        <v>1</v>
      </c>
      <c r="Q509" s="1" t="str">
        <f>IF(HR_Data[[#This Row],[Years At Company]]&lt;=HR_Data[[#This Row],[Total Working Years]],"Valid","error")</f>
        <v>Valid</v>
      </c>
      <c r="R509" s="1" t="str" cm="1">
        <f t="array" ref="R509">_xlfn.IFS(HR_Data[[#This Row],[Age]]&lt;=30,"Young", HR_Data[[#This Row],[Age]]&lt;=45,"Mid-Age",HR_Data[[#This Row],[Age]]&gt;45,"Senior")</f>
        <v>Young</v>
      </c>
      <c r="S509" s="1" t="str" cm="1">
        <f t="array" ref="S509">_xlfn.IFS(HR_Data[[#This Row],[Monthly Income]]&lt;5000,"Low", HR_Data[[#This Row],[Monthly Income]]&lt;10000,"Medium",TRUE,"High")</f>
        <v>Medium</v>
      </c>
      <c r="T509" s="1" t="str" cm="1">
        <f t="array" ref="T509">_xlfn.IFS(HR_Data[[#This Row],[Total Working Years]]&lt;=5,"Junior", HR_Data[[#This Row],[Total Working Years]]&lt;=15,"Mid-Level", TRUE, "Senior")</f>
        <v>Mid-Level</v>
      </c>
    </row>
    <row r="510" spans="1:20" x14ac:dyDescent="0.25">
      <c r="A510" s="1">
        <v>691</v>
      </c>
      <c r="B510" s="1">
        <v>35</v>
      </c>
      <c r="C510" t="s">
        <v>9</v>
      </c>
      <c r="D510" t="s">
        <v>10</v>
      </c>
      <c r="E510" t="s">
        <v>6</v>
      </c>
      <c r="F510" t="s">
        <v>11</v>
      </c>
      <c r="G510" t="s">
        <v>12</v>
      </c>
      <c r="H510" s="1">
        <v>4</v>
      </c>
      <c r="I510" s="1">
        <v>6646</v>
      </c>
      <c r="J510" t="s">
        <v>9</v>
      </c>
      <c r="K510" s="1">
        <v>13</v>
      </c>
      <c r="L510" s="1">
        <v>3</v>
      </c>
      <c r="M510" s="1">
        <v>17</v>
      </c>
      <c r="N510" s="1">
        <v>3</v>
      </c>
      <c r="O510" s="1">
        <v>17</v>
      </c>
      <c r="P510" s="1">
        <f>COUNTIF(HR_Data[Employee Number],HR_Data[[#This Row],[Employee Number]])</f>
        <v>1</v>
      </c>
      <c r="Q510" s="1" t="str">
        <f>IF(HR_Data[[#This Row],[Years At Company]]&lt;=HR_Data[[#This Row],[Total Working Years]],"Valid","error")</f>
        <v>Valid</v>
      </c>
      <c r="R510" s="1" t="str" cm="1">
        <f t="array" ref="R510">_xlfn.IFS(HR_Data[[#This Row],[Age]]&lt;=30,"Young", HR_Data[[#This Row],[Age]]&lt;=45,"Mid-Age",HR_Data[[#This Row],[Age]]&gt;45,"Senior")</f>
        <v>Mid-Age</v>
      </c>
      <c r="S510" s="1" t="str" cm="1">
        <f t="array" ref="S510">_xlfn.IFS(HR_Data[[#This Row],[Monthly Income]]&lt;5000,"Low", HR_Data[[#This Row],[Monthly Income]]&lt;10000,"Medium",TRUE,"High")</f>
        <v>Medium</v>
      </c>
      <c r="T510" s="1" t="str" cm="1">
        <f t="array" ref="T510">_xlfn.IFS(HR_Data[[#This Row],[Total Working Years]]&lt;=5,"Junior", HR_Data[[#This Row],[Total Working Years]]&lt;=15,"Mid-Level", TRUE, "Senior")</f>
        <v>Senior</v>
      </c>
    </row>
    <row r="511" spans="1:20" x14ac:dyDescent="0.25">
      <c r="A511" s="1">
        <v>692</v>
      </c>
      <c r="B511" s="1">
        <v>33</v>
      </c>
      <c r="C511" t="s">
        <v>9</v>
      </c>
      <c r="D511" t="s">
        <v>10</v>
      </c>
      <c r="E511" t="s">
        <v>6</v>
      </c>
      <c r="F511" t="s">
        <v>11</v>
      </c>
      <c r="G511" t="s">
        <v>17</v>
      </c>
      <c r="H511" s="1">
        <v>4</v>
      </c>
      <c r="I511" s="1">
        <v>7725</v>
      </c>
      <c r="J511" t="s">
        <v>9</v>
      </c>
      <c r="K511" s="1">
        <v>23</v>
      </c>
      <c r="L511" s="1">
        <v>4</v>
      </c>
      <c r="M511" s="1">
        <v>15</v>
      </c>
      <c r="N511" s="1">
        <v>1</v>
      </c>
      <c r="O511" s="1">
        <v>13</v>
      </c>
      <c r="P511" s="1">
        <f>COUNTIF(HR_Data[Employee Number],HR_Data[[#This Row],[Employee Number]])</f>
        <v>1</v>
      </c>
      <c r="Q511" s="1" t="str">
        <f>IF(HR_Data[[#This Row],[Years At Company]]&lt;=HR_Data[[#This Row],[Total Working Years]],"Valid","error")</f>
        <v>Valid</v>
      </c>
      <c r="R511" s="1" t="str" cm="1">
        <f t="array" ref="R511">_xlfn.IFS(HR_Data[[#This Row],[Age]]&lt;=30,"Young", HR_Data[[#This Row],[Age]]&lt;=45,"Mid-Age",HR_Data[[#This Row],[Age]]&gt;45,"Senior")</f>
        <v>Mid-Age</v>
      </c>
      <c r="S511" s="1" t="str" cm="1">
        <f t="array" ref="S511">_xlfn.IFS(HR_Data[[#This Row],[Monthly Income]]&lt;5000,"Low", HR_Data[[#This Row],[Monthly Income]]&lt;10000,"Medium",TRUE,"High")</f>
        <v>Medium</v>
      </c>
      <c r="T511" s="1" t="str" cm="1">
        <f t="array" ref="T511">_xlfn.IFS(HR_Data[[#This Row],[Total Working Years]]&lt;=5,"Junior", HR_Data[[#This Row],[Total Working Years]]&lt;=15,"Mid-Level", TRUE, "Senior")</f>
        <v>Mid-Level</v>
      </c>
    </row>
    <row r="512" spans="1:20" x14ac:dyDescent="0.25">
      <c r="A512" s="1">
        <v>698</v>
      </c>
      <c r="B512" s="1">
        <v>54</v>
      </c>
      <c r="C512" t="s">
        <v>9</v>
      </c>
      <c r="D512" t="s">
        <v>23</v>
      </c>
      <c r="E512" t="s">
        <v>15</v>
      </c>
      <c r="F512" t="s">
        <v>11</v>
      </c>
      <c r="G512" t="s">
        <v>23</v>
      </c>
      <c r="H512" s="1">
        <v>2</v>
      </c>
      <c r="I512" s="1">
        <v>10725</v>
      </c>
      <c r="J512" t="s">
        <v>9</v>
      </c>
      <c r="K512" s="1">
        <v>15</v>
      </c>
      <c r="L512" s="1">
        <v>3</v>
      </c>
      <c r="M512" s="1">
        <v>16</v>
      </c>
      <c r="N512" s="1">
        <v>4</v>
      </c>
      <c r="O512" s="1">
        <v>9</v>
      </c>
      <c r="P512" s="1">
        <f>COUNTIF(HR_Data[Employee Number],HR_Data[[#This Row],[Employee Number]])</f>
        <v>1</v>
      </c>
      <c r="Q512" s="1" t="str">
        <f>IF(HR_Data[[#This Row],[Years At Company]]&lt;=HR_Data[[#This Row],[Total Working Years]],"Valid","error")</f>
        <v>Valid</v>
      </c>
      <c r="R512" s="1" t="str" cm="1">
        <f t="array" ref="R512">_xlfn.IFS(HR_Data[[#This Row],[Age]]&lt;=30,"Young", HR_Data[[#This Row],[Age]]&lt;=45,"Mid-Age",HR_Data[[#This Row],[Age]]&gt;45,"Senior")</f>
        <v>Senior</v>
      </c>
      <c r="S512" s="1" t="str" cm="1">
        <f t="array" ref="S512">_xlfn.IFS(HR_Data[[#This Row],[Monthly Income]]&lt;5000,"Low", HR_Data[[#This Row],[Monthly Income]]&lt;10000,"Medium",TRUE,"High")</f>
        <v>High</v>
      </c>
      <c r="T512" s="1" t="str" cm="1">
        <f t="array" ref="T512">_xlfn.IFS(HR_Data[[#This Row],[Total Working Years]]&lt;=5,"Junior", HR_Data[[#This Row],[Total Working Years]]&lt;=15,"Mid-Level", TRUE, "Senior")</f>
        <v>Senior</v>
      </c>
    </row>
    <row r="513" spans="1:20" x14ac:dyDescent="0.25">
      <c r="A513" s="1">
        <v>699</v>
      </c>
      <c r="B513" s="1">
        <v>36</v>
      </c>
      <c r="C513" t="s">
        <v>9</v>
      </c>
      <c r="D513" t="s">
        <v>10</v>
      </c>
      <c r="E513" t="s">
        <v>15</v>
      </c>
      <c r="F513" t="s">
        <v>11</v>
      </c>
      <c r="G513" t="s">
        <v>16</v>
      </c>
      <c r="H513" s="1">
        <v>2</v>
      </c>
      <c r="I513" s="1">
        <v>8847</v>
      </c>
      <c r="J513" t="s">
        <v>4</v>
      </c>
      <c r="K513" s="1">
        <v>11</v>
      </c>
      <c r="L513" s="1">
        <v>3</v>
      </c>
      <c r="M513" s="1">
        <v>13</v>
      </c>
      <c r="N513" s="1">
        <v>3</v>
      </c>
      <c r="O513" s="1">
        <v>3</v>
      </c>
      <c r="P513" s="1">
        <f>COUNTIF(HR_Data[Employee Number],HR_Data[[#This Row],[Employee Number]])</f>
        <v>1</v>
      </c>
      <c r="Q513" s="1" t="str">
        <f>IF(HR_Data[[#This Row],[Years At Company]]&lt;=HR_Data[[#This Row],[Total Working Years]],"Valid","error")</f>
        <v>Valid</v>
      </c>
      <c r="R513" s="1" t="str" cm="1">
        <f t="array" ref="R513">_xlfn.IFS(HR_Data[[#This Row],[Age]]&lt;=30,"Young", HR_Data[[#This Row],[Age]]&lt;=45,"Mid-Age",HR_Data[[#This Row],[Age]]&gt;45,"Senior")</f>
        <v>Mid-Age</v>
      </c>
      <c r="S513" s="1" t="str" cm="1">
        <f t="array" ref="S513">_xlfn.IFS(HR_Data[[#This Row],[Monthly Income]]&lt;5000,"Low", HR_Data[[#This Row],[Monthly Income]]&lt;10000,"Medium",TRUE,"High")</f>
        <v>Medium</v>
      </c>
      <c r="T513" s="1" t="str" cm="1">
        <f t="array" ref="T513">_xlfn.IFS(HR_Data[[#This Row],[Total Working Years]]&lt;=5,"Junior", HR_Data[[#This Row],[Total Working Years]]&lt;=15,"Mid-Level", TRUE, "Senior")</f>
        <v>Mid-Level</v>
      </c>
    </row>
    <row r="514" spans="1:20" x14ac:dyDescent="0.25">
      <c r="A514" s="1">
        <v>700</v>
      </c>
      <c r="B514" s="1">
        <v>27</v>
      </c>
      <c r="C514" t="s">
        <v>9</v>
      </c>
      <c r="D514" t="s">
        <v>10</v>
      </c>
      <c r="E514" t="s">
        <v>15</v>
      </c>
      <c r="F514" t="s">
        <v>11</v>
      </c>
      <c r="G514" t="s">
        <v>12</v>
      </c>
      <c r="H514" s="1">
        <v>4</v>
      </c>
      <c r="I514" s="1">
        <v>2045</v>
      </c>
      <c r="J514" t="s">
        <v>9</v>
      </c>
      <c r="K514" s="1">
        <v>13</v>
      </c>
      <c r="L514" s="1">
        <v>3</v>
      </c>
      <c r="M514" s="1">
        <v>5</v>
      </c>
      <c r="N514" s="1">
        <v>3</v>
      </c>
      <c r="O514" s="1">
        <v>4</v>
      </c>
      <c r="P514" s="1">
        <f>COUNTIF(HR_Data[Employee Number],HR_Data[[#This Row],[Employee Number]])</f>
        <v>1</v>
      </c>
      <c r="Q514" s="1" t="str">
        <f>IF(HR_Data[[#This Row],[Years At Company]]&lt;=HR_Data[[#This Row],[Total Working Years]],"Valid","error")</f>
        <v>Valid</v>
      </c>
      <c r="R514" s="1" t="str" cm="1">
        <f t="array" ref="R514">_xlfn.IFS(HR_Data[[#This Row],[Age]]&lt;=30,"Young", HR_Data[[#This Row],[Age]]&lt;=45,"Mid-Age",HR_Data[[#This Row],[Age]]&gt;45,"Senior")</f>
        <v>Young</v>
      </c>
      <c r="S514" s="1" t="str" cm="1">
        <f t="array" ref="S514">_xlfn.IFS(HR_Data[[#This Row],[Monthly Income]]&lt;5000,"Low", HR_Data[[#This Row],[Monthly Income]]&lt;10000,"Medium",TRUE,"High")</f>
        <v>Low</v>
      </c>
      <c r="T514" s="1" t="str" cm="1">
        <f t="array" ref="T514">_xlfn.IFS(HR_Data[[#This Row],[Total Working Years]]&lt;=5,"Junior", HR_Data[[#This Row],[Total Working Years]]&lt;=15,"Mid-Level", TRUE, "Senior")</f>
        <v>Junior</v>
      </c>
    </row>
    <row r="515" spans="1:20" x14ac:dyDescent="0.25">
      <c r="A515" s="1">
        <v>701</v>
      </c>
      <c r="B515" s="1">
        <v>20</v>
      </c>
      <c r="C515" t="s">
        <v>4</v>
      </c>
      <c r="D515" t="s">
        <v>10</v>
      </c>
      <c r="E515" t="s">
        <v>15</v>
      </c>
      <c r="F515" t="s">
        <v>11</v>
      </c>
      <c r="G515" t="s">
        <v>12</v>
      </c>
      <c r="H515" s="1">
        <v>3</v>
      </c>
      <c r="I515" s="1">
        <v>1009</v>
      </c>
      <c r="J515" t="s">
        <v>4</v>
      </c>
      <c r="K515" s="1">
        <v>11</v>
      </c>
      <c r="L515" s="1">
        <v>3</v>
      </c>
      <c r="M515" s="1">
        <v>1</v>
      </c>
      <c r="N515" s="1">
        <v>3</v>
      </c>
      <c r="O515" s="1">
        <v>1</v>
      </c>
      <c r="P515" s="1">
        <f>COUNTIF(HR_Data[Employee Number],HR_Data[[#This Row],[Employee Number]])</f>
        <v>1</v>
      </c>
      <c r="Q515" s="1" t="str">
        <f>IF(HR_Data[[#This Row],[Years At Company]]&lt;=HR_Data[[#This Row],[Total Working Years]],"Valid","error")</f>
        <v>Valid</v>
      </c>
      <c r="R515" s="1" t="str" cm="1">
        <f t="array" ref="R515">_xlfn.IFS(HR_Data[[#This Row],[Age]]&lt;=30,"Young", HR_Data[[#This Row],[Age]]&lt;=45,"Mid-Age",HR_Data[[#This Row],[Age]]&gt;45,"Senior")</f>
        <v>Young</v>
      </c>
      <c r="S515" s="1" t="str" cm="1">
        <f t="array" ref="S515">_xlfn.IFS(HR_Data[[#This Row],[Monthly Income]]&lt;5000,"Low", HR_Data[[#This Row],[Monthly Income]]&lt;10000,"Medium",TRUE,"High")</f>
        <v>Low</v>
      </c>
      <c r="T515" s="1" t="str" cm="1">
        <f t="array" ref="T515">_xlfn.IFS(HR_Data[[#This Row],[Total Working Years]]&lt;=5,"Junior", HR_Data[[#This Row],[Total Working Years]]&lt;=15,"Mid-Level", TRUE, "Senior")</f>
        <v>Junior</v>
      </c>
    </row>
    <row r="516" spans="1:20" x14ac:dyDescent="0.25">
      <c r="A516" s="1">
        <v>702</v>
      </c>
      <c r="B516" s="1">
        <v>33</v>
      </c>
      <c r="C516" t="s">
        <v>4</v>
      </c>
      <c r="D516" t="s">
        <v>10</v>
      </c>
      <c r="E516" t="s">
        <v>6</v>
      </c>
      <c r="F516" t="s">
        <v>11</v>
      </c>
      <c r="G516" t="s">
        <v>12</v>
      </c>
      <c r="H516" s="1">
        <v>1</v>
      </c>
      <c r="I516" s="1">
        <v>3348</v>
      </c>
      <c r="J516" t="s">
        <v>4</v>
      </c>
      <c r="K516" s="1">
        <v>11</v>
      </c>
      <c r="L516" s="1">
        <v>3</v>
      </c>
      <c r="M516" s="1">
        <v>10</v>
      </c>
      <c r="N516" s="1">
        <v>3</v>
      </c>
      <c r="O516" s="1">
        <v>10</v>
      </c>
      <c r="P516" s="1">
        <f>COUNTIF(HR_Data[Employee Number],HR_Data[[#This Row],[Employee Number]])</f>
        <v>1</v>
      </c>
      <c r="Q516" s="1" t="str">
        <f>IF(HR_Data[[#This Row],[Years At Company]]&lt;=HR_Data[[#This Row],[Total Working Years]],"Valid","error")</f>
        <v>Valid</v>
      </c>
      <c r="R516" s="1" t="str" cm="1">
        <f t="array" ref="R516">_xlfn.IFS(HR_Data[[#This Row],[Age]]&lt;=30,"Young", HR_Data[[#This Row],[Age]]&lt;=45,"Mid-Age",HR_Data[[#This Row],[Age]]&gt;45,"Senior")</f>
        <v>Mid-Age</v>
      </c>
      <c r="S516" s="1" t="str" cm="1">
        <f t="array" ref="S516">_xlfn.IFS(HR_Data[[#This Row],[Monthly Income]]&lt;5000,"Low", HR_Data[[#This Row],[Monthly Income]]&lt;10000,"Medium",TRUE,"High")</f>
        <v>Low</v>
      </c>
      <c r="T516" s="1" t="str" cm="1">
        <f t="array" ref="T516">_xlfn.IFS(HR_Data[[#This Row],[Total Working Years]]&lt;=5,"Junior", HR_Data[[#This Row],[Total Working Years]]&lt;=15,"Mid-Level", TRUE, "Senior")</f>
        <v>Mid-Level</v>
      </c>
    </row>
    <row r="517" spans="1:20" x14ac:dyDescent="0.25">
      <c r="A517" s="1">
        <v>704</v>
      </c>
      <c r="B517" s="1">
        <v>35</v>
      </c>
      <c r="C517" t="s">
        <v>9</v>
      </c>
      <c r="D517" t="s">
        <v>10</v>
      </c>
      <c r="E517" t="s">
        <v>6</v>
      </c>
      <c r="F517" t="s">
        <v>11</v>
      </c>
      <c r="G517" t="s">
        <v>14</v>
      </c>
      <c r="H517" s="1">
        <v>3</v>
      </c>
      <c r="I517" s="1">
        <v>1281</v>
      </c>
      <c r="J517" t="s">
        <v>9</v>
      </c>
      <c r="K517" s="1">
        <v>18</v>
      </c>
      <c r="L517" s="1">
        <v>3</v>
      </c>
      <c r="M517" s="1">
        <v>1</v>
      </c>
      <c r="N517" s="1">
        <v>3</v>
      </c>
      <c r="O517" s="1">
        <v>1</v>
      </c>
      <c r="P517" s="1">
        <f>COUNTIF(HR_Data[Employee Number],HR_Data[[#This Row],[Employee Number]])</f>
        <v>1</v>
      </c>
      <c r="Q517" s="1" t="str">
        <f>IF(HR_Data[[#This Row],[Years At Company]]&lt;=HR_Data[[#This Row],[Total Working Years]],"Valid","error")</f>
        <v>Valid</v>
      </c>
      <c r="R517" s="1" t="str" cm="1">
        <f t="array" ref="R517">_xlfn.IFS(HR_Data[[#This Row],[Age]]&lt;=30,"Young", HR_Data[[#This Row],[Age]]&lt;=45,"Mid-Age",HR_Data[[#This Row],[Age]]&gt;45,"Senior")</f>
        <v>Mid-Age</v>
      </c>
      <c r="S517" s="1" t="str" cm="1">
        <f t="array" ref="S517">_xlfn.IFS(HR_Data[[#This Row],[Monthly Income]]&lt;5000,"Low", HR_Data[[#This Row],[Monthly Income]]&lt;10000,"Medium",TRUE,"High")</f>
        <v>Low</v>
      </c>
      <c r="T517" s="1" t="str" cm="1">
        <f t="array" ref="T517">_xlfn.IFS(HR_Data[[#This Row],[Total Working Years]]&lt;=5,"Junior", HR_Data[[#This Row],[Total Working Years]]&lt;=15,"Mid-Level", TRUE, "Senior")</f>
        <v>Junior</v>
      </c>
    </row>
    <row r="518" spans="1:20" x14ac:dyDescent="0.25">
      <c r="A518" s="1">
        <v>705</v>
      </c>
      <c r="B518" s="1">
        <v>23</v>
      </c>
      <c r="C518" t="s">
        <v>9</v>
      </c>
      <c r="D518" t="s">
        <v>10</v>
      </c>
      <c r="E518" t="s">
        <v>15</v>
      </c>
      <c r="F518" t="s">
        <v>11</v>
      </c>
      <c r="G518" t="s">
        <v>12</v>
      </c>
      <c r="H518" s="1">
        <v>1</v>
      </c>
      <c r="I518" s="1">
        <v>2819</v>
      </c>
      <c r="J518" t="s">
        <v>9</v>
      </c>
      <c r="K518" s="1">
        <v>16</v>
      </c>
      <c r="L518" s="1">
        <v>3</v>
      </c>
      <c r="M518" s="1">
        <v>5</v>
      </c>
      <c r="N518" s="1">
        <v>4</v>
      </c>
      <c r="O518" s="1">
        <v>3</v>
      </c>
      <c r="P518" s="1">
        <f>COUNTIF(HR_Data[Employee Number],HR_Data[[#This Row],[Employee Number]])</f>
        <v>1</v>
      </c>
      <c r="Q518" s="1" t="str">
        <f>IF(HR_Data[[#This Row],[Years At Company]]&lt;=HR_Data[[#This Row],[Total Working Years]],"Valid","error")</f>
        <v>Valid</v>
      </c>
      <c r="R518" s="1" t="str" cm="1">
        <f t="array" ref="R518">_xlfn.IFS(HR_Data[[#This Row],[Age]]&lt;=30,"Young", HR_Data[[#This Row],[Age]]&lt;=45,"Mid-Age",HR_Data[[#This Row],[Age]]&gt;45,"Senior")</f>
        <v>Young</v>
      </c>
      <c r="S518" s="1" t="str" cm="1">
        <f t="array" ref="S518">_xlfn.IFS(HR_Data[[#This Row],[Monthly Income]]&lt;5000,"Low", HR_Data[[#This Row],[Monthly Income]]&lt;10000,"Medium",TRUE,"High")</f>
        <v>Low</v>
      </c>
      <c r="T518" s="1" t="str" cm="1">
        <f t="array" ref="T518">_xlfn.IFS(HR_Data[[#This Row],[Total Working Years]]&lt;=5,"Junior", HR_Data[[#This Row],[Total Working Years]]&lt;=15,"Mid-Level", TRUE, "Senior")</f>
        <v>Junior</v>
      </c>
    </row>
    <row r="519" spans="1:20" x14ac:dyDescent="0.25">
      <c r="A519" s="1">
        <v>707</v>
      </c>
      <c r="B519" s="1">
        <v>25</v>
      </c>
      <c r="C519" t="s">
        <v>9</v>
      </c>
      <c r="D519" t="s">
        <v>5</v>
      </c>
      <c r="E519" t="s">
        <v>6</v>
      </c>
      <c r="F519" t="s">
        <v>11</v>
      </c>
      <c r="G519" t="s">
        <v>8</v>
      </c>
      <c r="H519" s="1">
        <v>2</v>
      </c>
      <c r="I519" s="1">
        <v>4851</v>
      </c>
      <c r="J519" t="s">
        <v>9</v>
      </c>
      <c r="K519" s="1">
        <v>22</v>
      </c>
      <c r="L519" s="1">
        <v>4</v>
      </c>
      <c r="M519" s="1">
        <v>4</v>
      </c>
      <c r="N519" s="1">
        <v>3</v>
      </c>
      <c r="O519" s="1">
        <v>3</v>
      </c>
      <c r="P519" s="1">
        <f>COUNTIF(HR_Data[Employee Number],HR_Data[[#This Row],[Employee Number]])</f>
        <v>1</v>
      </c>
      <c r="Q519" s="1" t="str">
        <f>IF(HR_Data[[#This Row],[Years At Company]]&lt;=HR_Data[[#This Row],[Total Working Years]],"Valid","error")</f>
        <v>Valid</v>
      </c>
      <c r="R519" s="1" t="str" cm="1">
        <f t="array" ref="R519">_xlfn.IFS(HR_Data[[#This Row],[Age]]&lt;=30,"Young", HR_Data[[#This Row],[Age]]&lt;=45,"Mid-Age",HR_Data[[#This Row],[Age]]&gt;45,"Senior")</f>
        <v>Young</v>
      </c>
      <c r="S519" s="1" t="str" cm="1">
        <f t="array" ref="S519">_xlfn.IFS(HR_Data[[#This Row],[Monthly Income]]&lt;5000,"Low", HR_Data[[#This Row],[Monthly Income]]&lt;10000,"Medium",TRUE,"High")</f>
        <v>Low</v>
      </c>
      <c r="T519" s="1" t="str" cm="1">
        <f t="array" ref="T519">_xlfn.IFS(HR_Data[[#This Row],[Total Working Years]]&lt;=5,"Junior", HR_Data[[#This Row],[Total Working Years]]&lt;=15,"Mid-Level", TRUE, "Senior")</f>
        <v>Junior</v>
      </c>
    </row>
    <row r="520" spans="1:20" x14ac:dyDescent="0.25">
      <c r="A520" s="1">
        <v>709</v>
      </c>
      <c r="B520" s="1">
        <v>38</v>
      </c>
      <c r="C520" t="s">
        <v>9</v>
      </c>
      <c r="D520" t="s">
        <v>5</v>
      </c>
      <c r="E520" t="s">
        <v>21</v>
      </c>
      <c r="F520" t="s">
        <v>7</v>
      </c>
      <c r="G520" t="s">
        <v>8</v>
      </c>
      <c r="H520" s="1">
        <v>4</v>
      </c>
      <c r="I520" s="1">
        <v>4028</v>
      </c>
      <c r="J520" t="s">
        <v>9</v>
      </c>
      <c r="K520" s="1">
        <v>20</v>
      </c>
      <c r="L520" s="1">
        <v>4</v>
      </c>
      <c r="M520" s="1">
        <v>8</v>
      </c>
      <c r="N520" s="1">
        <v>3</v>
      </c>
      <c r="O520" s="1">
        <v>7</v>
      </c>
      <c r="P520" s="1">
        <f>COUNTIF(HR_Data[Employee Number],HR_Data[[#This Row],[Employee Number]])</f>
        <v>1</v>
      </c>
      <c r="Q520" s="1" t="str">
        <f>IF(HR_Data[[#This Row],[Years At Company]]&lt;=HR_Data[[#This Row],[Total Working Years]],"Valid","error")</f>
        <v>Valid</v>
      </c>
      <c r="R520" s="1" t="str" cm="1">
        <f t="array" ref="R520">_xlfn.IFS(HR_Data[[#This Row],[Age]]&lt;=30,"Young", HR_Data[[#This Row],[Age]]&lt;=45,"Mid-Age",HR_Data[[#This Row],[Age]]&gt;45,"Senior")</f>
        <v>Mid-Age</v>
      </c>
      <c r="S520" s="1" t="str" cm="1">
        <f t="array" ref="S520">_xlfn.IFS(HR_Data[[#This Row],[Monthly Income]]&lt;5000,"Low", HR_Data[[#This Row],[Monthly Income]]&lt;10000,"Medium",TRUE,"High")</f>
        <v>Low</v>
      </c>
      <c r="T520" s="1" t="str" cm="1">
        <f t="array" ref="T520">_xlfn.IFS(HR_Data[[#This Row],[Total Working Years]]&lt;=5,"Junior", HR_Data[[#This Row],[Total Working Years]]&lt;=15,"Mid-Level", TRUE, "Senior")</f>
        <v>Mid-Level</v>
      </c>
    </row>
    <row r="521" spans="1:20" x14ac:dyDescent="0.25">
      <c r="A521" s="1">
        <v>710</v>
      </c>
      <c r="B521" s="1">
        <v>29</v>
      </c>
      <c r="C521" t="s">
        <v>9</v>
      </c>
      <c r="D521" t="s">
        <v>10</v>
      </c>
      <c r="E521" t="s">
        <v>6</v>
      </c>
      <c r="F521" t="s">
        <v>11</v>
      </c>
      <c r="G521" t="s">
        <v>12</v>
      </c>
      <c r="H521" s="1">
        <v>4</v>
      </c>
      <c r="I521" s="1">
        <v>2720</v>
      </c>
      <c r="J521" t="s">
        <v>9</v>
      </c>
      <c r="K521" s="1">
        <v>18</v>
      </c>
      <c r="L521" s="1">
        <v>3</v>
      </c>
      <c r="M521" s="1">
        <v>10</v>
      </c>
      <c r="N521" s="1">
        <v>3</v>
      </c>
      <c r="O521" s="1">
        <v>10</v>
      </c>
      <c r="P521" s="1">
        <f>COUNTIF(HR_Data[Employee Number],HR_Data[[#This Row],[Employee Number]])</f>
        <v>1</v>
      </c>
      <c r="Q521" s="1" t="str">
        <f>IF(HR_Data[[#This Row],[Years At Company]]&lt;=HR_Data[[#This Row],[Total Working Years]],"Valid","error")</f>
        <v>Valid</v>
      </c>
      <c r="R521" s="1" t="str" cm="1">
        <f t="array" ref="R521">_xlfn.IFS(HR_Data[[#This Row],[Age]]&lt;=30,"Young", HR_Data[[#This Row],[Age]]&lt;=45,"Mid-Age",HR_Data[[#This Row],[Age]]&gt;45,"Senior")</f>
        <v>Young</v>
      </c>
      <c r="S521" s="1" t="str" cm="1">
        <f t="array" ref="S521">_xlfn.IFS(HR_Data[[#This Row],[Monthly Income]]&lt;5000,"Low", HR_Data[[#This Row],[Monthly Income]]&lt;10000,"Medium",TRUE,"High")</f>
        <v>Low</v>
      </c>
      <c r="T521" s="1" t="str" cm="1">
        <f t="array" ref="T521">_xlfn.IFS(HR_Data[[#This Row],[Total Working Years]]&lt;=5,"Junior", HR_Data[[#This Row],[Total Working Years]]&lt;=15,"Mid-Level", TRUE, "Senior")</f>
        <v>Mid-Level</v>
      </c>
    </row>
    <row r="522" spans="1:20" x14ac:dyDescent="0.25">
      <c r="A522" s="1">
        <v>712</v>
      </c>
      <c r="B522" s="1">
        <v>48</v>
      </c>
      <c r="C522" t="s">
        <v>9</v>
      </c>
      <c r="D522" t="s">
        <v>5</v>
      </c>
      <c r="E522" t="s">
        <v>21</v>
      </c>
      <c r="F522" t="s">
        <v>11</v>
      </c>
      <c r="G522" t="s">
        <v>8</v>
      </c>
      <c r="H522" s="1">
        <v>2</v>
      </c>
      <c r="I522" s="1">
        <v>8120</v>
      </c>
      <c r="J522" t="s">
        <v>9</v>
      </c>
      <c r="K522" s="1">
        <v>12</v>
      </c>
      <c r="L522" s="1">
        <v>3</v>
      </c>
      <c r="M522" s="1">
        <v>12</v>
      </c>
      <c r="N522" s="1">
        <v>3</v>
      </c>
      <c r="O522" s="1">
        <v>2</v>
      </c>
      <c r="P522" s="1">
        <f>COUNTIF(HR_Data[Employee Number],HR_Data[[#This Row],[Employee Number]])</f>
        <v>1</v>
      </c>
      <c r="Q522" s="1" t="str">
        <f>IF(HR_Data[[#This Row],[Years At Company]]&lt;=HR_Data[[#This Row],[Total Working Years]],"Valid","error")</f>
        <v>Valid</v>
      </c>
      <c r="R522" s="1" t="str" cm="1">
        <f t="array" ref="R522">_xlfn.IFS(HR_Data[[#This Row],[Age]]&lt;=30,"Young", HR_Data[[#This Row],[Age]]&lt;=45,"Mid-Age",HR_Data[[#This Row],[Age]]&gt;45,"Senior")</f>
        <v>Senior</v>
      </c>
      <c r="S522" s="1" t="str" cm="1">
        <f t="array" ref="S522">_xlfn.IFS(HR_Data[[#This Row],[Monthly Income]]&lt;5000,"Low", HR_Data[[#This Row],[Monthly Income]]&lt;10000,"Medium",TRUE,"High")</f>
        <v>Medium</v>
      </c>
      <c r="T522" s="1" t="str" cm="1">
        <f t="array" ref="T522">_xlfn.IFS(HR_Data[[#This Row],[Total Working Years]]&lt;=5,"Junior", HR_Data[[#This Row],[Total Working Years]]&lt;=15,"Mid-Level", TRUE, "Senior")</f>
        <v>Mid-Level</v>
      </c>
    </row>
    <row r="523" spans="1:20" x14ac:dyDescent="0.25">
      <c r="A523" s="1">
        <v>714</v>
      </c>
      <c r="B523" s="1">
        <v>27</v>
      </c>
      <c r="C523" t="s">
        <v>9</v>
      </c>
      <c r="D523" t="s">
        <v>5</v>
      </c>
      <c r="E523" t="s">
        <v>15</v>
      </c>
      <c r="F523" t="s">
        <v>7</v>
      </c>
      <c r="G523" t="s">
        <v>8</v>
      </c>
      <c r="H523" s="1">
        <v>4</v>
      </c>
      <c r="I523" s="1">
        <v>4647</v>
      </c>
      <c r="J523" t="s">
        <v>4</v>
      </c>
      <c r="K523" s="1">
        <v>20</v>
      </c>
      <c r="L523" s="1">
        <v>4</v>
      </c>
      <c r="M523" s="1">
        <v>6</v>
      </c>
      <c r="N523" s="1">
        <v>3</v>
      </c>
      <c r="O523" s="1">
        <v>6</v>
      </c>
      <c r="P523" s="1">
        <f>COUNTIF(HR_Data[Employee Number],HR_Data[[#This Row],[Employee Number]])</f>
        <v>1</v>
      </c>
      <c r="Q523" s="1" t="str">
        <f>IF(HR_Data[[#This Row],[Years At Company]]&lt;=HR_Data[[#This Row],[Total Working Years]],"Valid","error")</f>
        <v>Valid</v>
      </c>
      <c r="R523" s="1" t="str" cm="1">
        <f t="array" ref="R523">_xlfn.IFS(HR_Data[[#This Row],[Age]]&lt;=30,"Young", HR_Data[[#This Row],[Age]]&lt;=45,"Mid-Age",HR_Data[[#This Row],[Age]]&gt;45,"Senior")</f>
        <v>Young</v>
      </c>
      <c r="S523" s="1" t="str" cm="1">
        <f t="array" ref="S523">_xlfn.IFS(HR_Data[[#This Row],[Monthly Income]]&lt;5000,"Low", HR_Data[[#This Row],[Monthly Income]]&lt;10000,"Medium",TRUE,"High")</f>
        <v>Low</v>
      </c>
      <c r="T523" s="1" t="str" cm="1">
        <f t="array" ref="T523">_xlfn.IFS(HR_Data[[#This Row],[Total Working Years]]&lt;=5,"Junior", HR_Data[[#This Row],[Total Working Years]]&lt;=15,"Mid-Level", TRUE, "Senior")</f>
        <v>Mid-Level</v>
      </c>
    </row>
    <row r="524" spans="1:20" x14ac:dyDescent="0.25">
      <c r="A524" s="1">
        <v>715</v>
      </c>
      <c r="B524" s="1">
        <v>37</v>
      </c>
      <c r="C524" t="s">
        <v>9</v>
      </c>
      <c r="D524" t="s">
        <v>10</v>
      </c>
      <c r="E524" t="s">
        <v>6</v>
      </c>
      <c r="F524" t="s">
        <v>11</v>
      </c>
      <c r="G524" t="s">
        <v>12</v>
      </c>
      <c r="H524" s="1">
        <v>4</v>
      </c>
      <c r="I524" s="1">
        <v>4680</v>
      </c>
      <c r="J524" t="s">
        <v>9</v>
      </c>
      <c r="K524" s="1">
        <v>17</v>
      </c>
      <c r="L524" s="1">
        <v>3</v>
      </c>
      <c r="M524" s="1">
        <v>4</v>
      </c>
      <c r="N524" s="1">
        <v>3</v>
      </c>
      <c r="O524" s="1">
        <v>1</v>
      </c>
      <c r="P524" s="1">
        <f>COUNTIF(HR_Data[Employee Number],HR_Data[[#This Row],[Employee Number]])</f>
        <v>1</v>
      </c>
      <c r="Q524" s="1" t="str">
        <f>IF(HR_Data[[#This Row],[Years At Company]]&lt;=HR_Data[[#This Row],[Total Working Years]],"Valid","error")</f>
        <v>Valid</v>
      </c>
      <c r="R524" s="1" t="str" cm="1">
        <f t="array" ref="R524">_xlfn.IFS(HR_Data[[#This Row],[Age]]&lt;=30,"Young", HR_Data[[#This Row],[Age]]&lt;=45,"Mid-Age",HR_Data[[#This Row],[Age]]&gt;45,"Senior")</f>
        <v>Mid-Age</v>
      </c>
      <c r="S524" s="1" t="str" cm="1">
        <f t="array" ref="S524">_xlfn.IFS(HR_Data[[#This Row],[Monthly Income]]&lt;5000,"Low", HR_Data[[#This Row],[Monthly Income]]&lt;10000,"Medium",TRUE,"High")</f>
        <v>Low</v>
      </c>
      <c r="T524" s="1" t="str" cm="1">
        <f t="array" ref="T524">_xlfn.IFS(HR_Data[[#This Row],[Total Working Years]]&lt;=5,"Junior", HR_Data[[#This Row],[Total Working Years]]&lt;=15,"Mid-Level", TRUE, "Senior")</f>
        <v>Junior</v>
      </c>
    </row>
    <row r="525" spans="1:20" x14ac:dyDescent="0.25">
      <c r="A525" s="1">
        <v>716</v>
      </c>
      <c r="B525" s="1">
        <v>50</v>
      </c>
      <c r="C525" t="s">
        <v>9</v>
      </c>
      <c r="D525" t="s">
        <v>10</v>
      </c>
      <c r="E525" t="s">
        <v>15</v>
      </c>
      <c r="F525" t="s">
        <v>11</v>
      </c>
      <c r="G525" t="s">
        <v>14</v>
      </c>
      <c r="H525" s="1">
        <v>3</v>
      </c>
      <c r="I525" s="1">
        <v>3221</v>
      </c>
      <c r="J525" t="s">
        <v>4</v>
      </c>
      <c r="K525" s="1">
        <v>11</v>
      </c>
      <c r="L525" s="1">
        <v>3</v>
      </c>
      <c r="M525" s="1">
        <v>20</v>
      </c>
      <c r="N525" s="1">
        <v>3</v>
      </c>
      <c r="O525" s="1">
        <v>20</v>
      </c>
      <c r="P525" s="1">
        <f>COUNTIF(HR_Data[Employee Number],HR_Data[[#This Row],[Employee Number]])</f>
        <v>1</v>
      </c>
      <c r="Q525" s="1" t="str">
        <f>IF(HR_Data[[#This Row],[Years At Company]]&lt;=HR_Data[[#This Row],[Total Working Years]],"Valid","error")</f>
        <v>Valid</v>
      </c>
      <c r="R525" s="1" t="str" cm="1">
        <f t="array" ref="R525">_xlfn.IFS(HR_Data[[#This Row],[Age]]&lt;=30,"Young", HR_Data[[#This Row],[Age]]&lt;=45,"Mid-Age",HR_Data[[#This Row],[Age]]&gt;45,"Senior")</f>
        <v>Senior</v>
      </c>
      <c r="S525" s="1" t="str" cm="1">
        <f t="array" ref="S525">_xlfn.IFS(HR_Data[[#This Row],[Monthly Income]]&lt;5000,"Low", HR_Data[[#This Row],[Monthly Income]]&lt;10000,"Medium",TRUE,"High")</f>
        <v>Low</v>
      </c>
      <c r="T525" s="1" t="str" cm="1">
        <f t="array" ref="T525">_xlfn.IFS(HR_Data[[#This Row],[Total Working Years]]&lt;=5,"Junior", HR_Data[[#This Row],[Total Working Years]]&lt;=15,"Mid-Level", TRUE, "Senior")</f>
        <v>Senior</v>
      </c>
    </row>
    <row r="526" spans="1:20" x14ac:dyDescent="0.25">
      <c r="A526" s="1">
        <v>717</v>
      </c>
      <c r="B526" s="1">
        <v>34</v>
      </c>
      <c r="C526" t="s">
        <v>9</v>
      </c>
      <c r="D526" t="s">
        <v>10</v>
      </c>
      <c r="E526" t="s">
        <v>15</v>
      </c>
      <c r="F526" t="s">
        <v>7</v>
      </c>
      <c r="G526" t="s">
        <v>17</v>
      </c>
      <c r="H526" s="1">
        <v>2</v>
      </c>
      <c r="I526" s="1">
        <v>8621</v>
      </c>
      <c r="J526" t="s">
        <v>9</v>
      </c>
      <c r="K526" s="1">
        <v>14</v>
      </c>
      <c r="L526" s="1">
        <v>3</v>
      </c>
      <c r="M526" s="1">
        <v>9</v>
      </c>
      <c r="N526" s="1">
        <v>4</v>
      </c>
      <c r="O526" s="1">
        <v>8</v>
      </c>
      <c r="P526" s="1">
        <f>COUNTIF(HR_Data[Employee Number],HR_Data[[#This Row],[Employee Number]])</f>
        <v>1</v>
      </c>
      <c r="Q526" s="1" t="str">
        <f>IF(HR_Data[[#This Row],[Years At Company]]&lt;=HR_Data[[#This Row],[Total Working Years]],"Valid","error")</f>
        <v>Valid</v>
      </c>
      <c r="R526" s="1" t="str" cm="1">
        <f t="array" ref="R526">_xlfn.IFS(HR_Data[[#This Row],[Age]]&lt;=30,"Young", HR_Data[[#This Row],[Age]]&lt;=45,"Mid-Age",HR_Data[[#This Row],[Age]]&gt;45,"Senior")</f>
        <v>Mid-Age</v>
      </c>
      <c r="S526" s="1" t="str" cm="1">
        <f t="array" ref="S526">_xlfn.IFS(HR_Data[[#This Row],[Monthly Income]]&lt;5000,"Low", HR_Data[[#This Row],[Monthly Income]]&lt;10000,"Medium",TRUE,"High")</f>
        <v>Medium</v>
      </c>
      <c r="T526" s="1" t="str" cm="1">
        <f t="array" ref="T526">_xlfn.IFS(HR_Data[[#This Row],[Total Working Years]]&lt;=5,"Junior", HR_Data[[#This Row],[Total Working Years]]&lt;=15,"Mid-Level", TRUE, "Senior")</f>
        <v>Mid-Level</v>
      </c>
    </row>
    <row r="527" spans="1:20" x14ac:dyDescent="0.25">
      <c r="A527" s="1">
        <v>720</v>
      </c>
      <c r="B527" s="1">
        <v>24</v>
      </c>
      <c r="C527" t="s">
        <v>4</v>
      </c>
      <c r="D527" t="s">
        <v>5</v>
      </c>
      <c r="E527" t="s">
        <v>6</v>
      </c>
      <c r="F527" t="s">
        <v>7</v>
      </c>
      <c r="G527" t="s">
        <v>8</v>
      </c>
      <c r="H527" s="1">
        <v>3</v>
      </c>
      <c r="I527" s="1">
        <v>4577</v>
      </c>
      <c r="J527" t="s">
        <v>9</v>
      </c>
      <c r="K527" s="1">
        <v>14</v>
      </c>
      <c r="L527" s="1">
        <v>3</v>
      </c>
      <c r="M527" s="1">
        <v>4</v>
      </c>
      <c r="N527" s="1">
        <v>3</v>
      </c>
      <c r="O527" s="1">
        <v>2</v>
      </c>
      <c r="P527" s="1">
        <f>COUNTIF(HR_Data[Employee Number],HR_Data[[#This Row],[Employee Number]])</f>
        <v>1</v>
      </c>
      <c r="Q527" s="1" t="str">
        <f>IF(HR_Data[[#This Row],[Years At Company]]&lt;=HR_Data[[#This Row],[Total Working Years]],"Valid","error")</f>
        <v>Valid</v>
      </c>
      <c r="R527" s="1" t="str" cm="1">
        <f t="array" ref="R527">_xlfn.IFS(HR_Data[[#This Row],[Age]]&lt;=30,"Young", HR_Data[[#This Row],[Age]]&lt;=45,"Mid-Age",HR_Data[[#This Row],[Age]]&gt;45,"Senior")</f>
        <v>Young</v>
      </c>
      <c r="S527" s="1" t="str" cm="1">
        <f t="array" ref="S527">_xlfn.IFS(HR_Data[[#This Row],[Monthly Income]]&lt;5000,"Low", HR_Data[[#This Row],[Monthly Income]]&lt;10000,"Medium",TRUE,"High")</f>
        <v>Low</v>
      </c>
      <c r="T527" s="1" t="str" cm="1">
        <f t="array" ref="T527">_xlfn.IFS(HR_Data[[#This Row],[Total Working Years]]&lt;=5,"Junior", HR_Data[[#This Row],[Total Working Years]]&lt;=15,"Mid-Level", TRUE, "Senior")</f>
        <v>Junior</v>
      </c>
    </row>
    <row r="528" spans="1:20" x14ac:dyDescent="0.25">
      <c r="A528" s="1">
        <v>721</v>
      </c>
      <c r="B528" s="1">
        <v>39</v>
      </c>
      <c r="C528" t="s">
        <v>9</v>
      </c>
      <c r="D528" t="s">
        <v>10</v>
      </c>
      <c r="E528" t="s">
        <v>22</v>
      </c>
      <c r="F528" t="s">
        <v>7</v>
      </c>
      <c r="G528" t="s">
        <v>17</v>
      </c>
      <c r="H528" s="1">
        <v>3</v>
      </c>
      <c r="I528" s="1">
        <v>4553</v>
      </c>
      <c r="J528" t="s">
        <v>9</v>
      </c>
      <c r="K528" s="1">
        <v>11</v>
      </c>
      <c r="L528" s="1">
        <v>3</v>
      </c>
      <c r="M528" s="1">
        <v>20</v>
      </c>
      <c r="N528" s="1">
        <v>3</v>
      </c>
      <c r="O528" s="1">
        <v>20</v>
      </c>
      <c r="P528" s="1">
        <f>COUNTIF(HR_Data[Employee Number],HR_Data[[#This Row],[Employee Number]])</f>
        <v>1</v>
      </c>
      <c r="Q528" s="1" t="str">
        <f>IF(HR_Data[[#This Row],[Years At Company]]&lt;=HR_Data[[#This Row],[Total Working Years]],"Valid","error")</f>
        <v>Valid</v>
      </c>
      <c r="R528" s="1" t="str" cm="1">
        <f t="array" ref="R528">_xlfn.IFS(HR_Data[[#This Row],[Age]]&lt;=30,"Young", HR_Data[[#This Row],[Age]]&lt;=45,"Mid-Age",HR_Data[[#This Row],[Age]]&gt;45,"Senior")</f>
        <v>Mid-Age</v>
      </c>
      <c r="S528" s="1" t="str" cm="1">
        <f t="array" ref="S528">_xlfn.IFS(HR_Data[[#This Row],[Monthly Income]]&lt;5000,"Low", HR_Data[[#This Row],[Monthly Income]]&lt;10000,"Medium",TRUE,"High")</f>
        <v>Low</v>
      </c>
      <c r="T528" s="1" t="str" cm="1">
        <f t="array" ref="T528">_xlfn.IFS(HR_Data[[#This Row],[Total Working Years]]&lt;=5,"Junior", HR_Data[[#This Row],[Total Working Years]]&lt;=15,"Mid-Level", TRUE, "Senior")</f>
        <v>Senior</v>
      </c>
    </row>
    <row r="529" spans="1:20" x14ac:dyDescent="0.25">
      <c r="A529" s="1">
        <v>722</v>
      </c>
      <c r="B529" s="1">
        <v>32</v>
      </c>
      <c r="C529" t="s">
        <v>9</v>
      </c>
      <c r="D529" t="s">
        <v>5</v>
      </c>
      <c r="E529" t="s">
        <v>21</v>
      </c>
      <c r="F529" t="s">
        <v>11</v>
      </c>
      <c r="G529" t="s">
        <v>8</v>
      </c>
      <c r="H529" s="1">
        <v>4</v>
      </c>
      <c r="I529" s="1">
        <v>5396</v>
      </c>
      <c r="J529" t="s">
        <v>9</v>
      </c>
      <c r="K529" s="1">
        <v>12</v>
      </c>
      <c r="L529" s="1">
        <v>3</v>
      </c>
      <c r="M529" s="1">
        <v>10</v>
      </c>
      <c r="N529" s="1">
        <v>2</v>
      </c>
      <c r="O529" s="1">
        <v>10</v>
      </c>
      <c r="P529" s="1">
        <f>COUNTIF(HR_Data[Employee Number],HR_Data[[#This Row],[Employee Number]])</f>
        <v>1</v>
      </c>
      <c r="Q529" s="1" t="str">
        <f>IF(HR_Data[[#This Row],[Years At Company]]&lt;=HR_Data[[#This Row],[Total Working Years]],"Valid","error")</f>
        <v>Valid</v>
      </c>
      <c r="R529" s="1" t="str" cm="1">
        <f t="array" ref="R529">_xlfn.IFS(HR_Data[[#This Row],[Age]]&lt;=30,"Young", HR_Data[[#This Row],[Age]]&lt;=45,"Mid-Age",HR_Data[[#This Row],[Age]]&gt;45,"Senior")</f>
        <v>Mid-Age</v>
      </c>
      <c r="S529" s="1" t="str" cm="1">
        <f t="array" ref="S529">_xlfn.IFS(HR_Data[[#This Row],[Monthly Income]]&lt;5000,"Low", HR_Data[[#This Row],[Monthly Income]]&lt;10000,"Medium",TRUE,"High")</f>
        <v>Medium</v>
      </c>
      <c r="T529" s="1" t="str" cm="1">
        <f t="array" ref="T529">_xlfn.IFS(HR_Data[[#This Row],[Total Working Years]]&lt;=5,"Junior", HR_Data[[#This Row],[Total Working Years]]&lt;=15,"Mid-Level", TRUE, "Senior")</f>
        <v>Mid-Level</v>
      </c>
    </row>
    <row r="530" spans="1:20" x14ac:dyDescent="0.25">
      <c r="A530" s="1">
        <v>723</v>
      </c>
      <c r="B530" s="1">
        <v>50</v>
      </c>
      <c r="C530" t="s">
        <v>4</v>
      </c>
      <c r="D530" t="s">
        <v>5</v>
      </c>
      <c r="E530" t="s">
        <v>22</v>
      </c>
      <c r="F530" t="s">
        <v>11</v>
      </c>
      <c r="G530" t="s">
        <v>8</v>
      </c>
      <c r="H530" s="1">
        <v>3</v>
      </c>
      <c r="I530" s="1">
        <v>6796</v>
      </c>
      <c r="J530" t="s">
        <v>4</v>
      </c>
      <c r="K530" s="1">
        <v>14</v>
      </c>
      <c r="L530" s="1">
        <v>3</v>
      </c>
      <c r="M530" s="1">
        <v>18</v>
      </c>
      <c r="N530" s="1">
        <v>3</v>
      </c>
      <c r="O530" s="1">
        <v>4</v>
      </c>
      <c r="P530" s="1">
        <f>COUNTIF(HR_Data[Employee Number],HR_Data[[#This Row],[Employee Number]])</f>
        <v>1</v>
      </c>
      <c r="Q530" s="1" t="str">
        <f>IF(HR_Data[[#This Row],[Years At Company]]&lt;=HR_Data[[#This Row],[Total Working Years]],"Valid","error")</f>
        <v>Valid</v>
      </c>
      <c r="R530" s="1" t="str" cm="1">
        <f t="array" ref="R530">_xlfn.IFS(HR_Data[[#This Row],[Age]]&lt;=30,"Young", HR_Data[[#This Row],[Age]]&lt;=45,"Mid-Age",HR_Data[[#This Row],[Age]]&gt;45,"Senior")</f>
        <v>Senior</v>
      </c>
      <c r="S530" s="1" t="str" cm="1">
        <f t="array" ref="S530">_xlfn.IFS(HR_Data[[#This Row],[Monthly Income]]&lt;5000,"Low", HR_Data[[#This Row],[Monthly Income]]&lt;10000,"Medium",TRUE,"High")</f>
        <v>Medium</v>
      </c>
      <c r="T530" s="1" t="str" cm="1">
        <f t="array" ref="T530">_xlfn.IFS(HR_Data[[#This Row],[Total Working Years]]&lt;=5,"Junior", HR_Data[[#This Row],[Total Working Years]]&lt;=15,"Mid-Level", TRUE, "Senior")</f>
        <v>Senior</v>
      </c>
    </row>
    <row r="531" spans="1:20" x14ac:dyDescent="0.25">
      <c r="A531" s="1">
        <v>724</v>
      </c>
      <c r="B531" s="1">
        <v>38</v>
      </c>
      <c r="C531" t="s">
        <v>9</v>
      </c>
      <c r="D531" t="s">
        <v>10</v>
      </c>
      <c r="E531" t="s">
        <v>6</v>
      </c>
      <c r="F531" t="s">
        <v>7</v>
      </c>
      <c r="G531" t="s">
        <v>17</v>
      </c>
      <c r="H531" s="1">
        <v>4</v>
      </c>
      <c r="I531" s="1">
        <v>7625</v>
      </c>
      <c r="J531" t="s">
        <v>9</v>
      </c>
      <c r="K531" s="1">
        <v>13</v>
      </c>
      <c r="L531" s="1">
        <v>3</v>
      </c>
      <c r="M531" s="1">
        <v>10</v>
      </c>
      <c r="N531" s="1">
        <v>2</v>
      </c>
      <c r="O531" s="1">
        <v>9</v>
      </c>
      <c r="P531" s="1">
        <f>COUNTIF(HR_Data[Employee Number],HR_Data[[#This Row],[Employee Number]])</f>
        <v>1</v>
      </c>
      <c r="Q531" s="1" t="str">
        <f>IF(HR_Data[[#This Row],[Years At Company]]&lt;=HR_Data[[#This Row],[Total Working Years]],"Valid","error")</f>
        <v>Valid</v>
      </c>
      <c r="R531" s="1" t="str" cm="1">
        <f t="array" ref="R531">_xlfn.IFS(HR_Data[[#This Row],[Age]]&lt;=30,"Young", HR_Data[[#This Row],[Age]]&lt;=45,"Mid-Age",HR_Data[[#This Row],[Age]]&gt;45,"Senior")</f>
        <v>Mid-Age</v>
      </c>
      <c r="S531" s="1" t="str" cm="1">
        <f t="array" ref="S531">_xlfn.IFS(HR_Data[[#This Row],[Monthly Income]]&lt;5000,"Low", HR_Data[[#This Row],[Monthly Income]]&lt;10000,"Medium",TRUE,"High")</f>
        <v>Medium</v>
      </c>
      <c r="T531" s="1" t="str" cm="1">
        <f t="array" ref="T531">_xlfn.IFS(HR_Data[[#This Row],[Total Working Years]]&lt;=5,"Junior", HR_Data[[#This Row],[Total Working Years]]&lt;=15,"Mid-Level", TRUE, "Senior")</f>
        <v>Mid-Level</v>
      </c>
    </row>
    <row r="532" spans="1:20" x14ac:dyDescent="0.25">
      <c r="A532" s="1">
        <v>725</v>
      </c>
      <c r="B532" s="1">
        <v>27</v>
      </c>
      <c r="C532" t="s">
        <v>9</v>
      </c>
      <c r="D532" t="s">
        <v>10</v>
      </c>
      <c r="E532" t="s">
        <v>6</v>
      </c>
      <c r="F532" t="s">
        <v>7</v>
      </c>
      <c r="G532" t="s">
        <v>16</v>
      </c>
      <c r="H532" s="1">
        <v>1</v>
      </c>
      <c r="I532" s="1">
        <v>7412</v>
      </c>
      <c r="J532" t="s">
        <v>9</v>
      </c>
      <c r="K532" s="1">
        <v>11</v>
      </c>
      <c r="L532" s="1">
        <v>3</v>
      </c>
      <c r="M532" s="1">
        <v>9</v>
      </c>
      <c r="N532" s="1">
        <v>3</v>
      </c>
      <c r="O532" s="1">
        <v>9</v>
      </c>
      <c r="P532" s="1">
        <f>COUNTIF(HR_Data[Employee Number],HR_Data[[#This Row],[Employee Number]])</f>
        <v>1</v>
      </c>
      <c r="Q532" s="1" t="str">
        <f>IF(HR_Data[[#This Row],[Years At Company]]&lt;=HR_Data[[#This Row],[Total Working Years]],"Valid","error")</f>
        <v>Valid</v>
      </c>
      <c r="R532" s="1" t="str" cm="1">
        <f t="array" ref="R532">_xlfn.IFS(HR_Data[[#This Row],[Age]]&lt;=30,"Young", HR_Data[[#This Row],[Age]]&lt;=45,"Mid-Age",HR_Data[[#This Row],[Age]]&gt;45,"Senior")</f>
        <v>Young</v>
      </c>
      <c r="S532" s="1" t="str" cm="1">
        <f t="array" ref="S532">_xlfn.IFS(HR_Data[[#This Row],[Monthly Income]]&lt;5000,"Low", HR_Data[[#This Row],[Monthly Income]]&lt;10000,"Medium",TRUE,"High")</f>
        <v>Medium</v>
      </c>
      <c r="T532" s="1" t="str" cm="1">
        <f t="array" ref="T532">_xlfn.IFS(HR_Data[[#This Row],[Total Working Years]]&lt;=5,"Junior", HR_Data[[#This Row],[Total Working Years]]&lt;=15,"Mid-Level", TRUE, "Senior")</f>
        <v>Mid-Level</v>
      </c>
    </row>
    <row r="533" spans="1:20" x14ac:dyDescent="0.25">
      <c r="A533" s="1">
        <v>727</v>
      </c>
      <c r="B533" s="1">
        <v>32</v>
      </c>
      <c r="C533" t="s">
        <v>9</v>
      </c>
      <c r="D533" t="s">
        <v>10</v>
      </c>
      <c r="E533" t="s">
        <v>6</v>
      </c>
      <c r="F533" t="s">
        <v>7</v>
      </c>
      <c r="G533" t="s">
        <v>20</v>
      </c>
      <c r="H533" s="1">
        <v>4</v>
      </c>
      <c r="I533" s="1">
        <v>11159</v>
      </c>
      <c r="J533" t="s">
        <v>9</v>
      </c>
      <c r="K533" s="1">
        <v>15</v>
      </c>
      <c r="L533" s="1">
        <v>3</v>
      </c>
      <c r="M533" s="1">
        <v>10</v>
      </c>
      <c r="N533" s="1">
        <v>3</v>
      </c>
      <c r="O533" s="1">
        <v>7</v>
      </c>
      <c r="P533" s="1">
        <f>COUNTIF(HR_Data[Employee Number],HR_Data[[#This Row],[Employee Number]])</f>
        <v>1</v>
      </c>
      <c r="Q533" s="1" t="str">
        <f>IF(HR_Data[[#This Row],[Years At Company]]&lt;=HR_Data[[#This Row],[Total Working Years]],"Valid","error")</f>
        <v>Valid</v>
      </c>
      <c r="R533" s="1" t="str" cm="1">
        <f t="array" ref="R533">_xlfn.IFS(HR_Data[[#This Row],[Age]]&lt;=30,"Young", HR_Data[[#This Row],[Age]]&lt;=45,"Mid-Age",HR_Data[[#This Row],[Age]]&gt;45,"Senior")</f>
        <v>Mid-Age</v>
      </c>
      <c r="S533" s="1" t="str" cm="1">
        <f t="array" ref="S533">_xlfn.IFS(HR_Data[[#This Row],[Monthly Income]]&lt;5000,"Low", HR_Data[[#This Row],[Monthly Income]]&lt;10000,"Medium",TRUE,"High")</f>
        <v>High</v>
      </c>
      <c r="T533" s="1" t="str" cm="1">
        <f t="array" ref="T533">_xlfn.IFS(HR_Data[[#This Row],[Total Working Years]]&lt;=5,"Junior", HR_Data[[#This Row],[Total Working Years]]&lt;=15,"Mid-Level", TRUE, "Senior")</f>
        <v>Mid-Level</v>
      </c>
    </row>
    <row r="534" spans="1:20" x14ac:dyDescent="0.25">
      <c r="A534" s="1">
        <v>728</v>
      </c>
      <c r="B534" s="1">
        <v>47</v>
      </c>
      <c r="C534" t="s">
        <v>9</v>
      </c>
      <c r="D534" t="s">
        <v>5</v>
      </c>
      <c r="E534" t="s">
        <v>21</v>
      </c>
      <c r="F534" t="s">
        <v>11</v>
      </c>
      <c r="G534" t="s">
        <v>8</v>
      </c>
      <c r="H534" s="1">
        <v>1</v>
      </c>
      <c r="I534" s="1">
        <v>4960</v>
      </c>
      <c r="J534" t="s">
        <v>9</v>
      </c>
      <c r="K534" s="1">
        <v>12</v>
      </c>
      <c r="L534" s="1">
        <v>3</v>
      </c>
      <c r="M534" s="1">
        <v>20</v>
      </c>
      <c r="N534" s="1">
        <v>3</v>
      </c>
      <c r="O534" s="1">
        <v>7</v>
      </c>
      <c r="P534" s="1">
        <f>COUNTIF(HR_Data[Employee Number],HR_Data[[#This Row],[Employee Number]])</f>
        <v>1</v>
      </c>
      <c r="Q534" s="1" t="str">
        <f>IF(HR_Data[[#This Row],[Years At Company]]&lt;=HR_Data[[#This Row],[Total Working Years]],"Valid","error")</f>
        <v>Valid</v>
      </c>
      <c r="R534" s="1" t="str" cm="1">
        <f t="array" ref="R534">_xlfn.IFS(HR_Data[[#This Row],[Age]]&lt;=30,"Young", HR_Data[[#This Row],[Age]]&lt;=45,"Mid-Age",HR_Data[[#This Row],[Age]]&gt;45,"Senior")</f>
        <v>Senior</v>
      </c>
      <c r="S534" s="1" t="str" cm="1">
        <f t="array" ref="S534">_xlfn.IFS(HR_Data[[#This Row],[Monthly Income]]&lt;5000,"Low", HR_Data[[#This Row],[Monthly Income]]&lt;10000,"Medium",TRUE,"High")</f>
        <v>Low</v>
      </c>
      <c r="T534" s="1" t="str" cm="1">
        <f t="array" ref="T534">_xlfn.IFS(HR_Data[[#This Row],[Total Working Years]]&lt;=5,"Junior", HR_Data[[#This Row],[Total Working Years]]&lt;=15,"Mid-Level", TRUE, "Senior")</f>
        <v>Senior</v>
      </c>
    </row>
    <row r="535" spans="1:20" x14ac:dyDescent="0.25">
      <c r="A535" s="1">
        <v>729</v>
      </c>
      <c r="B535" s="1">
        <v>40</v>
      </c>
      <c r="C535" t="s">
        <v>9</v>
      </c>
      <c r="D535" t="s">
        <v>5</v>
      </c>
      <c r="E535" t="s">
        <v>6</v>
      </c>
      <c r="F535" t="s">
        <v>11</v>
      </c>
      <c r="G535" t="s">
        <v>8</v>
      </c>
      <c r="H535" s="1">
        <v>1</v>
      </c>
      <c r="I535" s="1">
        <v>10475</v>
      </c>
      <c r="J535" t="s">
        <v>4</v>
      </c>
      <c r="K535" s="1">
        <v>21</v>
      </c>
      <c r="L535" s="1">
        <v>4</v>
      </c>
      <c r="M535" s="1">
        <v>20</v>
      </c>
      <c r="N535" s="1">
        <v>3</v>
      </c>
      <c r="O535" s="1">
        <v>18</v>
      </c>
      <c r="P535" s="1">
        <f>COUNTIF(HR_Data[Employee Number],HR_Data[[#This Row],[Employee Number]])</f>
        <v>1</v>
      </c>
      <c r="Q535" s="1" t="str">
        <f>IF(HR_Data[[#This Row],[Years At Company]]&lt;=HR_Data[[#This Row],[Total Working Years]],"Valid","error")</f>
        <v>Valid</v>
      </c>
      <c r="R535" s="1" t="str" cm="1">
        <f t="array" ref="R535">_xlfn.IFS(HR_Data[[#This Row],[Age]]&lt;=30,"Young", HR_Data[[#This Row],[Age]]&lt;=45,"Mid-Age",HR_Data[[#This Row],[Age]]&gt;45,"Senior")</f>
        <v>Mid-Age</v>
      </c>
      <c r="S535" s="1" t="str" cm="1">
        <f t="array" ref="S535">_xlfn.IFS(HR_Data[[#This Row],[Monthly Income]]&lt;5000,"Low", HR_Data[[#This Row],[Monthly Income]]&lt;10000,"Medium",TRUE,"High")</f>
        <v>High</v>
      </c>
      <c r="T535" s="1" t="str" cm="1">
        <f t="array" ref="T535">_xlfn.IFS(HR_Data[[#This Row],[Total Working Years]]&lt;=5,"Junior", HR_Data[[#This Row],[Total Working Years]]&lt;=15,"Mid-Level", TRUE, "Senior")</f>
        <v>Senior</v>
      </c>
    </row>
    <row r="536" spans="1:20" x14ac:dyDescent="0.25">
      <c r="A536" s="1">
        <v>730</v>
      </c>
      <c r="B536" s="1">
        <v>53</v>
      </c>
      <c r="C536" t="s">
        <v>9</v>
      </c>
      <c r="D536" t="s">
        <v>10</v>
      </c>
      <c r="E536" t="s">
        <v>6</v>
      </c>
      <c r="F536" t="s">
        <v>11</v>
      </c>
      <c r="G536" t="s">
        <v>20</v>
      </c>
      <c r="H536" s="1">
        <v>3</v>
      </c>
      <c r="I536" s="1">
        <v>14814</v>
      </c>
      <c r="J536" t="s">
        <v>9</v>
      </c>
      <c r="K536" s="1">
        <v>19</v>
      </c>
      <c r="L536" s="1">
        <v>3</v>
      </c>
      <c r="M536" s="1">
        <v>32</v>
      </c>
      <c r="N536" s="1">
        <v>3</v>
      </c>
      <c r="O536" s="1">
        <v>5</v>
      </c>
      <c r="P536" s="1">
        <f>COUNTIF(HR_Data[Employee Number],HR_Data[[#This Row],[Employee Number]])</f>
        <v>1</v>
      </c>
      <c r="Q536" s="1" t="str">
        <f>IF(HR_Data[[#This Row],[Years At Company]]&lt;=HR_Data[[#This Row],[Total Working Years]],"Valid","error")</f>
        <v>Valid</v>
      </c>
      <c r="R536" s="1" t="str" cm="1">
        <f t="array" ref="R536">_xlfn.IFS(HR_Data[[#This Row],[Age]]&lt;=30,"Young", HR_Data[[#This Row],[Age]]&lt;=45,"Mid-Age",HR_Data[[#This Row],[Age]]&gt;45,"Senior")</f>
        <v>Senior</v>
      </c>
      <c r="S536" s="1" t="str" cm="1">
        <f t="array" ref="S536">_xlfn.IFS(HR_Data[[#This Row],[Monthly Income]]&lt;5000,"Low", HR_Data[[#This Row],[Monthly Income]]&lt;10000,"Medium",TRUE,"High")</f>
        <v>High</v>
      </c>
      <c r="T536" s="1" t="str" cm="1">
        <f t="array" ref="T536">_xlfn.IFS(HR_Data[[#This Row],[Total Working Years]]&lt;=5,"Junior", HR_Data[[#This Row],[Total Working Years]]&lt;=15,"Mid-Level", TRUE, "Senior")</f>
        <v>Senior</v>
      </c>
    </row>
    <row r="537" spans="1:20" x14ac:dyDescent="0.25">
      <c r="A537" s="1">
        <v>731</v>
      </c>
      <c r="B537" s="1">
        <v>41</v>
      </c>
      <c r="C537" t="s">
        <v>9</v>
      </c>
      <c r="D537" t="s">
        <v>23</v>
      </c>
      <c r="E537" t="s">
        <v>23</v>
      </c>
      <c r="F537" t="s">
        <v>11</v>
      </c>
      <c r="G537" t="s">
        <v>18</v>
      </c>
      <c r="H537" s="1">
        <v>4</v>
      </c>
      <c r="I537" s="1">
        <v>19141</v>
      </c>
      <c r="J537" t="s">
        <v>9</v>
      </c>
      <c r="K537" s="1">
        <v>15</v>
      </c>
      <c r="L537" s="1">
        <v>3</v>
      </c>
      <c r="M537" s="1">
        <v>23</v>
      </c>
      <c r="N537" s="1">
        <v>2</v>
      </c>
      <c r="O537" s="1">
        <v>21</v>
      </c>
      <c r="P537" s="1">
        <f>COUNTIF(HR_Data[Employee Number],HR_Data[[#This Row],[Employee Number]])</f>
        <v>1</v>
      </c>
      <c r="Q537" s="1" t="str">
        <f>IF(HR_Data[[#This Row],[Years At Company]]&lt;=HR_Data[[#This Row],[Total Working Years]],"Valid","error")</f>
        <v>Valid</v>
      </c>
      <c r="R537" s="1" t="str" cm="1">
        <f t="array" ref="R537">_xlfn.IFS(HR_Data[[#This Row],[Age]]&lt;=30,"Young", HR_Data[[#This Row],[Age]]&lt;=45,"Mid-Age",HR_Data[[#This Row],[Age]]&gt;45,"Senior")</f>
        <v>Mid-Age</v>
      </c>
      <c r="S537" s="1" t="str" cm="1">
        <f t="array" ref="S537">_xlfn.IFS(HR_Data[[#This Row],[Monthly Income]]&lt;5000,"Low", HR_Data[[#This Row],[Monthly Income]]&lt;10000,"Medium",TRUE,"High")</f>
        <v>High</v>
      </c>
      <c r="T537" s="1" t="str" cm="1">
        <f t="array" ref="T537">_xlfn.IFS(HR_Data[[#This Row],[Total Working Years]]&lt;=5,"Junior", HR_Data[[#This Row],[Total Working Years]]&lt;=15,"Mid-Level", TRUE, "Senior")</f>
        <v>Senior</v>
      </c>
    </row>
    <row r="538" spans="1:20" x14ac:dyDescent="0.25">
      <c r="A538" s="1">
        <v>732</v>
      </c>
      <c r="B538" s="1">
        <v>60</v>
      </c>
      <c r="C538" t="s">
        <v>9</v>
      </c>
      <c r="D538" t="s">
        <v>5</v>
      </c>
      <c r="E538" t="s">
        <v>21</v>
      </c>
      <c r="F538" t="s">
        <v>11</v>
      </c>
      <c r="G538" t="s">
        <v>8</v>
      </c>
      <c r="H538" s="1">
        <v>1</v>
      </c>
      <c r="I538" s="1">
        <v>5405</v>
      </c>
      <c r="J538" t="s">
        <v>9</v>
      </c>
      <c r="K538" s="1">
        <v>14</v>
      </c>
      <c r="L538" s="1">
        <v>3</v>
      </c>
      <c r="M538" s="1">
        <v>10</v>
      </c>
      <c r="N538" s="1">
        <v>3</v>
      </c>
      <c r="O538" s="1">
        <v>2</v>
      </c>
      <c r="P538" s="1">
        <f>COUNTIF(HR_Data[Employee Number],HR_Data[[#This Row],[Employee Number]])</f>
        <v>1</v>
      </c>
      <c r="Q538" s="1" t="str">
        <f>IF(HR_Data[[#This Row],[Years At Company]]&lt;=HR_Data[[#This Row],[Total Working Years]],"Valid","error")</f>
        <v>Valid</v>
      </c>
      <c r="R538" s="1" t="str" cm="1">
        <f t="array" ref="R538">_xlfn.IFS(HR_Data[[#This Row],[Age]]&lt;=30,"Young", HR_Data[[#This Row],[Age]]&lt;=45,"Mid-Age",HR_Data[[#This Row],[Age]]&gt;45,"Senior")</f>
        <v>Senior</v>
      </c>
      <c r="S538" s="1" t="str" cm="1">
        <f t="array" ref="S538">_xlfn.IFS(HR_Data[[#This Row],[Monthly Income]]&lt;5000,"Low", HR_Data[[#This Row],[Monthly Income]]&lt;10000,"Medium",TRUE,"High")</f>
        <v>Medium</v>
      </c>
      <c r="T538" s="1" t="str" cm="1">
        <f t="array" ref="T538">_xlfn.IFS(HR_Data[[#This Row],[Total Working Years]]&lt;=5,"Junior", HR_Data[[#This Row],[Total Working Years]]&lt;=15,"Mid-Level", TRUE, "Senior")</f>
        <v>Mid-Level</v>
      </c>
    </row>
    <row r="539" spans="1:20" x14ac:dyDescent="0.25">
      <c r="A539" s="1">
        <v>733</v>
      </c>
      <c r="B539" s="1">
        <v>27</v>
      </c>
      <c r="C539" t="s">
        <v>9</v>
      </c>
      <c r="D539" t="s">
        <v>10</v>
      </c>
      <c r="E539" t="s">
        <v>6</v>
      </c>
      <c r="F539" t="s">
        <v>11</v>
      </c>
      <c r="G539" t="s">
        <v>16</v>
      </c>
      <c r="H539" s="1">
        <v>1</v>
      </c>
      <c r="I539" s="1">
        <v>8793</v>
      </c>
      <c r="J539" t="s">
        <v>9</v>
      </c>
      <c r="K539" s="1">
        <v>21</v>
      </c>
      <c r="L539" s="1">
        <v>4</v>
      </c>
      <c r="M539" s="1">
        <v>9</v>
      </c>
      <c r="N539" s="1">
        <v>2</v>
      </c>
      <c r="O539" s="1">
        <v>9</v>
      </c>
      <c r="P539" s="1">
        <f>COUNTIF(HR_Data[Employee Number],HR_Data[[#This Row],[Employee Number]])</f>
        <v>1</v>
      </c>
      <c r="Q539" s="1" t="str">
        <f>IF(HR_Data[[#This Row],[Years At Company]]&lt;=HR_Data[[#This Row],[Total Working Years]],"Valid","error")</f>
        <v>Valid</v>
      </c>
      <c r="R539" s="1" t="str" cm="1">
        <f t="array" ref="R539">_xlfn.IFS(HR_Data[[#This Row],[Age]]&lt;=30,"Young", HR_Data[[#This Row],[Age]]&lt;=45,"Mid-Age",HR_Data[[#This Row],[Age]]&gt;45,"Senior")</f>
        <v>Young</v>
      </c>
      <c r="S539" s="1" t="str" cm="1">
        <f t="array" ref="S539">_xlfn.IFS(HR_Data[[#This Row],[Monthly Income]]&lt;5000,"Low", HR_Data[[#This Row],[Monthly Income]]&lt;10000,"Medium",TRUE,"High")</f>
        <v>Medium</v>
      </c>
      <c r="T539" s="1" t="str" cm="1">
        <f t="array" ref="T539">_xlfn.IFS(HR_Data[[#This Row],[Total Working Years]]&lt;=5,"Junior", HR_Data[[#This Row],[Total Working Years]]&lt;=15,"Mid-Level", TRUE, "Senior")</f>
        <v>Mid-Level</v>
      </c>
    </row>
    <row r="540" spans="1:20" x14ac:dyDescent="0.25">
      <c r="A540" s="1">
        <v>734</v>
      </c>
      <c r="B540" s="1">
        <v>41</v>
      </c>
      <c r="C540" t="s">
        <v>9</v>
      </c>
      <c r="D540" t="s">
        <v>23</v>
      </c>
      <c r="E540" t="s">
        <v>23</v>
      </c>
      <c r="F540" t="s">
        <v>11</v>
      </c>
      <c r="G540" t="s">
        <v>18</v>
      </c>
      <c r="H540" s="1">
        <v>3</v>
      </c>
      <c r="I540" s="1">
        <v>19189</v>
      </c>
      <c r="J540" t="s">
        <v>9</v>
      </c>
      <c r="K540" s="1">
        <v>12</v>
      </c>
      <c r="L540" s="1">
        <v>3</v>
      </c>
      <c r="M540" s="1">
        <v>22</v>
      </c>
      <c r="N540" s="1">
        <v>3</v>
      </c>
      <c r="O540" s="1">
        <v>22</v>
      </c>
      <c r="P540" s="1">
        <f>COUNTIF(HR_Data[Employee Number],HR_Data[[#This Row],[Employee Number]])</f>
        <v>1</v>
      </c>
      <c r="Q540" s="1" t="str">
        <f>IF(HR_Data[[#This Row],[Years At Company]]&lt;=HR_Data[[#This Row],[Total Working Years]],"Valid","error")</f>
        <v>Valid</v>
      </c>
      <c r="R540" s="1" t="str" cm="1">
        <f t="array" ref="R540">_xlfn.IFS(HR_Data[[#This Row],[Age]]&lt;=30,"Young", HR_Data[[#This Row],[Age]]&lt;=45,"Mid-Age",HR_Data[[#This Row],[Age]]&gt;45,"Senior")</f>
        <v>Mid-Age</v>
      </c>
      <c r="S540" s="1" t="str" cm="1">
        <f t="array" ref="S540">_xlfn.IFS(HR_Data[[#This Row],[Monthly Income]]&lt;5000,"Low", HR_Data[[#This Row],[Monthly Income]]&lt;10000,"Medium",TRUE,"High")</f>
        <v>High</v>
      </c>
      <c r="T540" s="1" t="str" cm="1">
        <f t="array" ref="T540">_xlfn.IFS(HR_Data[[#This Row],[Total Working Years]]&lt;=5,"Junior", HR_Data[[#This Row],[Total Working Years]]&lt;=15,"Mid-Level", TRUE, "Senior")</f>
        <v>Senior</v>
      </c>
    </row>
    <row r="541" spans="1:20" x14ac:dyDescent="0.25">
      <c r="A541" s="1">
        <v>738</v>
      </c>
      <c r="B541" s="1">
        <v>50</v>
      </c>
      <c r="C541" t="s">
        <v>9</v>
      </c>
      <c r="D541" t="s">
        <v>5</v>
      </c>
      <c r="E541" t="s">
        <v>21</v>
      </c>
      <c r="F541" t="s">
        <v>11</v>
      </c>
      <c r="G541" t="s">
        <v>19</v>
      </c>
      <c r="H541" s="1">
        <v>2</v>
      </c>
      <c r="I541" s="1">
        <v>3875</v>
      </c>
      <c r="J541" t="s">
        <v>9</v>
      </c>
      <c r="K541" s="1">
        <v>15</v>
      </c>
      <c r="L541" s="1">
        <v>3</v>
      </c>
      <c r="M541" s="1">
        <v>4</v>
      </c>
      <c r="N541" s="1">
        <v>3</v>
      </c>
      <c r="O541" s="1">
        <v>2</v>
      </c>
      <c r="P541" s="1">
        <f>COUNTIF(HR_Data[Employee Number],HR_Data[[#This Row],[Employee Number]])</f>
        <v>1</v>
      </c>
      <c r="Q541" s="1" t="str">
        <f>IF(HR_Data[[#This Row],[Years At Company]]&lt;=HR_Data[[#This Row],[Total Working Years]],"Valid","error")</f>
        <v>Valid</v>
      </c>
      <c r="R541" s="1" t="str" cm="1">
        <f t="array" ref="R541">_xlfn.IFS(HR_Data[[#This Row],[Age]]&lt;=30,"Young", HR_Data[[#This Row],[Age]]&lt;=45,"Mid-Age",HR_Data[[#This Row],[Age]]&gt;45,"Senior")</f>
        <v>Senior</v>
      </c>
      <c r="S541" s="1" t="str" cm="1">
        <f t="array" ref="S541">_xlfn.IFS(HR_Data[[#This Row],[Monthly Income]]&lt;5000,"Low", HR_Data[[#This Row],[Monthly Income]]&lt;10000,"Medium",TRUE,"High")</f>
        <v>Low</v>
      </c>
      <c r="T541" s="1" t="str" cm="1">
        <f t="array" ref="T541">_xlfn.IFS(HR_Data[[#This Row],[Total Working Years]]&lt;=5,"Junior", HR_Data[[#This Row],[Total Working Years]]&lt;=15,"Mid-Level", TRUE, "Senior")</f>
        <v>Junior</v>
      </c>
    </row>
    <row r="542" spans="1:20" x14ac:dyDescent="0.25">
      <c r="A542" s="1">
        <v>741</v>
      </c>
      <c r="B542" s="1">
        <v>28</v>
      </c>
      <c r="C542" t="s">
        <v>4</v>
      </c>
      <c r="D542" t="s">
        <v>10</v>
      </c>
      <c r="E542" t="s">
        <v>6</v>
      </c>
      <c r="F542" t="s">
        <v>7</v>
      </c>
      <c r="G542" t="s">
        <v>12</v>
      </c>
      <c r="H542" s="1">
        <v>2</v>
      </c>
      <c r="I542" s="1">
        <v>2216</v>
      </c>
      <c r="J542" t="s">
        <v>4</v>
      </c>
      <c r="K542" s="1">
        <v>13</v>
      </c>
      <c r="L542" s="1">
        <v>3</v>
      </c>
      <c r="M542" s="1">
        <v>10</v>
      </c>
      <c r="N542" s="1">
        <v>3</v>
      </c>
      <c r="O542" s="1">
        <v>7</v>
      </c>
      <c r="P542" s="1">
        <f>COUNTIF(HR_Data[Employee Number],HR_Data[[#This Row],[Employee Number]])</f>
        <v>1</v>
      </c>
      <c r="Q542" s="1" t="str">
        <f>IF(HR_Data[[#This Row],[Years At Company]]&lt;=HR_Data[[#This Row],[Total Working Years]],"Valid","error")</f>
        <v>Valid</v>
      </c>
      <c r="R542" s="1" t="str" cm="1">
        <f t="array" ref="R542">_xlfn.IFS(HR_Data[[#This Row],[Age]]&lt;=30,"Young", HR_Data[[#This Row],[Age]]&lt;=45,"Mid-Age",HR_Data[[#This Row],[Age]]&gt;45,"Senior")</f>
        <v>Young</v>
      </c>
      <c r="S542" s="1" t="str" cm="1">
        <f t="array" ref="S542">_xlfn.IFS(HR_Data[[#This Row],[Monthly Income]]&lt;5000,"Low", HR_Data[[#This Row],[Monthly Income]]&lt;10000,"Medium",TRUE,"High")</f>
        <v>Low</v>
      </c>
      <c r="T542" s="1" t="str" cm="1">
        <f t="array" ref="T542">_xlfn.IFS(HR_Data[[#This Row],[Total Working Years]]&lt;=5,"Junior", HR_Data[[#This Row],[Total Working Years]]&lt;=15,"Mid-Level", TRUE, "Senior")</f>
        <v>Mid-Level</v>
      </c>
    </row>
    <row r="543" spans="1:20" x14ac:dyDescent="0.25">
      <c r="A543" s="1">
        <v>742</v>
      </c>
      <c r="B543" s="1">
        <v>36</v>
      </c>
      <c r="C543" t="s">
        <v>9</v>
      </c>
      <c r="D543" t="s">
        <v>10</v>
      </c>
      <c r="E543" t="s">
        <v>6</v>
      </c>
      <c r="F543" t="s">
        <v>7</v>
      </c>
      <c r="G543" t="s">
        <v>20</v>
      </c>
      <c r="H543" s="1">
        <v>1</v>
      </c>
      <c r="I543" s="1">
        <v>11713</v>
      </c>
      <c r="J543" t="s">
        <v>9</v>
      </c>
      <c r="K543" s="1">
        <v>14</v>
      </c>
      <c r="L543" s="1">
        <v>3</v>
      </c>
      <c r="M543" s="1">
        <v>10</v>
      </c>
      <c r="N543" s="1">
        <v>3</v>
      </c>
      <c r="O543" s="1">
        <v>8</v>
      </c>
      <c r="P543" s="1">
        <f>COUNTIF(HR_Data[Employee Number],HR_Data[[#This Row],[Employee Number]])</f>
        <v>1</v>
      </c>
      <c r="Q543" s="1" t="str">
        <f>IF(HR_Data[[#This Row],[Years At Company]]&lt;=HR_Data[[#This Row],[Total Working Years]],"Valid","error")</f>
        <v>Valid</v>
      </c>
      <c r="R543" s="1" t="str" cm="1">
        <f t="array" ref="R543">_xlfn.IFS(HR_Data[[#This Row],[Age]]&lt;=30,"Young", HR_Data[[#This Row],[Age]]&lt;=45,"Mid-Age",HR_Data[[#This Row],[Age]]&gt;45,"Senior")</f>
        <v>Mid-Age</v>
      </c>
      <c r="S543" s="1" t="str" cm="1">
        <f t="array" ref="S543">_xlfn.IFS(HR_Data[[#This Row],[Monthly Income]]&lt;5000,"Low", HR_Data[[#This Row],[Monthly Income]]&lt;10000,"Medium",TRUE,"High")</f>
        <v>High</v>
      </c>
      <c r="T543" s="1" t="str" cm="1">
        <f t="array" ref="T543">_xlfn.IFS(HR_Data[[#This Row],[Total Working Years]]&lt;=5,"Junior", HR_Data[[#This Row],[Total Working Years]]&lt;=15,"Mid-Level", TRUE, "Senior")</f>
        <v>Mid-Level</v>
      </c>
    </row>
    <row r="544" spans="1:20" x14ac:dyDescent="0.25">
      <c r="A544" s="1">
        <v>743</v>
      </c>
      <c r="B544" s="1">
        <v>38</v>
      </c>
      <c r="C544" t="s">
        <v>9</v>
      </c>
      <c r="D544" t="s">
        <v>10</v>
      </c>
      <c r="E544" t="s">
        <v>6</v>
      </c>
      <c r="F544" t="s">
        <v>7</v>
      </c>
      <c r="G544" t="s">
        <v>16</v>
      </c>
      <c r="H544" s="1">
        <v>3</v>
      </c>
      <c r="I544" s="1">
        <v>7861</v>
      </c>
      <c r="J544" t="s">
        <v>4</v>
      </c>
      <c r="K544" s="1">
        <v>14</v>
      </c>
      <c r="L544" s="1">
        <v>3</v>
      </c>
      <c r="M544" s="1">
        <v>10</v>
      </c>
      <c r="N544" s="1">
        <v>4</v>
      </c>
      <c r="O544" s="1">
        <v>1</v>
      </c>
      <c r="P544" s="1">
        <f>COUNTIF(HR_Data[Employee Number],HR_Data[[#This Row],[Employee Number]])</f>
        <v>1</v>
      </c>
      <c r="Q544" s="1" t="str">
        <f>IF(HR_Data[[#This Row],[Years At Company]]&lt;=HR_Data[[#This Row],[Total Working Years]],"Valid","error")</f>
        <v>Valid</v>
      </c>
      <c r="R544" s="1" t="str" cm="1">
        <f t="array" ref="R544">_xlfn.IFS(HR_Data[[#This Row],[Age]]&lt;=30,"Young", HR_Data[[#This Row],[Age]]&lt;=45,"Mid-Age",HR_Data[[#This Row],[Age]]&gt;45,"Senior")</f>
        <v>Mid-Age</v>
      </c>
      <c r="S544" s="1" t="str" cm="1">
        <f t="array" ref="S544">_xlfn.IFS(HR_Data[[#This Row],[Monthly Income]]&lt;5000,"Low", HR_Data[[#This Row],[Monthly Income]]&lt;10000,"Medium",TRUE,"High")</f>
        <v>Medium</v>
      </c>
      <c r="T544" s="1" t="str" cm="1">
        <f t="array" ref="T544">_xlfn.IFS(HR_Data[[#This Row],[Total Working Years]]&lt;=5,"Junior", HR_Data[[#This Row],[Total Working Years]]&lt;=15,"Mid-Level", TRUE, "Senior")</f>
        <v>Mid-Level</v>
      </c>
    </row>
    <row r="545" spans="1:20" x14ac:dyDescent="0.25">
      <c r="A545" s="1">
        <v>744</v>
      </c>
      <c r="B545" s="1">
        <v>44</v>
      </c>
      <c r="C545" t="s">
        <v>9</v>
      </c>
      <c r="D545" t="s">
        <v>10</v>
      </c>
      <c r="E545" t="s">
        <v>15</v>
      </c>
      <c r="F545" t="s">
        <v>11</v>
      </c>
      <c r="G545" t="s">
        <v>14</v>
      </c>
      <c r="H545" s="1">
        <v>3</v>
      </c>
      <c r="I545" s="1">
        <v>3708</v>
      </c>
      <c r="J545" t="s">
        <v>9</v>
      </c>
      <c r="K545" s="1">
        <v>14</v>
      </c>
      <c r="L545" s="1">
        <v>3</v>
      </c>
      <c r="M545" s="1">
        <v>9</v>
      </c>
      <c r="N545" s="1">
        <v>3</v>
      </c>
      <c r="O545" s="1">
        <v>5</v>
      </c>
      <c r="P545" s="1">
        <f>COUNTIF(HR_Data[Employee Number],HR_Data[[#This Row],[Employee Number]])</f>
        <v>1</v>
      </c>
      <c r="Q545" s="1" t="str">
        <f>IF(HR_Data[[#This Row],[Years At Company]]&lt;=HR_Data[[#This Row],[Total Working Years]],"Valid","error")</f>
        <v>Valid</v>
      </c>
      <c r="R545" s="1" t="str" cm="1">
        <f t="array" ref="R545">_xlfn.IFS(HR_Data[[#This Row],[Age]]&lt;=30,"Young", HR_Data[[#This Row],[Age]]&lt;=45,"Mid-Age",HR_Data[[#This Row],[Age]]&gt;45,"Senior")</f>
        <v>Mid-Age</v>
      </c>
      <c r="S545" s="1" t="str" cm="1">
        <f t="array" ref="S545">_xlfn.IFS(HR_Data[[#This Row],[Monthly Income]]&lt;5000,"Low", HR_Data[[#This Row],[Monthly Income]]&lt;10000,"Medium",TRUE,"High")</f>
        <v>Low</v>
      </c>
      <c r="T545" s="1" t="str" cm="1">
        <f t="array" ref="T545">_xlfn.IFS(HR_Data[[#This Row],[Total Working Years]]&lt;=5,"Junior", HR_Data[[#This Row],[Total Working Years]]&lt;=15,"Mid-Level", TRUE, "Senior")</f>
        <v>Mid-Level</v>
      </c>
    </row>
    <row r="546" spans="1:20" x14ac:dyDescent="0.25">
      <c r="A546" s="1">
        <v>746</v>
      </c>
      <c r="B546" s="1">
        <v>47</v>
      </c>
      <c r="C546" t="s">
        <v>9</v>
      </c>
      <c r="D546" t="s">
        <v>5</v>
      </c>
      <c r="E546" t="s">
        <v>15</v>
      </c>
      <c r="F546" t="s">
        <v>7</v>
      </c>
      <c r="G546" t="s">
        <v>8</v>
      </c>
      <c r="H546" s="1">
        <v>3</v>
      </c>
      <c r="I546" s="1">
        <v>13770</v>
      </c>
      <c r="J546" t="s">
        <v>4</v>
      </c>
      <c r="K546" s="1">
        <v>12</v>
      </c>
      <c r="L546" s="1">
        <v>3</v>
      </c>
      <c r="M546" s="1">
        <v>28</v>
      </c>
      <c r="N546" s="1">
        <v>2</v>
      </c>
      <c r="O546" s="1">
        <v>22</v>
      </c>
      <c r="P546" s="1">
        <f>COUNTIF(HR_Data[Employee Number],HR_Data[[#This Row],[Employee Number]])</f>
        <v>1</v>
      </c>
      <c r="Q546" s="1" t="str">
        <f>IF(HR_Data[[#This Row],[Years At Company]]&lt;=HR_Data[[#This Row],[Total Working Years]],"Valid","error")</f>
        <v>Valid</v>
      </c>
      <c r="R546" s="1" t="str" cm="1">
        <f t="array" ref="R546">_xlfn.IFS(HR_Data[[#This Row],[Age]]&lt;=30,"Young", HR_Data[[#This Row],[Age]]&lt;=45,"Mid-Age",HR_Data[[#This Row],[Age]]&gt;45,"Senior")</f>
        <v>Senior</v>
      </c>
      <c r="S546" s="1" t="str" cm="1">
        <f t="array" ref="S546">_xlfn.IFS(HR_Data[[#This Row],[Monthly Income]]&lt;5000,"Low", HR_Data[[#This Row],[Monthly Income]]&lt;10000,"Medium",TRUE,"High")</f>
        <v>High</v>
      </c>
      <c r="T546" s="1" t="str" cm="1">
        <f t="array" ref="T546">_xlfn.IFS(HR_Data[[#This Row],[Total Working Years]]&lt;=5,"Junior", HR_Data[[#This Row],[Total Working Years]]&lt;=15,"Mid-Level", TRUE, "Senior")</f>
        <v>Senior</v>
      </c>
    </row>
    <row r="547" spans="1:20" x14ac:dyDescent="0.25">
      <c r="A547" s="1">
        <v>747</v>
      </c>
      <c r="B547" s="1">
        <v>30</v>
      </c>
      <c r="C547" t="s">
        <v>9</v>
      </c>
      <c r="D547" t="s">
        <v>5</v>
      </c>
      <c r="E547" t="s">
        <v>21</v>
      </c>
      <c r="F547" t="s">
        <v>11</v>
      </c>
      <c r="G547" t="s">
        <v>8</v>
      </c>
      <c r="H547" s="1">
        <v>4</v>
      </c>
      <c r="I547" s="1">
        <v>5304</v>
      </c>
      <c r="J547" t="s">
        <v>9</v>
      </c>
      <c r="K547" s="1">
        <v>23</v>
      </c>
      <c r="L547" s="1">
        <v>4</v>
      </c>
      <c r="M547" s="1">
        <v>10</v>
      </c>
      <c r="N547" s="1">
        <v>2</v>
      </c>
      <c r="O547" s="1">
        <v>8</v>
      </c>
      <c r="P547" s="1">
        <f>COUNTIF(HR_Data[Employee Number],HR_Data[[#This Row],[Employee Number]])</f>
        <v>1</v>
      </c>
      <c r="Q547" s="1" t="str">
        <f>IF(HR_Data[[#This Row],[Years At Company]]&lt;=HR_Data[[#This Row],[Total Working Years]],"Valid","error")</f>
        <v>Valid</v>
      </c>
      <c r="R547" s="1" t="str" cm="1">
        <f t="array" ref="R547">_xlfn.IFS(HR_Data[[#This Row],[Age]]&lt;=30,"Young", HR_Data[[#This Row],[Age]]&lt;=45,"Mid-Age",HR_Data[[#This Row],[Age]]&gt;45,"Senior")</f>
        <v>Young</v>
      </c>
      <c r="S547" s="1" t="str" cm="1">
        <f t="array" ref="S547">_xlfn.IFS(HR_Data[[#This Row],[Monthly Income]]&lt;5000,"Low", HR_Data[[#This Row],[Monthly Income]]&lt;10000,"Medium",TRUE,"High")</f>
        <v>Medium</v>
      </c>
      <c r="T547" s="1" t="str" cm="1">
        <f t="array" ref="T547">_xlfn.IFS(HR_Data[[#This Row],[Total Working Years]]&lt;=5,"Junior", HR_Data[[#This Row],[Total Working Years]]&lt;=15,"Mid-Level", TRUE, "Senior")</f>
        <v>Mid-Level</v>
      </c>
    </row>
    <row r="548" spans="1:20" x14ac:dyDescent="0.25">
      <c r="A548" s="1">
        <v>749</v>
      </c>
      <c r="B548" s="1">
        <v>29</v>
      </c>
      <c r="C548" t="s">
        <v>9</v>
      </c>
      <c r="D548" t="s">
        <v>5</v>
      </c>
      <c r="E548" t="s">
        <v>6</v>
      </c>
      <c r="F548" t="s">
        <v>11</v>
      </c>
      <c r="G548" t="s">
        <v>19</v>
      </c>
      <c r="H548" s="1">
        <v>3</v>
      </c>
      <c r="I548" s="1">
        <v>2642</v>
      </c>
      <c r="J548" t="s">
        <v>9</v>
      </c>
      <c r="K548" s="1">
        <v>11</v>
      </c>
      <c r="L548" s="1">
        <v>3</v>
      </c>
      <c r="M548" s="1">
        <v>1</v>
      </c>
      <c r="N548" s="1">
        <v>3</v>
      </c>
      <c r="O548" s="1">
        <v>1</v>
      </c>
      <c r="P548" s="1">
        <f>COUNTIF(HR_Data[Employee Number],HR_Data[[#This Row],[Employee Number]])</f>
        <v>1</v>
      </c>
      <c r="Q548" s="1" t="str">
        <f>IF(HR_Data[[#This Row],[Years At Company]]&lt;=HR_Data[[#This Row],[Total Working Years]],"Valid","error")</f>
        <v>Valid</v>
      </c>
      <c r="R548" s="1" t="str" cm="1">
        <f t="array" ref="R548">_xlfn.IFS(HR_Data[[#This Row],[Age]]&lt;=30,"Young", HR_Data[[#This Row],[Age]]&lt;=45,"Mid-Age",HR_Data[[#This Row],[Age]]&gt;45,"Senior")</f>
        <v>Young</v>
      </c>
      <c r="S548" s="1" t="str" cm="1">
        <f t="array" ref="S548">_xlfn.IFS(HR_Data[[#This Row],[Monthly Income]]&lt;5000,"Low", HR_Data[[#This Row],[Monthly Income]]&lt;10000,"Medium",TRUE,"High")</f>
        <v>Low</v>
      </c>
      <c r="T548" s="1" t="str" cm="1">
        <f t="array" ref="T548">_xlfn.IFS(HR_Data[[#This Row],[Total Working Years]]&lt;=5,"Junior", HR_Data[[#This Row],[Total Working Years]]&lt;=15,"Mid-Level", TRUE, "Senior")</f>
        <v>Junior</v>
      </c>
    </row>
    <row r="549" spans="1:20" x14ac:dyDescent="0.25">
      <c r="A549" s="1">
        <v>752</v>
      </c>
      <c r="B549" s="1">
        <v>42</v>
      </c>
      <c r="C549" t="s">
        <v>4</v>
      </c>
      <c r="D549" t="s">
        <v>10</v>
      </c>
      <c r="E549" t="s">
        <v>15</v>
      </c>
      <c r="F549" t="s">
        <v>11</v>
      </c>
      <c r="G549" t="s">
        <v>12</v>
      </c>
      <c r="H549" s="1">
        <v>3</v>
      </c>
      <c r="I549" s="1">
        <v>2759</v>
      </c>
      <c r="J549" t="s">
        <v>4</v>
      </c>
      <c r="K549" s="1">
        <v>12</v>
      </c>
      <c r="L549" s="1">
        <v>3</v>
      </c>
      <c r="M549" s="1">
        <v>7</v>
      </c>
      <c r="N549" s="1">
        <v>3</v>
      </c>
      <c r="O549" s="1">
        <v>2</v>
      </c>
      <c r="P549" s="1">
        <f>COUNTIF(HR_Data[Employee Number],HR_Data[[#This Row],[Employee Number]])</f>
        <v>1</v>
      </c>
      <c r="Q549" s="1" t="str">
        <f>IF(HR_Data[[#This Row],[Years At Company]]&lt;=HR_Data[[#This Row],[Total Working Years]],"Valid","error")</f>
        <v>Valid</v>
      </c>
      <c r="R549" s="1" t="str" cm="1">
        <f t="array" ref="R549">_xlfn.IFS(HR_Data[[#This Row],[Age]]&lt;=30,"Young", HR_Data[[#This Row],[Age]]&lt;=45,"Mid-Age",HR_Data[[#This Row],[Age]]&gt;45,"Senior")</f>
        <v>Mid-Age</v>
      </c>
      <c r="S549" s="1" t="str" cm="1">
        <f t="array" ref="S549">_xlfn.IFS(HR_Data[[#This Row],[Monthly Income]]&lt;5000,"Low", HR_Data[[#This Row],[Monthly Income]]&lt;10000,"Medium",TRUE,"High")</f>
        <v>Low</v>
      </c>
      <c r="T549" s="1" t="str" cm="1">
        <f t="array" ref="T549">_xlfn.IFS(HR_Data[[#This Row],[Total Working Years]]&lt;=5,"Junior", HR_Data[[#This Row],[Total Working Years]]&lt;=15,"Mid-Level", TRUE, "Senior")</f>
        <v>Mid-Level</v>
      </c>
    </row>
    <row r="550" spans="1:20" x14ac:dyDescent="0.25">
      <c r="A550" s="1">
        <v>754</v>
      </c>
      <c r="B550" s="1">
        <v>43</v>
      </c>
      <c r="C550" t="s">
        <v>9</v>
      </c>
      <c r="D550" t="s">
        <v>5</v>
      </c>
      <c r="E550" t="s">
        <v>6</v>
      </c>
      <c r="F550" t="s">
        <v>11</v>
      </c>
      <c r="G550" t="s">
        <v>8</v>
      </c>
      <c r="H550" s="1">
        <v>4</v>
      </c>
      <c r="I550" s="1">
        <v>6804</v>
      </c>
      <c r="J550" t="s">
        <v>9</v>
      </c>
      <c r="K550" s="1">
        <v>18</v>
      </c>
      <c r="L550" s="1">
        <v>3</v>
      </c>
      <c r="M550" s="1">
        <v>7</v>
      </c>
      <c r="N550" s="1">
        <v>3</v>
      </c>
      <c r="O550" s="1">
        <v>2</v>
      </c>
      <c r="P550" s="1">
        <f>COUNTIF(HR_Data[Employee Number],HR_Data[[#This Row],[Employee Number]])</f>
        <v>1</v>
      </c>
      <c r="Q550" s="1" t="str">
        <f>IF(HR_Data[[#This Row],[Years At Company]]&lt;=HR_Data[[#This Row],[Total Working Years]],"Valid","error")</f>
        <v>Valid</v>
      </c>
      <c r="R550" s="1" t="str" cm="1">
        <f t="array" ref="R550">_xlfn.IFS(HR_Data[[#This Row],[Age]]&lt;=30,"Young", HR_Data[[#This Row],[Age]]&lt;=45,"Mid-Age",HR_Data[[#This Row],[Age]]&gt;45,"Senior")</f>
        <v>Mid-Age</v>
      </c>
      <c r="S550" s="1" t="str" cm="1">
        <f t="array" ref="S550">_xlfn.IFS(HR_Data[[#This Row],[Monthly Income]]&lt;5000,"Low", HR_Data[[#This Row],[Monthly Income]]&lt;10000,"Medium",TRUE,"High")</f>
        <v>Medium</v>
      </c>
      <c r="T550" s="1" t="str" cm="1">
        <f t="array" ref="T550">_xlfn.IFS(HR_Data[[#This Row],[Total Working Years]]&lt;=5,"Junior", HR_Data[[#This Row],[Total Working Years]]&lt;=15,"Mid-Level", TRUE, "Senior")</f>
        <v>Mid-Level</v>
      </c>
    </row>
    <row r="551" spans="1:20" x14ac:dyDescent="0.25">
      <c r="A551" s="1">
        <v>757</v>
      </c>
      <c r="B551" s="1">
        <v>34</v>
      </c>
      <c r="C551" t="s">
        <v>9</v>
      </c>
      <c r="D551" t="s">
        <v>10</v>
      </c>
      <c r="E551" t="s">
        <v>15</v>
      </c>
      <c r="F551" t="s">
        <v>7</v>
      </c>
      <c r="G551" t="s">
        <v>17</v>
      </c>
      <c r="H551" s="1">
        <v>3</v>
      </c>
      <c r="I551" s="1">
        <v>6142</v>
      </c>
      <c r="J551" t="s">
        <v>9</v>
      </c>
      <c r="K551" s="1">
        <v>11</v>
      </c>
      <c r="L551" s="1">
        <v>3</v>
      </c>
      <c r="M551" s="1">
        <v>10</v>
      </c>
      <c r="N551" s="1">
        <v>3</v>
      </c>
      <c r="O551" s="1">
        <v>5</v>
      </c>
      <c r="P551" s="1">
        <f>COUNTIF(HR_Data[Employee Number],HR_Data[[#This Row],[Employee Number]])</f>
        <v>1</v>
      </c>
      <c r="Q551" s="1" t="str">
        <f>IF(HR_Data[[#This Row],[Years At Company]]&lt;=HR_Data[[#This Row],[Total Working Years]],"Valid","error")</f>
        <v>Valid</v>
      </c>
      <c r="R551" s="1" t="str" cm="1">
        <f t="array" ref="R551">_xlfn.IFS(HR_Data[[#This Row],[Age]]&lt;=30,"Young", HR_Data[[#This Row],[Age]]&lt;=45,"Mid-Age",HR_Data[[#This Row],[Age]]&gt;45,"Senior")</f>
        <v>Mid-Age</v>
      </c>
      <c r="S551" s="1" t="str" cm="1">
        <f t="array" ref="S551">_xlfn.IFS(HR_Data[[#This Row],[Monthly Income]]&lt;5000,"Low", HR_Data[[#This Row],[Monthly Income]]&lt;10000,"Medium",TRUE,"High")</f>
        <v>Medium</v>
      </c>
      <c r="T551" s="1" t="str" cm="1">
        <f t="array" ref="T551">_xlfn.IFS(HR_Data[[#This Row],[Total Working Years]]&lt;=5,"Junior", HR_Data[[#This Row],[Total Working Years]]&lt;=15,"Mid-Level", TRUE, "Senior")</f>
        <v>Mid-Level</v>
      </c>
    </row>
    <row r="552" spans="1:20" x14ac:dyDescent="0.25">
      <c r="A552" s="1">
        <v>758</v>
      </c>
      <c r="B552" s="1">
        <v>23</v>
      </c>
      <c r="C552" t="s">
        <v>9</v>
      </c>
      <c r="D552" t="s">
        <v>10</v>
      </c>
      <c r="E552" t="s">
        <v>15</v>
      </c>
      <c r="F552" t="s">
        <v>11</v>
      </c>
      <c r="G552" t="s">
        <v>14</v>
      </c>
      <c r="H552" s="1">
        <v>1</v>
      </c>
      <c r="I552" s="1">
        <v>2500</v>
      </c>
      <c r="J552" t="s">
        <v>9</v>
      </c>
      <c r="K552" s="1">
        <v>14</v>
      </c>
      <c r="L552" s="1">
        <v>3</v>
      </c>
      <c r="M552" s="1">
        <v>5</v>
      </c>
      <c r="N552" s="1">
        <v>4</v>
      </c>
      <c r="O552" s="1">
        <v>4</v>
      </c>
      <c r="P552" s="1">
        <f>COUNTIF(HR_Data[Employee Number],HR_Data[[#This Row],[Employee Number]])</f>
        <v>1</v>
      </c>
      <c r="Q552" s="1" t="str">
        <f>IF(HR_Data[[#This Row],[Years At Company]]&lt;=HR_Data[[#This Row],[Total Working Years]],"Valid","error")</f>
        <v>Valid</v>
      </c>
      <c r="R552" s="1" t="str" cm="1">
        <f t="array" ref="R552">_xlfn.IFS(HR_Data[[#This Row],[Age]]&lt;=30,"Young", HR_Data[[#This Row],[Age]]&lt;=45,"Mid-Age",HR_Data[[#This Row],[Age]]&gt;45,"Senior")</f>
        <v>Young</v>
      </c>
      <c r="S552" s="1" t="str" cm="1">
        <f t="array" ref="S552">_xlfn.IFS(HR_Data[[#This Row],[Monthly Income]]&lt;5000,"Low", HR_Data[[#This Row],[Monthly Income]]&lt;10000,"Medium",TRUE,"High")</f>
        <v>Low</v>
      </c>
      <c r="T552" s="1" t="str" cm="1">
        <f t="array" ref="T552">_xlfn.IFS(HR_Data[[#This Row],[Total Working Years]]&lt;=5,"Junior", HR_Data[[#This Row],[Total Working Years]]&lt;=15,"Mid-Level", TRUE, "Senior")</f>
        <v>Junior</v>
      </c>
    </row>
    <row r="553" spans="1:20" x14ac:dyDescent="0.25">
      <c r="A553" s="1">
        <v>760</v>
      </c>
      <c r="B553" s="1">
        <v>39</v>
      </c>
      <c r="C553" t="s">
        <v>9</v>
      </c>
      <c r="D553" t="s">
        <v>23</v>
      </c>
      <c r="E553" t="s">
        <v>23</v>
      </c>
      <c r="F553" t="s">
        <v>7</v>
      </c>
      <c r="G553" t="s">
        <v>23</v>
      </c>
      <c r="H553" s="1">
        <v>2</v>
      </c>
      <c r="I553" s="1">
        <v>6389</v>
      </c>
      <c r="J553" t="s">
        <v>9</v>
      </c>
      <c r="K553" s="1">
        <v>15</v>
      </c>
      <c r="L553" s="1">
        <v>3</v>
      </c>
      <c r="M553" s="1">
        <v>12</v>
      </c>
      <c r="N553" s="1">
        <v>1</v>
      </c>
      <c r="O553" s="1">
        <v>8</v>
      </c>
      <c r="P553" s="1">
        <f>COUNTIF(HR_Data[Employee Number],HR_Data[[#This Row],[Employee Number]])</f>
        <v>1</v>
      </c>
      <c r="Q553" s="1" t="str">
        <f>IF(HR_Data[[#This Row],[Years At Company]]&lt;=HR_Data[[#This Row],[Total Working Years]],"Valid","error")</f>
        <v>Valid</v>
      </c>
      <c r="R553" s="1" t="str" cm="1">
        <f t="array" ref="R553">_xlfn.IFS(HR_Data[[#This Row],[Age]]&lt;=30,"Young", HR_Data[[#This Row],[Age]]&lt;=45,"Mid-Age",HR_Data[[#This Row],[Age]]&gt;45,"Senior")</f>
        <v>Mid-Age</v>
      </c>
      <c r="S553" s="1" t="str" cm="1">
        <f t="array" ref="S553">_xlfn.IFS(HR_Data[[#This Row],[Monthly Income]]&lt;5000,"Low", HR_Data[[#This Row],[Monthly Income]]&lt;10000,"Medium",TRUE,"High")</f>
        <v>Medium</v>
      </c>
      <c r="T553" s="1" t="str" cm="1">
        <f t="array" ref="T553">_xlfn.IFS(HR_Data[[#This Row],[Total Working Years]]&lt;=5,"Junior", HR_Data[[#This Row],[Total Working Years]]&lt;=15,"Mid-Level", TRUE, "Senior")</f>
        <v>Mid-Level</v>
      </c>
    </row>
    <row r="554" spans="1:20" x14ac:dyDescent="0.25">
      <c r="A554" s="1">
        <v>762</v>
      </c>
      <c r="B554" s="1">
        <v>56</v>
      </c>
      <c r="C554" t="s">
        <v>9</v>
      </c>
      <c r="D554" t="s">
        <v>10</v>
      </c>
      <c r="E554" t="s">
        <v>15</v>
      </c>
      <c r="F554" t="s">
        <v>11</v>
      </c>
      <c r="G554" t="s">
        <v>17</v>
      </c>
      <c r="H554" s="1">
        <v>4</v>
      </c>
      <c r="I554" s="1">
        <v>11103</v>
      </c>
      <c r="J554" t="s">
        <v>9</v>
      </c>
      <c r="K554" s="1">
        <v>11</v>
      </c>
      <c r="L554" s="1">
        <v>3</v>
      </c>
      <c r="M554" s="1">
        <v>30</v>
      </c>
      <c r="N554" s="1">
        <v>2</v>
      </c>
      <c r="O554" s="1">
        <v>10</v>
      </c>
      <c r="P554" s="1">
        <f>COUNTIF(HR_Data[Employee Number],HR_Data[[#This Row],[Employee Number]])</f>
        <v>1</v>
      </c>
      <c r="Q554" s="1" t="str">
        <f>IF(HR_Data[[#This Row],[Years At Company]]&lt;=HR_Data[[#This Row],[Total Working Years]],"Valid","error")</f>
        <v>Valid</v>
      </c>
      <c r="R554" s="1" t="str" cm="1">
        <f t="array" ref="R554">_xlfn.IFS(HR_Data[[#This Row],[Age]]&lt;=30,"Young", HR_Data[[#This Row],[Age]]&lt;=45,"Mid-Age",HR_Data[[#This Row],[Age]]&gt;45,"Senior")</f>
        <v>Senior</v>
      </c>
      <c r="S554" s="1" t="str" cm="1">
        <f t="array" ref="S554">_xlfn.IFS(HR_Data[[#This Row],[Monthly Income]]&lt;5000,"Low", HR_Data[[#This Row],[Monthly Income]]&lt;10000,"Medium",TRUE,"High")</f>
        <v>High</v>
      </c>
      <c r="T554" s="1" t="str" cm="1">
        <f t="array" ref="T554">_xlfn.IFS(HR_Data[[#This Row],[Total Working Years]]&lt;=5,"Junior", HR_Data[[#This Row],[Total Working Years]]&lt;=15,"Mid-Level", TRUE, "Senior")</f>
        <v>Senior</v>
      </c>
    </row>
    <row r="555" spans="1:20" x14ac:dyDescent="0.25">
      <c r="A555" s="1">
        <v>763</v>
      </c>
      <c r="B555" s="1">
        <v>40</v>
      </c>
      <c r="C555" t="s">
        <v>9</v>
      </c>
      <c r="D555" t="s">
        <v>10</v>
      </c>
      <c r="E555" t="s">
        <v>15</v>
      </c>
      <c r="F555" t="s">
        <v>7</v>
      </c>
      <c r="G555" t="s">
        <v>12</v>
      </c>
      <c r="H555" s="1">
        <v>4</v>
      </c>
      <c r="I555" s="1">
        <v>2342</v>
      </c>
      <c r="J555" t="s">
        <v>4</v>
      </c>
      <c r="K555" s="1">
        <v>20</v>
      </c>
      <c r="L555" s="1">
        <v>4</v>
      </c>
      <c r="M555" s="1">
        <v>5</v>
      </c>
      <c r="N555" s="1">
        <v>2</v>
      </c>
      <c r="O555" s="1">
        <v>4</v>
      </c>
      <c r="P555" s="1">
        <f>COUNTIF(HR_Data[Employee Number],HR_Data[[#This Row],[Employee Number]])</f>
        <v>1</v>
      </c>
      <c r="Q555" s="1" t="str">
        <f>IF(HR_Data[[#This Row],[Years At Company]]&lt;=HR_Data[[#This Row],[Total Working Years]],"Valid","error")</f>
        <v>Valid</v>
      </c>
      <c r="R555" s="1" t="str" cm="1">
        <f t="array" ref="R555">_xlfn.IFS(HR_Data[[#This Row],[Age]]&lt;=30,"Young", HR_Data[[#This Row],[Age]]&lt;=45,"Mid-Age",HR_Data[[#This Row],[Age]]&gt;45,"Senior")</f>
        <v>Mid-Age</v>
      </c>
      <c r="S555" s="1" t="str" cm="1">
        <f t="array" ref="S555">_xlfn.IFS(HR_Data[[#This Row],[Monthly Income]]&lt;5000,"Low", HR_Data[[#This Row],[Monthly Income]]&lt;10000,"Medium",TRUE,"High")</f>
        <v>Low</v>
      </c>
      <c r="T555" s="1" t="str" cm="1">
        <f t="array" ref="T555">_xlfn.IFS(HR_Data[[#This Row],[Total Working Years]]&lt;=5,"Junior", HR_Data[[#This Row],[Total Working Years]]&lt;=15,"Mid-Level", TRUE, "Senior")</f>
        <v>Junior</v>
      </c>
    </row>
    <row r="556" spans="1:20" x14ac:dyDescent="0.25">
      <c r="A556" s="1">
        <v>764</v>
      </c>
      <c r="B556" s="1">
        <v>27</v>
      </c>
      <c r="C556" t="s">
        <v>9</v>
      </c>
      <c r="D556" t="s">
        <v>10</v>
      </c>
      <c r="E556" t="s">
        <v>15</v>
      </c>
      <c r="F556" t="s">
        <v>7</v>
      </c>
      <c r="G556" t="s">
        <v>17</v>
      </c>
      <c r="H556" s="1">
        <v>1</v>
      </c>
      <c r="I556" s="1">
        <v>6811</v>
      </c>
      <c r="J556" t="s">
        <v>9</v>
      </c>
      <c r="K556" s="1">
        <v>19</v>
      </c>
      <c r="L556" s="1">
        <v>3</v>
      </c>
      <c r="M556" s="1">
        <v>9</v>
      </c>
      <c r="N556" s="1">
        <v>1</v>
      </c>
      <c r="O556" s="1">
        <v>7</v>
      </c>
      <c r="P556" s="1">
        <f>COUNTIF(HR_Data[Employee Number],HR_Data[[#This Row],[Employee Number]])</f>
        <v>1</v>
      </c>
      <c r="Q556" s="1" t="str">
        <f>IF(HR_Data[[#This Row],[Years At Company]]&lt;=HR_Data[[#This Row],[Total Working Years]],"Valid","error")</f>
        <v>Valid</v>
      </c>
      <c r="R556" s="1" t="str" cm="1">
        <f t="array" ref="R556">_xlfn.IFS(HR_Data[[#This Row],[Age]]&lt;=30,"Young", HR_Data[[#This Row],[Age]]&lt;=45,"Mid-Age",HR_Data[[#This Row],[Age]]&gt;45,"Senior")</f>
        <v>Young</v>
      </c>
      <c r="S556" s="1" t="str" cm="1">
        <f t="array" ref="S556">_xlfn.IFS(HR_Data[[#This Row],[Monthly Income]]&lt;5000,"Low", HR_Data[[#This Row],[Monthly Income]]&lt;10000,"Medium",TRUE,"High")</f>
        <v>Medium</v>
      </c>
      <c r="T556" s="1" t="str" cm="1">
        <f t="array" ref="T556">_xlfn.IFS(HR_Data[[#This Row],[Total Working Years]]&lt;=5,"Junior", HR_Data[[#This Row],[Total Working Years]]&lt;=15,"Mid-Level", TRUE, "Senior")</f>
        <v>Mid-Level</v>
      </c>
    </row>
    <row r="557" spans="1:20" x14ac:dyDescent="0.25">
      <c r="A557" s="1">
        <v>766</v>
      </c>
      <c r="B557" s="1">
        <v>29</v>
      </c>
      <c r="C557" t="s">
        <v>9</v>
      </c>
      <c r="D557" t="s">
        <v>5</v>
      </c>
      <c r="E557" t="s">
        <v>21</v>
      </c>
      <c r="F557" t="s">
        <v>11</v>
      </c>
      <c r="G557" t="s">
        <v>19</v>
      </c>
      <c r="H557" s="1">
        <v>2</v>
      </c>
      <c r="I557" s="1">
        <v>2297</v>
      </c>
      <c r="J557" t="s">
        <v>9</v>
      </c>
      <c r="K557" s="1">
        <v>14</v>
      </c>
      <c r="L557" s="1">
        <v>3</v>
      </c>
      <c r="M557" s="1">
        <v>2</v>
      </c>
      <c r="N557" s="1">
        <v>3</v>
      </c>
      <c r="O557" s="1">
        <v>2</v>
      </c>
      <c r="P557" s="1">
        <f>COUNTIF(HR_Data[Employee Number],HR_Data[[#This Row],[Employee Number]])</f>
        <v>1</v>
      </c>
      <c r="Q557" s="1" t="str">
        <f>IF(HR_Data[[#This Row],[Years At Company]]&lt;=HR_Data[[#This Row],[Total Working Years]],"Valid","error")</f>
        <v>Valid</v>
      </c>
      <c r="R557" s="1" t="str" cm="1">
        <f t="array" ref="R557">_xlfn.IFS(HR_Data[[#This Row],[Age]]&lt;=30,"Young", HR_Data[[#This Row],[Age]]&lt;=45,"Mid-Age",HR_Data[[#This Row],[Age]]&gt;45,"Senior")</f>
        <v>Young</v>
      </c>
      <c r="S557" s="1" t="str" cm="1">
        <f t="array" ref="S557">_xlfn.IFS(HR_Data[[#This Row],[Monthly Income]]&lt;5000,"Low", HR_Data[[#This Row],[Monthly Income]]&lt;10000,"Medium",TRUE,"High")</f>
        <v>Low</v>
      </c>
      <c r="T557" s="1" t="str" cm="1">
        <f t="array" ref="T557">_xlfn.IFS(HR_Data[[#This Row],[Total Working Years]]&lt;=5,"Junior", HR_Data[[#This Row],[Total Working Years]]&lt;=15,"Mid-Level", TRUE, "Senior")</f>
        <v>Junior</v>
      </c>
    </row>
    <row r="558" spans="1:20" x14ac:dyDescent="0.25">
      <c r="A558" s="1">
        <v>769</v>
      </c>
      <c r="B558" s="1">
        <v>53</v>
      </c>
      <c r="C558" t="s">
        <v>9</v>
      </c>
      <c r="D558" t="s">
        <v>10</v>
      </c>
      <c r="E558" t="s">
        <v>6</v>
      </c>
      <c r="F558" t="s">
        <v>11</v>
      </c>
      <c r="G558" t="s">
        <v>14</v>
      </c>
      <c r="H558" s="1">
        <v>4</v>
      </c>
      <c r="I558" s="1">
        <v>2450</v>
      </c>
      <c r="J558" t="s">
        <v>9</v>
      </c>
      <c r="K558" s="1">
        <v>17</v>
      </c>
      <c r="L558" s="1">
        <v>3</v>
      </c>
      <c r="M558" s="1">
        <v>19</v>
      </c>
      <c r="N558" s="1">
        <v>3</v>
      </c>
      <c r="O558" s="1">
        <v>2</v>
      </c>
      <c r="P558" s="1">
        <f>COUNTIF(HR_Data[Employee Number],HR_Data[[#This Row],[Employee Number]])</f>
        <v>1</v>
      </c>
      <c r="Q558" s="1" t="str">
        <f>IF(HR_Data[[#This Row],[Years At Company]]&lt;=HR_Data[[#This Row],[Total Working Years]],"Valid","error")</f>
        <v>Valid</v>
      </c>
      <c r="R558" s="1" t="str" cm="1">
        <f t="array" ref="R558">_xlfn.IFS(HR_Data[[#This Row],[Age]]&lt;=30,"Young", HR_Data[[#This Row],[Age]]&lt;=45,"Mid-Age",HR_Data[[#This Row],[Age]]&gt;45,"Senior")</f>
        <v>Senior</v>
      </c>
      <c r="S558" s="1" t="str" cm="1">
        <f t="array" ref="S558">_xlfn.IFS(HR_Data[[#This Row],[Monthly Income]]&lt;5000,"Low", HR_Data[[#This Row],[Monthly Income]]&lt;10000,"Medium",TRUE,"High")</f>
        <v>Low</v>
      </c>
      <c r="T558" s="1" t="str" cm="1">
        <f t="array" ref="T558">_xlfn.IFS(HR_Data[[#This Row],[Total Working Years]]&lt;=5,"Junior", HR_Data[[#This Row],[Total Working Years]]&lt;=15,"Mid-Level", TRUE, "Senior")</f>
        <v>Senior</v>
      </c>
    </row>
    <row r="559" spans="1:20" x14ac:dyDescent="0.25">
      <c r="A559" s="1">
        <v>771</v>
      </c>
      <c r="B559" s="1">
        <v>35</v>
      </c>
      <c r="C559" t="s">
        <v>9</v>
      </c>
      <c r="D559" t="s">
        <v>10</v>
      </c>
      <c r="E559" t="s">
        <v>6</v>
      </c>
      <c r="F559" t="s">
        <v>7</v>
      </c>
      <c r="G559" t="s">
        <v>17</v>
      </c>
      <c r="H559" s="1">
        <v>1</v>
      </c>
      <c r="I559" s="1">
        <v>5093</v>
      </c>
      <c r="J559" t="s">
        <v>9</v>
      </c>
      <c r="K559" s="1">
        <v>11</v>
      </c>
      <c r="L559" s="1">
        <v>3</v>
      </c>
      <c r="M559" s="1">
        <v>16</v>
      </c>
      <c r="N559" s="1">
        <v>4</v>
      </c>
      <c r="O559" s="1">
        <v>1</v>
      </c>
      <c r="P559" s="1">
        <f>COUNTIF(HR_Data[Employee Number],HR_Data[[#This Row],[Employee Number]])</f>
        <v>1</v>
      </c>
      <c r="Q559" s="1" t="str">
        <f>IF(HR_Data[[#This Row],[Years At Company]]&lt;=HR_Data[[#This Row],[Total Working Years]],"Valid","error")</f>
        <v>Valid</v>
      </c>
      <c r="R559" s="1" t="str" cm="1">
        <f t="array" ref="R559">_xlfn.IFS(HR_Data[[#This Row],[Age]]&lt;=30,"Young", HR_Data[[#This Row],[Age]]&lt;=45,"Mid-Age",HR_Data[[#This Row],[Age]]&gt;45,"Senior")</f>
        <v>Mid-Age</v>
      </c>
      <c r="S559" s="1" t="str" cm="1">
        <f t="array" ref="S559">_xlfn.IFS(HR_Data[[#This Row],[Monthly Income]]&lt;5000,"Low", HR_Data[[#This Row],[Monthly Income]]&lt;10000,"Medium",TRUE,"High")</f>
        <v>Medium</v>
      </c>
      <c r="T559" s="1" t="str" cm="1">
        <f t="array" ref="T559">_xlfn.IFS(HR_Data[[#This Row],[Total Working Years]]&lt;=5,"Junior", HR_Data[[#This Row],[Total Working Years]]&lt;=15,"Mid-Level", TRUE, "Senior")</f>
        <v>Senior</v>
      </c>
    </row>
    <row r="560" spans="1:20" x14ac:dyDescent="0.25">
      <c r="A560" s="1">
        <v>772</v>
      </c>
      <c r="B560" s="1">
        <v>32</v>
      </c>
      <c r="C560" t="s">
        <v>9</v>
      </c>
      <c r="D560" t="s">
        <v>10</v>
      </c>
      <c r="E560" t="s">
        <v>6</v>
      </c>
      <c r="F560" t="s">
        <v>11</v>
      </c>
      <c r="G560" t="s">
        <v>14</v>
      </c>
      <c r="H560" s="1">
        <v>4</v>
      </c>
      <c r="I560" s="1">
        <v>5309</v>
      </c>
      <c r="J560" t="s">
        <v>9</v>
      </c>
      <c r="K560" s="1">
        <v>15</v>
      </c>
      <c r="L560" s="1">
        <v>3</v>
      </c>
      <c r="M560" s="1">
        <v>10</v>
      </c>
      <c r="N560" s="1">
        <v>3</v>
      </c>
      <c r="O560" s="1">
        <v>10</v>
      </c>
      <c r="P560" s="1">
        <f>COUNTIF(HR_Data[Employee Number],HR_Data[[#This Row],[Employee Number]])</f>
        <v>1</v>
      </c>
      <c r="Q560" s="1" t="str">
        <f>IF(HR_Data[[#This Row],[Years At Company]]&lt;=HR_Data[[#This Row],[Total Working Years]],"Valid","error")</f>
        <v>Valid</v>
      </c>
      <c r="R560" s="1" t="str" cm="1">
        <f t="array" ref="R560">_xlfn.IFS(HR_Data[[#This Row],[Age]]&lt;=30,"Young", HR_Data[[#This Row],[Age]]&lt;=45,"Mid-Age",HR_Data[[#This Row],[Age]]&gt;45,"Senior")</f>
        <v>Mid-Age</v>
      </c>
      <c r="S560" s="1" t="str" cm="1">
        <f t="array" ref="S560">_xlfn.IFS(HR_Data[[#This Row],[Monthly Income]]&lt;5000,"Low", HR_Data[[#This Row],[Monthly Income]]&lt;10000,"Medium",TRUE,"High")</f>
        <v>Medium</v>
      </c>
      <c r="T560" s="1" t="str" cm="1">
        <f t="array" ref="T560">_xlfn.IFS(HR_Data[[#This Row],[Total Working Years]]&lt;=5,"Junior", HR_Data[[#This Row],[Total Working Years]]&lt;=15,"Mid-Level", TRUE, "Senior")</f>
        <v>Mid-Level</v>
      </c>
    </row>
    <row r="561" spans="1:20" x14ac:dyDescent="0.25">
      <c r="A561" s="1">
        <v>773</v>
      </c>
      <c r="B561" s="1">
        <v>38</v>
      </c>
      <c r="C561" t="s">
        <v>9</v>
      </c>
      <c r="D561" t="s">
        <v>10</v>
      </c>
      <c r="E561" t="s">
        <v>15</v>
      </c>
      <c r="F561" t="s">
        <v>11</v>
      </c>
      <c r="G561" t="s">
        <v>12</v>
      </c>
      <c r="H561" s="1">
        <v>3</v>
      </c>
      <c r="I561" s="1">
        <v>3057</v>
      </c>
      <c r="J561" t="s">
        <v>4</v>
      </c>
      <c r="K561" s="1">
        <v>13</v>
      </c>
      <c r="L561" s="1">
        <v>3</v>
      </c>
      <c r="M561" s="1">
        <v>6</v>
      </c>
      <c r="N561" s="1">
        <v>1</v>
      </c>
      <c r="O561" s="1">
        <v>1</v>
      </c>
      <c r="P561" s="1">
        <f>COUNTIF(HR_Data[Employee Number],HR_Data[[#This Row],[Employee Number]])</f>
        <v>1</v>
      </c>
      <c r="Q561" s="1" t="str">
        <f>IF(HR_Data[[#This Row],[Years At Company]]&lt;=HR_Data[[#This Row],[Total Working Years]],"Valid","error")</f>
        <v>Valid</v>
      </c>
      <c r="R561" s="1" t="str" cm="1">
        <f t="array" ref="R561">_xlfn.IFS(HR_Data[[#This Row],[Age]]&lt;=30,"Young", HR_Data[[#This Row],[Age]]&lt;=45,"Mid-Age",HR_Data[[#This Row],[Age]]&gt;45,"Senior")</f>
        <v>Mid-Age</v>
      </c>
      <c r="S561" s="1" t="str" cm="1">
        <f t="array" ref="S561">_xlfn.IFS(HR_Data[[#This Row],[Monthly Income]]&lt;5000,"Low", HR_Data[[#This Row],[Monthly Income]]&lt;10000,"Medium",TRUE,"High")</f>
        <v>Low</v>
      </c>
      <c r="T561" s="1" t="str" cm="1">
        <f t="array" ref="T561">_xlfn.IFS(HR_Data[[#This Row],[Total Working Years]]&lt;=5,"Junior", HR_Data[[#This Row],[Total Working Years]]&lt;=15,"Mid-Level", TRUE, "Senior")</f>
        <v>Mid-Level</v>
      </c>
    </row>
    <row r="562" spans="1:20" x14ac:dyDescent="0.25">
      <c r="A562" s="1">
        <v>775</v>
      </c>
      <c r="B562" s="1">
        <v>34</v>
      </c>
      <c r="C562" t="s">
        <v>9</v>
      </c>
      <c r="D562" t="s">
        <v>10</v>
      </c>
      <c r="E562" t="s">
        <v>6</v>
      </c>
      <c r="F562" t="s">
        <v>7</v>
      </c>
      <c r="G562" t="s">
        <v>16</v>
      </c>
      <c r="H562" s="1">
        <v>1</v>
      </c>
      <c r="I562" s="1">
        <v>5121</v>
      </c>
      <c r="J562" t="s">
        <v>9</v>
      </c>
      <c r="K562" s="1">
        <v>14</v>
      </c>
      <c r="L562" s="1">
        <v>3</v>
      </c>
      <c r="M562" s="1">
        <v>7</v>
      </c>
      <c r="N562" s="1">
        <v>3</v>
      </c>
      <c r="O562" s="1">
        <v>0</v>
      </c>
      <c r="P562" s="1">
        <f>COUNTIF(HR_Data[Employee Number],HR_Data[[#This Row],[Employee Number]])</f>
        <v>1</v>
      </c>
      <c r="Q562" s="1" t="str">
        <f>IF(HR_Data[[#This Row],[Years At Company]]&lt;=HR_Data[[#This Row],[Total Working Years]],"Valid","error")</f>
        <v>Valid</v>
      </c>
      <c r="R562" s="1" t="str" cm="1">
        <f t="array" ref="R562">_xlfn.IFS(HR_Data[[#This Row],[Age]]&lt;=30,"Young", HR_Data[[#This Row],[Age]]&lt;=45,"Mid-Age",HR_Data[[#This Row],[Age]]&gt;45,"Senior")</f>
        <v>Mid-Age</v>
      </c>
      <c r="S562" s="1" t="str" cm="1">
        <f t="array" ref="S562">_xlfn.IFS(HR_Data[[#This Row],[Monthly Income]]&lt;5000,"Low", HR_Data[[#This Row],[Monthly Income]]&lt;10000,"Medium",TRUE,"High")</f>
        <v>Medium</v>
      </c>
      <c r="T562" s="1" t="str" cm="1">
        <f t="array" ref="T562">_xlfn.IFS(HR_Data[[#This Row],[Total Working Years]]&lt;=5,"Junior", HR_Data[[#This Row],[Total Working Years]]&lt;=15,"Mid-Level", TRUE, "Senior")</f>
        <v>Mid-Level</v>
      </c>
    </row>
    <row r="563" spans="1:20" x14ac:dyDescent="0.25">
      <c r="A563" s="1">
        <v>776</v>
      </c>
      <c r="B563" s="1">
        <v>52</v>
      </c>
      <c r="C563" t="s">
        <v>9</v>
      </c>
      <c r="D563" t="s">
        <v>5</v>
      </c>
      <c r="E563" t="s">
        <v>21</v>
      </c>
      <c r="F563" t="s">
        <v>11</v>
      </c>
      <c r="G563" t="s">
        <v>18</v>
      </c>
      <c r="H563" s="1">
        <v>1</v>
      </c>
      <c r="I563" s="1">
        <v>16856</v>
      </c>
      <c r="J563" t="s">
        <v>9</v>
      </c>
      <c r="K563" s="1">
        <v>11</v>
      </c>
      <c r="L563" s="1">
        <v>3</v>
      </c>
      <c r="M563" s="1">
        <v>34</v>
      </c>
      <c r="N563" s="1">
        <v>4</v>
      </c>
      <c r="O563" s="1">
        <v>34</v>
      </c>
      <c r="P563" s="1">
        <f>COUNTIF(HR_Data[Employee Number],HR_Data[[#This Row],[Employee Number]])</f>
        <v>1</v>
      </c>
      <c r="Q563" s="1" t="str">
        <f>IF(HR_Data[[#This Row],[Years At Company]]&lt;=HR_Data[[#This Row],[Total Working Years]],"Valid","error")</f>
        <v>Valid</v>
      </c>
      <c r="R563" s="1" t="str" cm="1">
        <f t="array" ref="R563">_xlfn.IFS(HR_Data[[#This Row],[Age]]&lt;=30,"Young", HR_Data[[#This Row],[Age]]&lt;=45,"Mid-Age",HR_Data[[#This Row],[Age]]&gt;45,"Senior")</f>
        <v>Senior</v>
      </c>
      <c r="S563" s="1" t="str" cm="1">
        <f t="array" ref="S563">_xlfn.IFS(HR_Data[[#This Row],[Monthly Income]]&lt;5000,"Low", HR_Data[[#This Row],[Monthly Income]]&lt;10000,"Medium",TRUE,"High")</f>
        <v>High</v>
      </c>
      <c r="T563" s="1" t="str" cm="1">
        <f t="array" ref="T563">_xlfn.IFS(HR_Data[[#This Row],[Total Working Years]]&lt;=5,"Junior", HR_Data[[#This Row],[Total Working Years]]&lt;=15,"Mid-Level", TRUE, "Senior")</f>
        <v>Senior</v>
      </c>
    </row>
    <row r="564" spans="1:20" x14ac:dyDescent="0.25">
      <c r="A564" s="1">
        <v>780</v>
      </c>
      <c r="B564" s="1">
        <v>33</v>
      </c>
      <c r="C564" t="s">
        <v>4</v>
      </c>
      <c r="D564" t="s">
        <v>10</v>
      </c>
      <c r="E564" t="s">
        <v>13</v>
      </c>
      <c r="F564" t="s">
        <v>11</v>
      </c>
      <c r="G564" t="s">
        <v>12</v>
      </c>
      <c r="H564" s="1">
        <v>4</v>
      </c>
      <c r="I564" s="1">
        <v>2686</v>
      </c>
      <c r="J564" t="s">
        <v>4</v>
      </c>
      <c r="K564" s="1">
        <v>13</v>
      </c>
      <c r="L564" s="1">
        <v>3</v>
      </c>
      <c r="M564" s="1">
        <v>10</v>
      </c>
      <c r="N564" s="1">
        <v>2</v>
      </c>
      <c r="O564" s="1">
        <v>10</v>
      </c>
      <c r="P564" s="1">
        <f>COUNTIF(HR_Data[Employee Number],HR_Data[[#This Row],[Employee Number]])</f>
        <v>1</v>
      </c>
      <c r="Q564" s="1" t="str">
        <f>IF(HR_Data[[#This Row],[Years At Company]]&lt;=HR_Data[[#This Row],[Total Working Years]],"Valid","error")</f>
        <v>Valid</v>
      </c>
      <c r="R564" s="1" t="str" cm="1">
        <f t="array" ref="R564">_xlfn.IFS(HR_Data[[#This Row],[Age]]&lt;=30,"Young", HR_Data[[#This Row],[Age]]&lt;=45,"Mid-Age",HR_Data[[#This Row],[Age]]&gt;45,"Senior")</f>
        <v>Mid-Age</v>
      </c>
      <c r="S564" s="1" t="str" cm="1">
        <f t="array" ref="S564">_xlfn.IFS(HR_Data[[#This Row],[Monthly Income]]&lt;5000,"Low", HR_Data[[#This Row],[Monthly Income]]&lt;10000,"Medium",TRUE,"High")</f>
        <v>Low</v>
      </c>
      <c r="T564" s="1" t="str" cm="1">
        <f t="array" ref="T564">_xlfn.IFS(HR_Data[[#This Row],[Total Working Years]]&lt;=5,"Junior", HR_Data[[#This Row],[Total Working Years]]&lt;=15,"Mid-Level", TRUE, "Senior")</f>
        <v>Mid-Level</v>
      </c>
    </row>
    <row r="565" spans="1:20" x14ac:dyDescent="0.25">
      <c r="A565" s="1">
        <v>781</v>
      </c>
      <c r="B565" s="1">
        <v>25</v>
      </c>
      <c r="C565" t="s">
        <v>9</v>
      </c>
      <c r="D565" t="s">
        <v>5</v>
      </c>
      <c r="E565" t="s">
        <v>15</v>
      </c>
      <c r="F565" t="s">
        <v>7</v>
      </c>
      <c r="G565" t="s">
        <v>8</v>
      </c>
      <c r="H565" s="1">
        <v>4</v>
      </c>
      <c r="I565" s="1">
        <v>6180</v>
      </c>
      <c r="J565" t="s">
        <v>9</v>
      </c>
      <c r="K565" s="1">
        <v>23</v>
      </c>
      <c r="L565" s="1">
        <v>4</v>
      </c>
      <c r="M565" s="1">
        <v>6</v>
      </c>
      <c r="N565" s="1">
        <v>2</v>
      </c>
      <c r="O565" s="1">
        <v>6</v>
      </c>
      <c r="P565" s="1">
        <f>COUNTIF(HR_Data[Employee Number],HR_Data[[#This Row],[Employee Number]])</f>
        <v>1</v>
      </c>
      <c r="Q565" s="1" t="str">
        <f>IF(HR_Data[[#This Row],[Years At Company]]&lt;=HR_Data[[#This Row],[Total Working Years]],"Valid","error")</f>
        <v>Valid</v>
      </c>
      <c r="R565" s="1" t="str" cm="1">
        <f t="array" ref="R565">_xlfn.IFS(HR_Data[[#This Row],[Age]]&lt;=30,"Young", HR_Data[[#This Row],[Age]]&lt;=45,"Mid-Age",HR_Data[[#This Row],[Age]]&gt;45,"Senior")</f>
        <v>Young</v>
      </c>
      <c r="S565" s="1" t="str" cm="1">
        <f t="array" ref="S565">_xlfn.IFS(HR_Data[[#This Row],[Monthly Income]]&lt;5000,"Low", HR_Data[[#This Row],[Monthly Income]]&lt;10000,"Medium",TRUE,"High")</f>
        <v>Medium</v>
      </c>
      <c r="T565" s="1" t="str" cm="1">
        <f t="array" ref="T565">_xlfn.IFS(HR_Data[[#This Row],[Total Working Years]]&lt;=5,"Junior", HR_Data[[#This Row],[Total Working Years]]&lt;=15,"Mid-Level", TRUE, "Senior")</f>
        <v>Mid-Level</v>
      </c>
    </row>
    <row r="566" spans="1:20" x14ac:dyDescent="0.25">
      <c r="A566" s="1">
        <v>783</v>
      </c>
      <c r="B566" s="1">
        <v>45</v>
      </c>
      <c r="C566" t="s">
        <v>9</v>
      </c>
      <c r="D566" t="s">
        <v>5</v>
      </c>
      <c r="E566" t="s">
        <v>22</v>
      </c>
      <c r="F566" t="s">
        <v>11</v>
      </c>
      <c r="G566" t="s">
        <v>19</v>
      </c>
      <c r="H566" s="1">
        <v>3</v>
      </c>
      <c r="I566" s="1">
        <v>6632</v>
      </c>
      <c r="J566" t="s">
        <v>9</v>
      </c>
      <c r="K566" s="1">
        <v>13</v>
      </c>
      <c r="L566" s="1">
        <v>3</v>
      </c>
      <c r="M566" s="1">
        <v>9</v>
      </c>
      <c r="N566" s="1">
        <v>3</v>
      </c>
      <c r="O566" s="1">
        <v>8</v>
      </c>
      <c r="P566" s="1">
        <f>COUNTIF(HR_Data[Employee Number],HR_Data[[#This Row],[Employee Number]])</f>
        <v>1</v>
      </c>
      <c r="Q566" s="1" t="str">
        <f>IF(HR_Data[[#This Row],[Years At Company]]&lt;=HR_Data[[#This Row],[Total Working Years]],"Valid","error")</f>
        <v>Valid</v>
      </c>
      <c r="R566" s="1" t="str" cm="1">
        <f t="array" ref="R566">_xlfn.IFS(HR_Data[[#This Row],[Age]]&lt;=30,"Young", HR_Data[[#This Row],[Age]]&lt;=45,"Mid-Age",HR_Data[[#This Row],[Age]]&gt;45,"Senior")</f>
        <v>Mid-Age</v>
      </c>
      <c r="S566" s="1" t="str" cm="1">
        <f t="array" ref="S566">_xlfn.IFS(HR_Data[[#This Row],[Monthly Income]]&lt;5000,"Low", HR_Data[[#This Row],[Monthly Income]]&lt;10000,"Medium",TRUE,"High")</f>
        <v>Medium</v>
      </c>
      <c r="T566" s="1" t="str" cm="1">
        <f t="array" ref="T566">_xlfn.IFS(HR_Data[[#This Row],[Total Working Years]]&lt;=5,"Junior", HR_Data[[#This Row],[Total Working Years]]&lt;=15,"Mid-Level", TRUE, "Senior")</f>
        <v>Mid-Level</v>
      </c>
    </row>
    <row r="567" spans="1:20" x14ac:dyDescent="0.25">
      <c r="A567" s="1">
        <v>784</v>
      </c>
      <c r="B567" s="1">
        <v>23</v>
      </c>
      <c r="C567" t="s">
        <v>9</v>
      </c>
      <c r="D567" t="s">
        <v>10</v>
      </c>
      <c r="E567" t="s">
        <v>15</v>
      </c>
      <c r="F567" t="s">
        <v>11</v>
      </c>
      <c r="G567" t="s">
        <v>12</v>
      </c>
      <c r="H567" s="1">
        <v>3</v>
      </c>
      <c r="I567" s="1">
        <v>3505</v>
      </c>
      <c r="J567" t="s">
        <v>9</v>
      </c>
      <c r="K567" s="1">
        <v>18</v>
      </c>
      <c r="L567" s="1">
        <v>3</v>
      </c>
      <c r="M567" s="1">
        <v>2</v>
      </c>
      <c r="N567" s="1">
        <v>3</v>
      </c>
      <c r="O567" s="1">
        <v>2</v>
      </c>
      <c r="P567" s="1">
        <f>COUNTIF(HR_Data[Employee Number],HR_Data[[#This Row],[Employee Number]])</f>
        <v>1</v>
      </c>
      <c r="Q567" s="1" t="str">
        <f>IF(HR_Data[[#This Row],[Years At Company]]&lt;=HR_Data[[#This Row],[Total Working Years]],"Valid","error")</f>
        <v>Valid</v>
      </c>
      <c r="R567" s="1" t="str" cm="1">
        <f t="array" ref="R567">_xlfn.IFS(HR_Data[[#This Row],[Age]]&lt;=30,"Young", HR_Data[[#This Row],[Age]]&lt;=45,"Mid-Age",HR_Data[[#This Row],[Age]]&gt;45,"Senior")</f>
        <v>Young</v>
      </c>
      <c r="S567" s="1" t="str" cm="1">
        <f t="array" ref="S567">_xlfn.IFS(HR_Data[[#This Row],[Monthly Income]]&lt;5000,"Low", HR_Data[[#This Row],[Monthly Income]]&lt;10000,"Medium",TRUE,"High")</f>
        <v>Low</v>
      </c>
      <c r="T567" s="1" t="str" cm="1">
        <f t="array" ref="T567">_xlfn.IFS(HR_Data[[#This Row],[Total Working Years]]&lt;=5,"Junior", HR_Data[[#This Row],[Total Working Years]]&lt;=15,"Mid-Level", TRUE, "Senior")</f>
        <v>Junior</v>
      </c>
    </row>
    <row r="568" spans="1:20" x14ac:dyDescent="0.25">
      <c r="A568" s="1">
        <v>785</v>
      </c>
      <c r="B568" s="1">
        <v>47</v>
      </c>
      <c r="C568" t="s">
        <v>4</v>
      </c>
      <c r="D568" t="s">
        <v>5</v>
      </c>
      <c r="E568" t="s">
        <v>6</v>
      </c>
      <c r="F568" t="s">
        <v>7</v>
      </c>
      <c r="G568" t="s">
        <v>8</v>
      </c>
      <c r="H568" s="1">
        <v>3</v>
      </c>
      <c r="I568" s="1">
        <v>6397</v>
      </c>
      <c r="J568" t="s">
        <v>4</v>
      </c>
      <c r="K568" s="1">
        <v>12</v>
      </c>
      <c r="L568" s="1">
        <v>3</v>
      </c>
      <c r="M568" s="1">
        <v>8</v>
      </c>
      <c r="N568" s="1">
        <v>3</v>
      </c>
      <c r="O568" s="1">
        <v>5</v>
      </c>
      <c r="P568" s="1">
        <f>COUNTIF(HR_Data[Employee Number],HR_Data[[#This Row],[Employee Number]])</f>
        <v>1</v>
      </c>
      <c r="Q568" s="1" t="str">
        <f>IF(HR_Data[[#This Row],[Years At Company]]&lt;=HR_Data[[#This Row],[Total Working Years]],"Valid","error")</f>
        <v>Valid</v>
      </c>
      <c r="R568" s="1" t="str" cm="1">
        <f t="array" ref="R568">_xlfn.IFS(HR_Data[[#This Row],[Age]]&lt;=30,"Young", HR_Data[[#This Row],[Age]]&lt;=45,"Mid-Age",HR_Data[[#This Row],[Age]]&gt;45,"Senior")</f>
        <v>Senior</v>
      </c>
      <c r="S568" s="1" t="str" cm="1">
        <f t="array" ref="S568">_xlfn.IFS(HR_Data[[#This Row],[Monthly Income]]&lt;5000,"Low", HR_Data[[#This Row],[Monthly Income]]&lt;10000,"Medium",TRUE,"High")</f>
        <v>Medium</v>
      </c>
      <c r="T568" s="1" t="str" cm="1">
        <f t="array" ref="T568">_xlfn.IFS(HR_Data[[#This Row],[Total Working Years]]&lt;=5,"Junior", HR_Data[[#This Row],[Total Working Years]]&lt;=15,"Mid-Level", TRUE, "Senior")</f>
        <v>Mid-Level</v>
      </c>
    </row>
    <row r="569" spans="1:20" x14ac:dyDescent="0.25">
      <c r="A569" s="1">
        <v>786</v>
      </c>
      <c r="B569" s="1">
        <v>34</v>
      </c>
      <c r="C569" t="s">
        <v>9</v>
      </c>
      <c r="D569" t="s">
        <v>5</v>
      </c>
      <c r="E569" t="s">
        <v>13</v>
      </c>
      <c r="F569" t="s">
        <v>11</v>
      </c>
      <c r="G569" t="s">
        <v>8</v>
      </c>
      <c r="H569" s="1">
        <v>4</v>
      </c>
      <c r="I569" s="1">
        <v>6274</v>
      </c>
      <c r="J569" t="s">
        <v>9</v>
      </c>
      <c r="K569" s="1">
        <v>22</v>
      </c>
      <c r="L569" s="1">
        <v>4</v>
      </c>
      <c r="M569" s="1">
        <v>6</v>
      </c>
      <c r="N569" s="1">
        <v>3</v>
      </c>
      <c r="O569" s="1">
        <v>6</v>
      </c>
      <c r="P569" s="1">
        <f>COUNTIF(HR_Data[Employee Number],HR_Data[[#This Row],[Employee Number]])</f>
        <v>1</v>
      </c>
      <c r="Q569" s="1" t="str">
        <f>IF(HR_Data[[#This Row],[Years At Company]]&lt;=HR_Data[[#This Row],[Total Working Years]],"Valid","error")</f>
        <v>Valid</v>
      </c>
      <c r="R569" s="1" t="str" cm="1">
        <f t="array" ref="R569">_xlfn.IFS(HR_Data[[#This Row],[Age]]&lt;=30,"Young", HR_Data[[#This Row],[Age]]&lt;=45,"Mid-Age",HR_Data[[#This Row],[Age]]&gt;45,"Senior")</f>
        <v>Mid-Age</v>
      </c>
      <c r="S569" s="1" t="str" cm="1">
        <f t="array" ref="S569">_xlfn.IFS(HR_Data[[#This Row],[Monthly Income]]&lt;5000,"Low", HR_Data[[#This Row],[Monthly Income]]&lt;10000,"Medium",TRUE,"High")</f>
        <v>Medium</v>
      </c>
      <c r="T569" s="1" t="str" cm="1">
        <f t="array" ref="T569">_xlfn.IFS(HR_Data[[#This Row],[Total Working Years]]&lt;=5,"Junior", HR_Data[[#This Row],[Total Working Years]]&lt;=15,"Mid-Level", TRUE, "Senior")</f>
        <v>Mid-Level</v>
      </c>
    </row>
    <row r="570" spans="1:20" x14ac:dyDescent="0.25">
      <c r="A570" s="1">
        <v>787</v>
      </c>
      <c r="B570" s="1">
        <v>55</v>
      </c>
      <c r="C570" t="s">
        <v>4</v>
      </c>
      <c r="D570" t="s">
        <v>10</v>
      </c>
      <c r="E570" t="s">
        <v>15</v>
      </c>
      <c r="F570" t="s">
        <v>11</v>
      </c>
      <c r="G570" t="s">
        <v>18</v>
      </c>
      <c r="H570" s="1">
        <v>1</v>
      </c>
      <c r="I570" s="1">
        <v>19859</v>
      </c>
      <c r="J570" t="s">
        <v>4</v>
      </c>
      <c r="K570" s="1">
        <v>13</v>
      </c>
      <c r="L570" s="1">
        <v>3</v>
      </c>
      <c r="M570" s="1">
        <v>24</v>
      </c>
      <c r="N570" s="1">
        <v>3</v>
      </c>
      <c r="O570" s="1">
        <v>5</v>
      </c>
      <c r="P570" s="1">
        <f>COUNTIF(HR_Data[Employee Number],HR_Data[[#This Row],[Employee Number]])</f>
        <v>1</v>
      </c>
      <c r="Q570" s="1" t="str">
        <f>IF(HR_Data[[#This Row],[Years At Company]]&lt;=HR_Data[[#This Row],[Total Working Years]],"Valid","error")</f>
        <v>Valid</v>
      </c>
      <c r="R570" s="1" t="str" cm="1">
        <f t="array" ref="R570">_xlfn.IFS(HR_Data[[#This Row],[Age]]&lt;=30,"Young", HR_Data[[#This Row],[Age]]&lt;=45,"Mid-Age",HR_Data[[#This Row],[Age]]&gt;45,"Senior")</f>
        <v>Senior</v>
      </c>
      <c r="S570" s="1" t="str" cm="1">
        <f t="array" ref="S570">_xlfn.IFS(HR_Data[[#This Row],[Monthly Income]]&lt;5000,"Low", HR_Data[[#This Row],[Monthly Income]]&lt;10000,"Medium",TRUE,"High")</f>
        <v>High</v>
      </c>
      <c r="T570" s="1" t="str" cm="1">
        <f t="array" ref="T570">_xlfn.IFS(HR_Data[[#This Row],[Total Working Years]]&lt;=5,"Junior", HR_Data[[#This Row],[Total Working Years]]&lt;=15,"Mid-Level", TRUE, "Senior")</f>
        <v>Senior</v>
      </c>
    </row>
    <row r="571" spans="1:20" x14ac:dyDescent="0.25">
      <c r="A571" s="1">
        <v>789</v>
      </c>
      <c r="B571" s="1">
        <v>36</v>
      </c>
      <c r="C571" t="s">
        <v>9</v>
      </c>
      <c r="D571" t="s">
        <v>5</v>
      </c>
      <c r="E571" t="s">
        <v>6</v>
      </c>
      <c r="F571" t="s">
        <v>11</v>
      </c>
      <c r="G571" t="s">
        <v>8</v>
      </c>
      <c r="H571" s="1">
        <v>1</v>
      </c>
      <c r="I571" s="1">
        <v>7587</v>
      </c>
      <c r="J571" t="s">
        <v>9</v>
      </c>
      <c r="K571" s="1">
        <v>15</v>
      </c>
      <c r="L571" s="1">
        <v>3</v>
      </c>
      <c r="M571" s="1">
        <v>10</v>
      </c>
      <c r="N571" s="1">
        <v>3</v>
      </c>
      <c r="O571" s="1">
        <v>10</v>
      </c>
      <c r="P571" s="1">
        <f>COUNTIF(HR_Data[Employee Number],HR_Data[[#This Row],[Employee Number]])</f>
        <v>1</v>
      </c>
      <c r="Q571" s="1" t="str">
        <f>IF(HR_Data[[#This Row],[Years At Company]]&lt;=HR_Data[[#This Row],[Total Working Years]],"Valid","error")</f>
        <v>Valid</v>
      </c>
      <c r="R571" s="1" t="str" cm="1">
        <f t="array" ref="R571">_xlfn.IFS(HR_Data[[#This Row],[Age]]&lt;=30,"Young", HR_Data[[#This Row],[Age]]&lt;=45,"Mid-Age",HR_Data[[#This Row],[Age]]&gt;45,"Senior")</f>
        <v>Mid-Age</v>
      </c>
      <c r="S571" s="1" t="str" cm="1">
        <f t="array" ref="S571">_xlfn.IFS(HR_Data[[#This Row],[Monthly Income]]&lt;5000,"Low", HR_Data[[#This Row],[Monthly Income]]&lt;10000,"Medium",TRUE,"High")</f>
        <v>Medium</v>
      </c>
      <c r="T571" s="1" t="str" cm="1">
        <f t="array" ref="T571">_xlfn.IFS(HR_Data[[#This Row],[Total Working Years]]&lt;=5,"Junior", HR_Data[[#This Row],[Total Working Years]]&lt;=15,"Mid-Level", TRUE, "Senior")</f>
        <v>Mid-Level</v>
      </c>
    </row>
    <row r="572" spans="1:20" x14ac:dyDescent="0.25">
      <c r="A572" s="1">
        <v>791</v>
      </c>
      <c r="B572" s="1">
        <v>52</v>
      </c>
      <c r="C572" t="s">
        <v>9</v>
      </c>
      <c r="D572" t="s">
        <v>10</v>
      </c>
      <c r="E572" t="s">
        <v>15</v>
      </c>
      <c r="F572" t="s">
        <v>11</v>
      </c>
      <c r="G572" t="s">
        <v>12</v>
      </c>
      <c r="H572" s="1">
        <v>4</v>
      </c>
      <c r="I572" s="1">
        <v>4258</v>
      </c>
      <c r="J572" t="s">
        <v>9</v>
      </c>
      <c r="K572" s="1">
        <v>18</v>
      </c>
      <c r="L572" s="1">
        <v>3</v>
      </c>
      <c r="M572" s="1">
        <v>5</v>
      </c>
      <c r="N572" s="1">
        <v>3</v>
      </c>
      <c r="O572" s="1">
        <v>4</v>
      </c>
      <c r="P572" s="1">
        <f>COUNTIF(HR_Data[Employee Number],HR_Data[[#This Row],[Employee Number]])</f>
        <v>1</v>
      </c>
      <c r="Q572" s="1" t="str">
        <f>IF(HR_Data[[#This Row],[Years At Company]]&lt;=HR_Data[[#This Row],[Total Working Years]],"Valid","error")</f>
        <v>Valid</v>
      </c>
      <c r="R572" s="1" t="str" cm="1">
        <f t="array" ref="R572">_xlfn.IFS(HR_Data[[#This Row],[Age]]&lt;=30,"Young", HR_Data[[#This Row],[Age]]&lt;=45,"Mid-Age",HR_Data[[#This Row],[Age]]&gt;45,"Senior")</f>
        <v>Senior</v>
      </c>
      <c r="S572" s="1" t="str" cm="1">
        <f t="array" ref="S572">_xlfn.IFS(HR_Data[[#This Row],[Monthly Income]]&lt;5000,"Low", HR_Data[[#This Row],[Monthly Income]]&lt;10000,"Medium",TRUE,"High")</f>
        <v>Low</v>
      </c>
      <c r="T572" s="1" t="str" cm="1">
        <f t="array" ref="T572">_xlfn.IFS(HR_Data[[#This Row],[Total Working Years]]&lt;=5,"Junior", HR_Data[[#This Row],[Total Working Years]]&lt;=15,"Mid-Level", TRUE, "Senior")</f>
        <v>Junior</v>
      </c>
    </row>
    <row r="573" spans="1:20" x14ac:dyDescent="0.25">
      <c r="A573" s="1">
        <v>792</v>
      </c>
      <c r="B573" s="1">
        <v>26</v>
      </c>
      <c r="C573" t="s">
        <v>9</v>
      </c>
      <c r="D573" t="s">
        <v>10</v>
      </c>
      <c r="E573" t="s">
        <v>6</v>
      </c>
      <c r="F573" t="s">
        <v>7</v>
      </c>
      <c r="G573" t="s">
        <v>14</v>
      </c>
      <c r="H573" s="1">
        <v>4</v>
      </c>
      <c r="I573" s="1">
        <v>4364</v>
      </c>
      <c r="J573" t="s">
        <v>9</v>
      </c>
      <c r="K573" s="1">
        <v>14</v>
      </c>
      <c r="L573" s="1">
        <v>3</v>
      </c>
      <c r="M573" s="1">
        <v>5</v>
      </c>
      <c r="N573" s="1">
        <v>3</v>
      </c>
      <c r="O573" s="1">
        <v>2</v>
      </c>
      <c r="P573" s="1">
        <f>COUNTIF(HR_Data[Employee Number],HR_Data[[#This Row],[Employee Number]])</f>
        <v>1</v>
      </c>
      <c r="Q573" s="1" t="str">
        <f>IF(HR_Data[[#This Row],[Years At Company]]&lt;=HR_Data[[#This Row],[Total Working Years]],"Valid","error")</f>
        <v>Valid</v>
      </c>
      <c r="R573" s="1" t="str" cm="1">
        <f t="array" ref="R573">_xlfn.IFS(HR_Data[[#This Row],[Age]]&lt;=30,"Young", HR_Data[[#This Row],[Age]]&lt;=45,"Mid-Age",HR_Data[[#This Row],[Age]]&gt;45,"Senior")</f>
        <v>Young</v>
      </c>
      <c r="S573" s="1" t="str" cm="1">
        <f t="array" ref="S573">_xlfn.IFS(HR_Data[[#This Row],[Monthly Income]]&lt;5000,"Low", HR_Data[[#This Row],[Monthly Income]]&lt;10000,"Medium",TRUE,"High")</f>
        <v>Low</v>
      </c>
      <c r="T573" s="1" t="str" cm="1">
        <f t="array" ref="T573">_xlfn.IFS(HR_Data[[#This Row],[Total Working Years]]&lt;=5,"Junior", HR_Data[[#This Row],[Total Working Years]]&lt;=15,"Mid-Level", TRUE, "Senior")</f>
        <v>Junior</v>
      </c>
    </row>
    <row r="574" spans="1:20" x14ac:dyDescent="0.25">
      <c r="A574" s="1">
        <v>793</v>
      </c>
      <c r="B574" s="1">
        <v>29</v>
      </c>
      <c r="C574" t="s">
        <v>9</v>
      </c>
      <c r="D574" t="s">
        <v>10</v>
      </c>
      <c r="E574" t="s">
        <v>15</v>
      </c>
      <c r="F574" t="s">
        <v>7</v>
      </c>
      <c r="G574" t="s">
        <v>17</v>
      </c>
      <c r="H574" s="1">
        <v>3</v>
      </c>
      <c r="I574" s="1">
        <v>4335</v>
      </c>
      <c r="J574" t="s">
        <v>9</v>
      </c>
      <c r="K574" s="1">
        <v>12</v>
      </c>
      <c r="L574" s="1">
        <v>3</v>
      </c>
      <c r="M574" s="1">
        <v>11</v>
      </c>
      <c r="N574" s="1">
        <v>2</v>
      </c>
      <c r="O574" s="1">
        <v>8</v>
      </c>
      <c r="P574" s="1">
        <f>COUNTIF(HR_Data[Employee Number],HR_Data[[#This Row],[Employee Number]])</f>
        <v>1</v>
      </c>
      <c r="Q574" s="1" t="str">
        <f>IF(HR_Data[[#This Row],[Years At Company]]&lt;=HR_Data[[#This Row],[Total Working Years]],"Valid","error")</f>
        <v>Valid</v>
      </c>
      <c r="R574" s="1" t="str" cm="1">
        <f t="array" ref="R574">_xlfn.IFS(HR_Data[[#This Row],[Age]]&lt;=30,"Young", HR_Data[[#This Row],[Age]]&lt;=45,"Mid-Age",HR_Data[[#This Row],[Age]]&gt;45,"Senior")</f>
        <v>Young</v>
      </c>
      <c r="S574" s="1" t="str" cm="1">
        <f t="array" ref="S574">_xlfn.IFS(HR_Data[[#This Row],[Monthly Income]]&lt;5000,"Low", HR_Data[[#This Row],[Monthly Income]]&lt;10000,"Medium",TRUE,"High")</f>
        <v>Low</v>
      </c>
      <c r="T574" s="1" t="str" cm="1">
        <f t="array" ref="T574">_xlfn.IFS(HR_Data[[#This Row],[Total Working Years]]&lt;=5,"Junior", HR_Data[[#This Row],[Total Working Years]]&lt;=15,"Mid-Level", TRUE, "Senior")</f>
        <v>Mid-Level</v>
      </c>
    </row>
    <row r="575" spans="1:20" x14ac:dyDescent="0.25">
      <c r="A575" s="1">
        <v>796</v>
      </c>
      <c r="B575" s="1">
        <v>26</v>
      </c>
      <c r="C575" t="s">
        <v>4</v>
      </c>
      <c r="D575" t="s">
        <v>5</v>
      </c>
      <c r="E575" t="s">
        <v>22</v>
      </c>
      <c r="F575" t="s">
        <v>11</v>
      </c>
      <c r="G575" t="s">
        <v>8</v>
      </c>
      <c r="H575" s="1">
        <v>1</v>
      </c>
      <c r="I575" s="1">
        <v>5326</v>
      </c>
      <c r="J575" t="s">
        <v>9</v>
      </c>
      <c r="K575" s="1">
        <v>17</v>
      </c>
      <c r="L575" s="1">
        <v>3</v>
      </c>
      <c r="M575" s="1">
        <v>6</v>
      </c>
      <c r="N575" s="1">
        <v>2</v>
      </c>
      <c r="O575" s="1">
        <v>4</v>
      </c>
      <c r="P575" s="1">
        <f>COUNTIF(HR_Data[Employee Number],HR_Data[[#This Row],[Employee Number]])</f>
        <v>1</v>
      </c>
      <c r="Q575" s="1" t="str">
        <f>IF(HR_Data[[#This Row],[Years At Company]]&lt;=HR_Data[[#This Row],[Total Working Years]],"Valid","error")</f>
        <v>Valid</v>
      </c>
      <c r="R575" s="1" t="str" cm="1">
        <f t="array" ref="R575">_xlfn.IFS(HR_Data[[#This Row],[Age]]&lt;=30,"Young", HR_Data[[#This Row],[Age]]&lt;=45,"Mid-Age",HR_Data[[#This Row],[Age]]&gt;45,"Senior")</f>
        <v>Young</v>
      </c>
      <c r="S575" s="1" t="str" cm="1">
        <f t="array" ref="S575">_xlfn.IFS(HR_Data[[#This Row],[Monthly Income]]&lt;5000,"Low", HR_Data[[#This Row],[Monthly Income]]&lt;10000,"Medium",TRUE,"High")</f>
        <v>Medium</v>
      </c>
      <c r="T575" s="1" t="str" cm="1">
        <f t="array" ref="T575">_xlfn.IFS(HR_Data[[#This Row],[Total Working Years]]&lt;=5,"Junior", HR_Data[[#This Row],[Total Working Years]]&lt;=15,"Mid-Level", TRUE, "Senior")</f>
        <v>Mid-Level</v>
      </c>
    </row>
    <row r="576" spans="1:20" x14ac:dyDescent="0.25">
      <c r="A576" s="1">
        <v>797</v>
      </c>
      <c r="B576" s="1">
        <v>34</v>
      </c>
      <c r="C576" t="s">
        <v>9</v>
      </c>
      <c r="D576" t="s">
        <v>10</v>
      </c>
      <c r="E576" t="s">
        <v>6</v>
      </c>
      <c r="F576" t="s">
        <v>7</v>
      </c>
      <c r="G576" t="s">
        <v>12</v>
      </c>
      <c r="H576" s="1">
        <v>4</v>
      </c>
      <c r="I576" s="1">
        <v>3280</v>
      </c>
      <c r="J576" t="s">
        <v>9</v>
      </c>
      <c r="K576" s="1">
        <v>16</v>
      </c>
      <c r="L576" s="1">
        <v>3</v>
      </c>
      <c r="M576" s="1">
        <v>10</v>
      </c>
      <c r="N576" s="1">
        <v>3</v>
      </c>
      <c r="O576" s="1">
        <v>4</v>
      </c>
      <c r="P576" s="1">
        <f>COUNTIF(HR_Data[Employee Number],HR_Data[[#This Row],[Employee Number]])</f>
        <v>1</v>
      </c>
      <c r="Q576" s="1" t="str">
        <f>IF(HR_Data[[#This Row],[Years At Company]]&lt;=HR_Data[[#This Row],[Total Working Years]],"Valid","error")</f>
        <v>Valid</v>
      </c>
      <c r="R576" s="1" t="str" cm="1">
        <f t="array" ref="R576">_xlfn.IFS(HR_Data[[#This Row],[Age]]&lt;=30,"Young", HR_Data[[#This Row],[Age]]&lt;=45,"Mid-Age",HR_Data[[#This Row],[Age]]&gt;45,"Senior")</f>
        <v>Mid-Age</v>
      </c>
      <c r="S576" s="1" t="str" cm="1">
        <f t="array" ref="S576">_xlfn.IFS(HR_Data[[#This Row],[Monthly Income]]&lt;5000,"Low", HR_Data[[#This Row],[Monthly Income]]&lt;10000,"Medium",TRUE,"High")</f>
        <v>Low</v>
      </c>
      <c r="T576" s="1" t="str" cm="1">
        <f t="array" ref="T576">_xlfn.IFS(HR_Data[[#This Row],[Total Working Years]]&lt;=5,"Junior", HR_Data[[#This Row],[Total Working Years]]&lt;=15,"Mid-Level", TRUE, "Senior")</f>
        <v>Mid-Level</v>
      </c>
    </row>
    <row r="577" spans="1:20" x14ac:dyDescent="0.25">
      <c r="A577" s="1">
        <v>799</v>
      </c>
      <c r="B577" s="1">
        <v>54</v>
      </c>
      <c r="C577" t="s">
        <v>9</v>
      </c>
      <c r="D577" t="s">
        <v>10</v>
      </c>
      <c r="E577" t="s">
        <v>15</v>
      </c>
      <c r="F577" t="s">
        <v>7</v>
      </c>
      <c r="G577" t="s">
        <v>16</v>
      </c>
      <c r="H577" s="1">
        <v>1</v>
      </c>
      <c r="I577" s="1">
        <v>5485</v>
      </c>
      <c r="J577" t="s">
        <v>4</v>
      </c>
      <c r="K577" s="1">
        <v>11</v>
      </c>
      <c r="L577" s="1">
        <v>3</v>
      </c>
      <c r="M577" s="1">
        <v>9</v>
      </c>
      <c r="N577" s="1">
        <v>3</v>
      </c>
      <c r="O577" s="1">
        <v>5</v>
      </c>
      <c r="P577" s="1">
        <f>COUNTIF(HR_Data[Employee Number],HR_Data[[#This Row],[Employee Number]])</f>
        <v>1</v>
      </c>
      <c r="Q577" s="1" t="str">
        <f>IF(HR_Data[[#This Row],[Years At Company]]&lt;=HR_Data[[#This Row],[Total Working Years]],"Valid","error")</f>
        <v>Valid</v>
      </c>
      <c r="R577" s="1" t="str" cm="1">
        <f t="array" ref="R577">_xlfn.IFS(HR_Data[[#This Row],[Age]]&lt;=30,"Young", HR_Data[[#This Row],[Age]]&lt;=45,"Mid-Age",HR_Data[[#This Row],[Age]]&gt;45,"Senior")</f>
        <v>Senior</v>
      </c>
      <c r="S577" s="1" t="str" cm="1">
        <f t="array" ref="S577">_xlfn.IFS(HR_Data[[#This Row],[Monthly Income]]&lt;5000,"Low", HR_Data[[#This Row],[Monthly Income]]&lt;10000,"Medium",TRUE,"High")</f>
        <v>Medium</v>
      </c>
      <c r="T577" s="1" t="str" cm="1">
        <f t="array" ref="T577">_xlfn.IFS(HR_Data[[#This Row],[Total Working Years]]&lt;=5,"Junior", HR_Data[[#This Row],[Total Working Years]]&lt;=15,"Mid-Level", TRUE, "Senior")</f>
        <v>Mid-Level</v>
      </c>
    </row>
    <row r="578" spans="1:20" x14ac:dyDescent="0.25">
      <c r="A578" s="1">
        <v>800</v>
      </c>
      <c r="B578" s="1">
        <v>27</v>
      </c>
      <c r="C578" t="s">
        <v>9</v>
      </c>
      <c r="D578" t="s">
        <v>5</v>
      </c>
      <c r="E578" t="s">
        <v>21</v>
      </c>
      <c r="F578" t="s">
        <v>11</v>
      </c>
      <c r="G578" t="s">
        <v>8</v>
      </c>
      <c r="H578" s="1">
        <v>4</v>
      </c>
      <c r="I578" s="1">
        <v>4342</v>
      </c>
      <c r="J578" t="s">
        <v>9</v>
      </c>
      <c r="K578" s="1">
        <v>19</v>
      </c>
      <c r="L578" s="1">
        <v>3</v>
      </c>
      <c r="M578" s="1">
        <v>5</v>
      </c>
      <c r="N578" s="1">
        <v>3</v>
      </c>
      <c r="O578" s="1">
        <v>4</v>
      </c>
      <c r="P578" s="1">
        <f>COUNTIF(HR_Data[Employee Number],HR_Data[[#This Row],[Employee Number]])</f>
        <v>1</v>
      </c>
      <c r="Q578" s="1" t="str">
        <f>IF(HR_Data[[#This Row],[Years At Company]]&lt;=HR_Data[[#This Row],[Total Working Years]],"Valid","error")</f>
        <v>Valid</v>
      </c>
      <c r="R578" s="1" t="str" cm="1">
        <f t="array" ref="R578">_xlfn.IFS(HR_Data[[#This Row],[Age]]&lt;=30,"Young", HR_Data[[#This Row],[Age]]&lt;=45,"Mid-Age",HR_Data[[#This Row],[Age]]&gt;45,"Senior")</f>
        <v>Young</v>
      </c>
      <c r="S578" s="1" t="str" cm="1">
        <f t="array" ref="S578">_xlfn.IFS(HR_Data[[#This Row],[Monthly Income]]&lt;5000,"Low", HR_Data[[#This Row],[Monthly Income]]&lt;10000,"Medium",TRUE,"High")</f>
        <v>Low</v>
      </c>
      <c r="T578" s="1" t="str" cm="1">
        <f t="array" ref="T578">_xlfn.IFS(HR_Data[[#This Row],[Total Working Years]]&lt;=5,"Junior", HR_Data[[#This Row],[Total Working Years]]&lt;=15,"Mid-Level", TRUE, "Senior")</f>
        <v>Junior</v>
      </c>
    </row>
    <row r="579" spans="1:20" x14ac:dyDescent="0.25">
      <c r="A579" s="1">
        <v>802</v>
      </c>
      <c r="B579" s="1">
        <v>37</v>
      </c>
      <c r="C579" t="s">
        <v>9</v>
      </c>
      <c r="D579" t="s">
        <v>10</v>
      </c>
      <c r="E579" t="s">
        <v>6</v>
      </c>
      <c r="F579" t="s">
        <v>7</v>
      </c>
      <c r="G579" t="s">
        <v>12</v>
      </c>
      <c r="H579" s="1">
        <v>1</v>
      </c>
      <c r="I579" s="1">
        <v>2782</v>
      </c>
      <c r="J579" t="s">
        <v>4</v>
      </c>
      <c r="K579" s="1">
        <v>13</v>
      </c>
      <c r="L579" s="1">
        <v>3</v>
      </c>
      <c r="M579" s="1">
        <v>6</v>
      </c>
      <c r="N579" s="1">
        <v>2</v>
      </c>
      <c r="O579" s="1">
        <v>5</v>
      </c>
      <c r="P579" s="1">
        <f>COUNTIF(HR_Data[Employee Number],HR_Data[[#This Row],[Employee Number]])</f>
        <v>1</v>
      </c>
      <c r="Q579" s="1" t="str">
        <f>IF(HR_Data[[#This Row],[Years At Company]]&lt;=HR_Data[[#This Row],[Total Working Years]],"Valid","error")</f>
        <v>Valid</v>
      </c>
      <c r="R579" s="1" t="str" cm="1">
        <f t="array" ref="R579">_xlfn.IFS(HR_Data[[#This Row],[Age]]&lt;=30,"Young", HR_Data[[#This Row],[Age]]&lt;=45,"Mid-Age",HR_Data[[#This Row],[Age]]&gt;45,"Senior")</f>
        <v>Mid-Age</v>
      </c>
      <c r="S579" s="1" t="str" cm="1">
        <f t="array" ref="S579">_xlfn.IFS(HR_Data[[#This Row],[Monthly Income]]&lt;5000,"Low", HR_Data[[#This Row],[Monthly Income]]&lt;10000,"Medium",TRUE,"High")</f>
        <v>Low</v>
      </c>
      <c r="T579" s="1" t="str" cm="1">
        <f t="array" ref="T579">_xlfn.IFS(HR_Data[[#This Row],[Total Working Years]]&lt;=5,"Junior", HR_Data[[#This Row],[Total Working Years]]&lt;=15,"Mid-Level", TRUE, "Senior")</f>
        <v>Mid-Level</v>
      </c>
    </row>
    <row r="580" spans="1:20" x14ac:dyDescent="0.25">
      <c r="A580" s="1">
        <v>803</v>
      </c>
      <c r="B580" s="1">
        <v>38</v>
      </c>
      <c r="C580" t="s">
        <v>9</v>
      </c>
      <c r="D580" t="s">
        <v>10</v>
      </c>
      <c r="E580" t="s">
        <v>6</v>
      </c>
      <c r="F580" t="s">
        <v>7</v>
      </c>
      <c r="G580" t="s">
        <v>16</v>
      </c>
      <c r="H580" s="1">
        <v>1</v>
      </c>
      <c r="I580" s="1">
        <v>5980</v>
      </c>
      <c r="J580" t="s">
        <v>4</v>
      </c>
      <c r="K580" s="1">
        <v>12</v>
      </c>
      <c r="L580" s="1">
        <v>3</v>
      </c>
      <c r="M580" s="1">
        <v>17</v>
      </c>
      <c r="N580" s="1">
        <v>3</v>
      </c>
      <c r="O580" s="1">
        <v>15</v>
      </c>
      <c r="P580" s="1">
        <f>COUNTIF(HR_Data[Employee Number],HR_Data[[#This Row],[Employee Number]])</f>
        <v>1</v>
      </c>
      <c r="Q580" s="1" t="str">
        <f>IF(HR_Data[[#This Row],[Years At Company]]&lt;=HR_Data[[#This Row],[Total Working Years]],"Valid","error")</f>
        <v>Valid</v>
      </c>
      <c r="R580" s="1" t="str" cm="1">
        <f t="array" ref="R580">_xlfn.IFS(HR_Data[[#This Row],[Age]]&lt;=30,"Young", HR_Data[[#This Row],[Age]]&lt;=45,"Mid-Age",HR_Data[[#This Row],[Age]]&gt;45,"Senior")</f>
        <v>Mid-Age</v>
      </c>
      <c r="S580" s="1" t="str" cm="1">
        <f t="array" ref="S580">_xlfn.IFS(HR_Data[[#This Row],[Monthly Income]]&lt;5000,"Low", HR_Data[[#This Row],[Monthly Income]]&lt;10000,"Medium",TRUE,"High")</f>
        <v>Medium</v>
      </c>
      <c r="T580" s="1" t="str" cm="1">
        <f t="array" ref="T580">_xlfn.IFS(HR_Data[[#This Row],[Total Working Years]]&lt;=5,"Junior", HR_Data[[#This Row],[Total Working Years]]&lt;=15,"Mid-Level", TRUE, "Senior")</f>
        <v>Senior</v>
      </c>
    </row>
    <row r="581" spans="1:20" x14ac:dyDescent="0.25">
      <c r="A581" s="1">
        <v>804</v>
      </c>
      <c r="B581" s="1">
        <v>34</v>
      </c>
      <c r="C581" t="s">
        <v>9</v>
      </c>
      <c r="D581" t="s">
        <v>10</v>
      </c>
      <c r="E581" t="s">
        <v>15</v>
      </c>
      <c r="F581" t="s">
        <v>7</v>
      </c>
      <c r="G581" t="s">
        <v>12</v>
      </c>
      <c r="H581" s="1">
        <v>1</v>
      </c>
      <c r="I581" s="1">
        <v>4381</v>
      </c>
      <c r="J581" t="s">
        <v>9</v>
      </c>
      <c r="K581" s="1">
        <v>11</v>
      </c>
      <c r="L581" s="1">
        <v>3</v>
      </c>
      <c r="M581" s="1">
        <v>6</v>
      </c>
      <c r="N581" s="1">
        <v>3</v>
      </c>
      <c r="O581" s="1">
        <v>6</v>
      </c>
      <c r="P581" s="1">
        <f>COUNTIF(HR_Data[Employee Number],HR_Data[[#This Row],[Employee Number]])</f>
        <v>1</v>
      </c>
      <c r="Q581" s="1" t="str">
        <f>IF(HR_Data[[#This Row],[Years At Company]]&lt;=HR_Data[[#This Row],[Total Working Years]],"Valid","error")</f>
        <v>Valid</v>
      </c>
      <c r="R581" s="1" t="str" cm="1">
        <f t="array" ref="R581">_xlfn.IFS(HR_Data[[#This Row],[Age]]&lt;=30,"Young", HR_Data[[#This Row],[Age]]&lt;=45,"Mid-Age",HR_Data[[#This Row],[Age]]&gt;45,"Senior")</f>
        <v>Mid-Age</v>
      </c>
      <c r="S581" s="1" t="str" cm="1">
        <f t="array" ref="S581">_xlfn.IFS(HR_Data[[#This Row],[Monthly Income]]&lt;5000,"Low", HR_Data[[#This Row],[Monthly Income]]&lt;10000,"Medium",TRUE,"High")</f>
        <v>Low</v>
      </c>
      <c r="T581" s="1" t="str" cm="1">
        <f t="array" ref="T581">_xlfn.IFS(HR_Data[[#This Row],[Total Working Years]]&lt;=5,"Junior", HR_Data[[#This Row],[Total Working Years]]&lt;=15,"Mid-Level", TRUE, "Senior")</f>
        <v>Mid-Level</v>
      </c>
    </row>
    <row r="582" spans="1:20" x14ac:dyDescent="0.25">
      <c r="A582" s="1">
        <v>805</v>
      </c>
      <c r="B582" s="1">
        <v>35</v>
      </c>
      <c r="C582" t="s">
        <v>9</v>
      </c>
      <c r="D582" t="s">
        <v>5</v>
      </c>
      <c r="E582" t="s">
        <v>6</v>
      </c>
      <c r="F582" t="s">
        <v>7</v>
      </c>
      <c r="G582" t="s">
        <v>19</v>
      </c>
      <c r="H582" s="1">
        <v>4</v>
      </c>
      <c r="I582" s="1">
        <v>2572</v>
      </c>
      <c r="J582" t="s">
        <v>9</v>
      </c>
      <c r="K582" s="1">
        <v>16</v>
      </c>
      <c r="L582" s="1">
        <v>3</v>
      </c>
      <c r="M582" s="1">
        <v>3</v>
      </c>
      <c r="N582" s="1">
        <v>2</v>
      </c>
      <c r="O582" s="1">
        <v>3</v>
      </c>
      <c r="P582" s="1">
        <f>COUNTIF(HR_Data[Employee Number],HR_Data[[#This Row],[Employee Number]])</f>
        <v>1</v>
      </c>
      <c r="Q582" s="1" t="str">
        <f>IF(HR_Data[[#This Row],[Years At Company]]&lt;=HR_Data[[#This Row],[Total Working Years]],"Valid","error")</f>
        <v>Valid</v>
      </c>
      <c r="R582" s="1" t="str" cm="1">
        <f t="array" ref="R582">_xlfn.IFS(HR_Data[[#This Row],[Age]]&lt;=30,"Young", HR_Data[[#This Row],[Age]]&lt;=45,"Mid-Age",HR_Data[[#This Row],[Age]]&gt;45,"Senior")</f>
        <v>Mid-Age</v>
      </c>
      <c r="S582" s="1" t="str" cm="1">
        <f t="array" ref="S582">_xlfn.IFS(HR_Data[[#This Row],[Monthly Income]]&lt;5000,"Low", HR_Data[[#This Row],[Monthly Income]]&lt;10000,"Medium",TRUE,"High")</f>
        <v>Low</v>
      </c>
      <c r="T582" s="1" t="str" cm="1">
        <f t="array" ref="T582">_xlfn.IFS(HR_Data[[#This Row],[Total Working Years]]&lt;=5,"Junior", HR_Data[[#This Row],[Total Working Years]]&lt;=15,"Mid-Level", TRUE, "Senior")</f>
        <v>Junior</v>
      </c>
    </row>
    <row r="583" spans="1:20" x14ac:dyDescent="0.25">
      <c r="A583" s="1">
        <v>806</v>
      </c>
      <c r="B583" s="1">
        <v>30</v>
      </c>
      <c r="C583" t="s">
        <v>9</v>
      </c>
      <c r="D583" t="s">
        <v>10</v>
      </c>
      <c r="E583" t="s">
        <v>6</v>
      </c>
      <c r="F583" t="s">
        <v>11</v>
      </c>
      <c r="G583" t="s">
        <v>14</v>
      </c>
      <c r="H583" s="1">
        <v>3</v>
      </c>
      <c r="I583" s="1">
        <v>3833</v>
      </c>
      <c r="J583" t="s">
        <v>9</v>
      </c>
      <c r="K583" s="1">
        <v>21</v>
      </c>
      <c r="L583" s="1">
        <v>4</v>
      </c>
      <c r="M583" s="1">
        <v>7</v>
      </c>
      <c r="N583" s="1">
        <v>3</v>
      </c>
      <c r="O583" s="1">
        <v>2</v>
      </c>
      <c r="P583" s="1">
        <f>COUNTIF(HR_Data[Employee Number],HR_Data[[#This Row],[Employee Number]])</f>
        <v>1</v>
      </c>
      <c r="Q583" s="1" t="str">
        <f>IF(HR_Data[[#This Row],[Years At Company]]&lt;=HR_Data[[#This Row],[Total Working Years]],"Valid","error")</f>
        <v>Valid</v>
      </c>
      <c r="R583" s="1" t="str" cm="1">
        <f t="array" ref="R583">_xlfn.IFS(HR_Data[[#This Row],[Age]]&lt;=30,"Young", HR_Data[[#This Row],[Age]]&lt;=45,"Mid-Age",HR_Data[[#This Row],[Age]]&gt;45,"Senior")</f>
        <v>Young</v>
      </c>
      <c r="S583" s="1" t="str" cm="1">
        <f t="array" ref="S583">_xlfn.IFS(HR_Data[[#This Row],[Monthly Income]]&lt;5000,"Low", HR_Data[[#This Row],[Monthly Income]]&lt;10000,"Medium",TRUE,"High")</f>
        <v>Low</v>
      </c>
      <c r="T583" s="1" t="str" cm="1">
        <f t="array" ref="T583">_xlfn.IFS(HR_Data[[#This Row],[Total Working Years]]&lt;=5,"Junior", HR_Data[[#This Row],[Total Working Years]]&lt;=15,"Mid-Level", TRUE, "Senior")</f>
        <v>Mid-Level</v>
      </c>
    </row>
    <row r="584" spans="1:20" x14ac:dyDescent="0.25">
      <c r="A584" s="1">
        <v>807</v>
      </c>
      <c r="B584" s="1">
        <v>40</v>
      </c>
      <c r="C584" t="s">
        <v>9</v>
      </c>
      <c r="D584" t="s">
        <v>10</v>
      </c>
      <c r="E584" t="s">
        <v>15</v>
      </c>
      <c r="F584" t="s">
        <v>7</v>
      </c>
      <c r="G584" t="s">
        <v>17</v>
      </c>
      <c r="H584" s="1">
        <v>2</v>
      </c>
      <c r="I584" s="1">
        <v>4244</v>
      </c>
      <c r="J584" t="s">
        <v>9</v>
      </c>
      <c r="K584" s="1">
        <v>24</v>
      </c>
      <c r="L584" s="1">
        <v>4</v>
      </c>
      <c r="M584" s="1">
        <v>8</v>
      </c>
      <c r="N584" s="1">
        <v>3</v>
      </c>
      <c r="O584" s="1">
        <v>8</v>
      </c>
      <c r="P584" s="1">
        <f>COUNTIF(HR_Data[Employee Number],HR_Data[[#This Row],[Employee Number]])</f>
        <v>1</v>
      </c>
      <c r="Q584" s="1" t="str">
        <f>IF(HR_Data[[#This Row],[Years At Company]]&lt;=HR_Data[[#This Row],[Total Working Years]],"Valid","error")</f>
        <v>Valid</v>
      </c>
      <c r="R584" s="1" t="str" cm="1">
        <f t="array" ref="R584">_xlfn.IFS(HR_Data[[#This Row],[Age]]&lt;=30,"Young", HR_Data[[#This Row],[Age]]&lt;=45,"Mid-Age",HR_Data[[#This Row],[Age]]&gt;45,"Senior")</f>
        <v>Mid-Age</v>
      </c>
      <c r="S584" s="1" t="str" cm="1">
        <f t="array" ref="S584">_xlfn.IFS(HR_Data[[#This Row],[Monthly Income]]&lt;5000,"Low", HR_Data[[#This Row],[Monthly Income]]&lt;10000,"Medium",TRUE,"High")</f>
        <v>Low</v>
      </c>
      <c r="T584" s="1" t="str" cm="1">
        <f t="array" ref="T584">_xlfn.IFS(HR_Data[[#This Row],[Total Working Years]]&lt;=5,"Junior", HR_Data[[#This Row],[Total Working Years]]&lt;=15,"Mid-Level", TRUE, "Senior")</f>
        <v>Mid-Level</v>
      </c>
    </row>
    <row r="585" spans="1:20" x14ac:dyDescent="0.25">
      <c r="A585" s="1">
        <v>808</v>
      </c>
      <c r="B585" s="1">
        <v>34</v>
      </c>
      <c r="C585" t="s">
        <v>9</v>
      </c>
      <c r="D585" t="s">
        <v>5</v>
      </c>
      <c r="E585" t="s">
        <v>6</v>
      </c>
      <c r="F585" t="s">
        <v>7</v>
      </c>
      <c r="G585" t="s">
        <v>8</v>
      </c>
      <c r="H585" s="1">
        <v>1</v>
      </c>
      <c r="I585" s="1">
        <v>6500</v>
      </c>
      <c r="J585" t="s">
        <v>9</v>
      </c>
      <c r="K585" s="1">
        <v>17</v>
      </c>
      <c r="L585" s="1">
        <v>3</v>
      </c>
      <c r="M585" s="1">
        <v>6</v>
      </c>
      <c r="N585" s="1">
        <v>3</v>
      </c>
      <c r="O585" s="1">
        <v>3</v>
      </c>
      <c r="P585" s="1">
        <f>COUNTIF(HR_Data[Employee Number],HR_Data[[#This Row],[Employee Number]])</f>
        <v>1</v>
      </c>
      <c r="Q585" s="1" t="str">
        <f>IF(HR_Data[[#This Row],[Years At Company]]&lt;=HR_Data[[#This Row],[Total Working Years]],"Valid","error")</f>
        <v>Valid</v>
      </c>
      <c r="R585" s="1" t="str" cm="1">
        <f t="array" ref="R585">_xlfn.IFS(HR_Data[[#This Row],[Age]]&lt;=30,"Young", HR_Data[[#This Row],[Age]]&lt;=45,"Mid-Age",HR_Data[[#This Row],[Age]]&gt;45,"Senior")</f>
        <v>Mid-Age</v>
      </c>
      <c r="S585" s="1" t="str" cm="1">
        <f t="array" ref="S585">_xlfn.IFS(HR_Data[[#This Row],[Monthly Income]]&lt;5000,"Low", HR_Data[[#This Row],[Monthly Income]]&lt;10000,"Medium",TRUE,"High")</f>
        <v>Medium</v>
      </c>
      <c r="T585" s="1" t="str" cm="1">
        <f t="array" ref="T585">_xlfn.IFS(HR_Data[[#This Row],[Total Working Years]]&lt;=5,"Junior", HR_Data[[#This Row],[Total Working Years]]&lt;=15,"Mid-Level", TRUE, "Senior")</f>
        <v>Mid-Level</v>
      </c>
    </row>
    <row r="586" spans="1:20" x14ac:dyDescent="0.25">
      <c r="A586" s="1">
        <v>809</v>
      </c>
      <c r="B586" s="1">
        <v>42</v>
      </c>
      <c r="C586" t="s">
        <v>9</v>
      </c>
      <c r="D586" t="s">
        <v>10</v>
      </c>
      <c r="E586" t="s">
        <v>6</v>
      </c>
      <c r="F586" t="s">
        <v>11</v>
      </c>
      <c r="G586" t="s">
        <v>18</v>
      </c>
      <c r="H586" s="1">
        <v>4</v>
      </c>
      <c r="I586" s="1">
        <v>18430</v>
      </c>
      <c r="J586" t="s">
        <v>9</v>
      </c>
      <c r="K586" s="1">
        <v>13</v>
      </c>
      <c r="L586" s="1">
        <v>3</v>
      </c>
      <c r="M586" s="1">
        <v>24</v>
      </c>
      <c r="N586" s="1">
        <v>2</v>
      </c>
      <c r="O586" s="1">
        <v>24</v>
      </c>
      <c r="P586" s="1">
        <f>COUNTIF(HR_Data[Employee Number],HR_Data[[#This Row],[Employee Number]])</f>
        <v>1</v>
      </c>
      <c r="Q586" s="1" t="str">
        <f>IF(HR_Data[[#This Row],[Years At Company]]&lt;=HR_Data[[#This Row],[Total Working Years]],"Valid","error")</f>
        <v>Valid</v>
      </c>
      <c r="R586" s="1" t="str" cm="1">
        <f t="array" ref="R586">_xlfn.IFS(HR_Data[[#This Row],[Age]]&lt;=30,"Young", HR_Data[[#This Row],[Age]]&lt;=45,"Mid-Age",HR_Data[[#This Row],[Age]]&gt;45,"Senior")</f>
        <v>Mid-Age</v>
      </c>
      <c r="S586" s="1" t="str" cm="1">
        <f t="array" ref="S586">_xlfn.IFS(HR_Data[[#This Row],[Monthly Income]]&lt;5000,"Low", HR_Data[[#This Row],[Monthly Income]]&lt;10000,"Medium",TRUE,"High")</f>
        <v>High</v>
      </c>
      <c r="T586" s="1" t="str" cm="1">
        <f t="array" ref="T586">_xlfn.IFS(HR_Data[[#This Row],[Total Working Years]]&lt;=5,"Junior", HR_Data[[#This Row],[Total Working Years]]&lt;=15,"Mid-Level", TRUE, "Senior")</f>
        <v>Senior</v>
      </c>
    </row>
    <row r="587" spans="1:20" x14ac:dyDescent="0.25">
      <c r="A587" s="1">
        <v>811</v>
      </c>
      <c r="B587" s="1">
        <v>23</v>
      </c>
      <c r="C587" t="s">
        <v>4</v>
      </c>
      <c r="D587" t="s">
        <v>10</v>
      </c>
      <c r="E587" t="s">
        <v>6</v>
      </c>
      <c r="F587" t="s">
        <v>11</v>
      </c>
      <c r="G587" t="s">
        <v>14</v>
      </c>
      <c r="H587" s="1">
        <v>1</v>
      </c>
      <c r="I587" s="1">
        <v>1601</v>
      </c>
      <c r="J587" t="s">
        <v>4</v>
      </c>
      <c r="K587" s="1">
        <v>21</v>
      </c>
      <c r="L587" s="1">
        <v>4</v>
      </c>
      <c r="M587" s="1">
        <v>1</v>
      </c>
      <c r="N587" s="1">
        <v>3</v>
      </c>
      <c r="O587" s="1">
        <v>0</v>
      </c>
      <c r="P587" s="1">
        <f>COUNTIF(HR_Data[Employee Number],HR_Data[[#This Row],[Employee Number]])</f>
        <v>1</v>
      </c>
      <c r="Q587" s="1" t="str">
        <f>IF(HR_Data[[#This Row],[Years At Company]]&lt;=HR_Data[[#This Row],[Total Working Years]],"Valid","error")</f>
        <v>Valid</v>
      </c>
      <c r="R587" s="1" t="str" cm="1">
        <f t="array" ref="R587">_xlfn.IFS(HR_Data[[#This Row],[Age]]&lt;=30,"Young", HR_Data[[#This Row],[Age]]&lt;=45,"Mid-Age",HR_Data[[#This Row],[Age]]&gt;45,"Senior")</f>
        <v>Young</v>
      </c>
      <c r="S587" s="1" t="str" cm="1">
        <f t="array" ref="S587">_xlfn.IFS(HR_Data[[#This Row],[Monthly Income]]&lt;5000,"Low", HR_Data[[#This Row],[Monthly Income]]&lt;10000,"Medium",TRUE,"High")</f>
        <v>Low</v>
      </c>
      <c r="T587" s="1" t="str" cm="1">
        <f t="array" ref="T587">_xlfn.IFS(HR_Data[[#This Row],[Total Working Years]]&lt;=5,"Junior", HR_Data[[#This Row],[Total Working Years]]&lt;=15,"Mid-Level", TRUE, "Senior")</f>
        <v>Junior</v>
      </c>
    </row>
    <row r="588" spans="1:20" x14ac:dyDescent="0.25">
      <c r="A588" s="1">
        <v>812</v>
      </c>
      <c r="B588" s="1">
        <v>24</v>
      </c>
      <c r="C588" t="s">
        <v>9</v>
      </c>
      <c r="D588" t="s">
        <v>10</v>
      </c>
      <c r="E588" t="s">
        <v>6</v>
      </c>
      <c r="F588" t="s">
        <v>11</v>
      </c>
      <c r="G588" t="s">
        <v>14</v>
      </c>
      <c r="H588" s="1">
        <v>2</v>
      </c>
      <c r="I588" s="1">
        <v>2694</v>
      </c>
      <c r="J588" t="s">
        <v>9</v>
      </c>
      <c r="K588" s="1">
        <v>11</v>
      </c>
      <c r="L588" s="1">
        <v>3</v>
      </c>
      <c r="M588" s="1">
        <v>1</v>
      </c>
      <c r="N588" s="1">
        <v>3</v>
      </c>
      <c r="O588" s="1">
        <v>1</v>
      </c>
      <c r="P588" s="1">
        <f>COUNTIF(HR_Data[Employee Number],HR_Data[[#This Row],[Employee Number]])</f>
        <v>1</v>
      </c>
      <c r="Q588" s="1" t="str">
        <f>IF(HR_Data[[#This Row],[Years At Company]]&lt;=HR_Data[[#This Row],[Total Working Years]],"Valid","error")</f>
        <v>Valid</v>
      </c>
      <c r="R588" s="1" t="str" cm="1">
        <f t="array" ref="R588">_xlfn.IFS(HR_Data[[#This Row],[Age]]&lt;=30,"Young", HR_Data[[#This Row],[Age]]&lt;=45,"Mid-Age",HR_Data[[#This Row],[Age]]&gt;45,"Senior")</f>
        <v>Young</v>
      </c>
      <c r="S588" s="1" t="str" cm="1">
        <f t="array" ref="S588">_xlfn.IFS(HR_Data[[#This Row],[Monthly Income]]&lt;5000,"Low", HR_Data[[#This Row],[Monthly Income]]&lt;10000,"Medium",TRUE,"High")</f>
        <v>Low</v>
      </c>
      <c r="T588" s="1" t="str" cm="1">
        <f t="array" ref="T588">_xlfn.IFS(HR_Data[[#This Row],[Total Working Years]]&lt;=5,"Junior", HR_Data[[#This Row],[Total Working Years]]&lt;=15,"Mid-Level", TRUE, "Senior")</f>
        <v>Junior</v>
      </c>
    </row>
    <row r="589" spans="1:20" x14ac:dyDescent="0.25">
      <c r="A589" s="1">
        <v>813</v>
      </c>
      <c r="B589" s="1">
        <v>52</v>
      </c>
      <c r="C589" t="s">
        <v>9</v>
      </c>
      <c r="D589" t="s">
        <v>10</v>
      </c>
      <c r="E589" t="s">
        <v>6</v>
      </c>
      <c r="F589" t="s">
        <v>7</v>
      </c>
      <c r="G589" t="s">
        <v>14</v>
      </c>
      <c r="H589" s="1">
        <v>3</v>
      </c>
      <c r="I589" s="1">
        <v>3149</v>
      </c>
      <c r="J589" t="s">
        <v>9</v>
      </c>
      <c r="K589" s="1">
        <v>20</v>
      </c>
      <c r="L589" s="1">
        <v>4</v>
      </c>
      <c r="M589" s="1">
        <v>9</v>
      </c>
      <c r="N589" s="1">
        <v>3</v>
      </c>
      <c r="O589" s="1">
        <v>5</v>
      </c>
      <c r="P589" s="1">
        <f>COUNTIF(HR_Data[Employee Number],HR_Data[[#This Row],[Employee Number]])</f>
        <v>1</v>
      </c>
      <c r="Q589" s="1" t="str">
        <f>IF(HR_Data[[#This Row],[Years At Company]]&lt;=HR_Data[[#This Row],[Total Working Years]],"Valid","error")</f>
        <v>Valid</v>
      </c>
      <c r="R589" s="1" t="str" cm="1">
        <f t="array" ref="R589">_xlfn.IFS(HR_Data[[#This Row],[Age]]&lt;=30,"Young", HR_Data[[#This Row],[Age]]&lt;=45,"Mid-Age",HR_Data[[#This Row],[Age]]&gt;45,"Senior")</f>
        <v>Senior</v>
      </c>
      <c r="S589" s="1" t="str" cm="1">
        <f t="array" ref="S589">_xlfn.IFS(HR_Data[[#This Row],[Monthly Income]]&lt;5000,"Low", HR_Data[[#This Row],[Monthly Income]]&lt;10000,"Medium",TRUE,"High")</f>
        <v>Low</v>
      </c>
      <c r="T589" s="1" t="str" cm="1">
        <f t="array" ref="T589">_xlfn.IFS(HR_Data[[#This Row],[Total Working Years]]&lt;=5,"Junior", HR_Data[[#This Row],[Total Working Years]]&lt;=15,"Mid-Level", TRUE, "Senior")</f>
        <v>Mid-Level</v>
      </c>
    </row>
    <row r="590" spans="1:20" x14ac:dyDescent="0.25">
      <c r="A590" s="1">
        <v>815</v>
      </c>
      <c r="B590" s="1">
        <v>50</v>
      </c>
      <c r="C590" t="s">
        <v>9</v>
      </c>
      <c r="D590" t="s">
        <v>10</v>
      </c>
      <c r="E590" t="s">
        <v>15</v>
      </c>
      <c r="F590" t="s">
        <v>11</v>
      </c>
      <c r="G590" t="s">
        <v>20</v>
      </c>
      <c r="H590" s="1">
        <v>3</v>
      </c>
      <c r="I590" s="1">
        <v>17639</v>
      </c>
      <c r="J590" t="s">
        <v>9</v>
      </c>
      <c r="K590" s="1">
        <v>16</v>
      </c>
      <c r="L590" s="1">
        <v>3</v>
      </c>
      <c r="M590" s="1">
        <v>30</v>
      </c>
      <c r="N590" s="1">
        <v>3</v>
      </c>
      <c r="O590" s="1">
        <v>4</v>
      </c>
      <c r="P590" s="1">
        <f>COUNTIF(HR_Data[Employee Number],HR_Data[[#This Row],[Employee Number]])</f>
        <v>1</v>
      </c>
      <c r="Q590" s="1" t="str">
        <f>IF(HR_Data[[#This Row],[Years At Company]]&lt;=HR_Data[[#This Row],[Total Working Years]],"Valid","error")</f>
        <v>Valid</v>
      </c>
      <c r="R590" s="1" t="str" cm="1">
        <f t="array" ref="R590">_xlfn.IFS(HR_Data[[#This Row],[Age]]&lt;=30,"Young", HR_Data[[#This Row],[Age]]&lt;=45,"Mid-Age",HR_Data[[#This Row],[Age]]&gt;45,"Senior")</f>
        <v>Senior</v>
      </c>
      <c r="S590" s="1" t="str" cm="1">
        <f t="array" ref="S590">_xlfn.IFS(HR_Data[[#This Row],[Monthly Income]]&lt;5000,"Low", HR_Data[[#This Row],[Monthly Income]]&lt;10000,"Medium",TRUE,"High")</f>
        <v>High</v>
      </c>
      <c r="T590" s="1" t="str" cm="1">
        <f t="array" ref="T590">_xlfn.IFS(HR_Data[[#This Row],[Total Working Years]]&lt;=5,"Junior", HR_Data[[#This Row],[Total Working Years]]&lt;=15,"Mid-Level", TRUE, "Senior")</f>
        <v>Senior</v>
      </c>
    </row>
    <row r="591" spans="1:20" x14ac:dyDescent="0.25">
      <c r="A591" s="1">
        <v>816</v>
      </c>
      <c r="B591" s="1">
        <v>29</v>
      </c>
      <c r="C591" t="s">
        <v>4</v>
      </c>
      <c r="D591" t="s">
        <v>10</v>
      </c>
      <c r="E591" t="s">
        <v>6</v>
      </c>
      <c r="F591" t="s">
        <v>7</v>
      </c>
      <c r="G591" t="s">
        <v>14</v>
      </c>
      <c r="H591" s="1">
        <v>1</v>
      </c>
      <c r="I591" s="1">
        <v>2319</v>
      </c>
      <c r="J591" t="s">
        <v>4</v>
      </c>
      <c r="K591" s="1">
        <v>11</v>
      </c>
      <c r="L591" s="1">
        <v>3</v>
      </c>
      <c r="M591" s="1">
        <v>1</v>
      </c>
      <c r="N591" s="1">
        <v>3</v>
      </c>
      <c r="O591" s="1">
        <v>1</v>
      </c>
      <c r="P591" s="1">
        <f>COUNTIF(HR_Data[Employee Number],HR_Data[[#This Row],[Employee Number]])</f>
        <v>1</v>
      </c>
      <c r="Q591" s="1" t="str">
        <f>IF(HR_Data[[#This Row],[Years At Company]]&lt;=HR_Data[[#This Row],[Total Working Years]],"Valid","error")</f>
        <v>Valid</v>
      </c>
      <c r="R591" s="1" t="str" cm="1">
        <f t="array" ref="R591">_xlfn.IFS(HR_Data[[#This Row],[Age]]&lt;=30,"Young", HR_Data[[#This Row],[Age]]&lt;=45,"Mid-Age",HR_Data[[#This Row],[Age]]&gt;45,"Senior")</f>
        <v>Young</v>
      </c>
      <c r="S591" s="1" t="str" cm="1">
        <f t="array" ref="S591">_xlfn.IFS(HR_Data[[#This Row],[Monthly Income]]&lt;5000,"Low", HR_Data[[#This Row],[Monthly Income]]&lt;10000,"Medium",TRUE,"High")</f>
        <v>Low</v>
      </c>
      <c r="T591" s="1" t="str" cm="1">
        <f t="array" ref="T591">_xlfn.IFS(HR_Data[[#This Row],[Total Working Years]]&lt;=5,"Junior", HR_Data[[#This Row],[Total Working Years]]&lt;=15,"Mid-Level", TRUE, "Senior")</f>
        <v>Junior</v>
      </c>
    </row>
    <row r="592" spans="1:20" x14ac:dyDescent="0.25">
      <c r="A592" s="1">
        <v>817</v>
      </c>
      <c r="B592" s="1">
        <v>33</v>
      </c>
      <c r="C592" t="s">
        <v>9</v>
      </c>
      <c r="D592" t="s">
        <v>10</v>
      </c>
      <c r="E592" t="s">
        <v>15</v>
      </c>
      <c r="F592" t="s">
        <v>11</v>
      </c>
      <c r="G592" t="s">
        <v>20</v>
      </c>
      <c r="H592" s="1">
        <v>3</v>
      </c>
      <c r="I592" s="1">
        <v>11691</v>
      </c>
      <c r="J592" t="s">
        <v>9</v>
      </c>
      <c r="K592" s="1">
        <v>11</v>
      </c>
      <c r="L592" s="1">
        <v>3</v>
      </c>
      <c r="M592" s="1">
        <v>14</v>
      </c>
      <c r="N592" s="1">
        <v>4</v>
      </c>
      <c r="O592" s="1">
        <v>13</v>
      </c>
      <c r="P592" s="1">
        <f>COUNTIF(HR_Data[Employee Number],HR_Data[[#This Row],[Employee Number]])</f>
        <v>1</v>
      </c>
      <c r="Q592" s="1" t="str">
        <f>IF(HR_Data[[#This Row],[Years At Company]]&lt;=HR_Data[[#This Row],[Total Working Years]],"Valid","error")</f>
        <v>Valid</v>
      </c>
      <c r="R592" s="1" t="str" cm="1">
        <f t="array" ref="R592">_xlfn.IFS(HR_Data[[#This Row],[Age]]&lt;=30,"Young", HR_Data[[#This Row],[Age]]&lt;=45,"Mid-Age",HR_Data[[#This Row],[Age]]&gt;45,"Senior")</f>
        <v>Mid-Age</v>
      </c>
      <c r="S592" s="1" t="str" cm="1">
        <f t="array" ref="S592">_xlfn.IFS(HR_Data[[#This Row],[Monthly Income]]&lt;5000,"Low", HR_Data[[#This Row],[Monthly Income]]&lt;10000,"Medium",TRUE,"High")</f>
        <v>High</v>
      </c>
      <c r="T592" s="1" t="str" cm="1">
        <f t="array" ref="T592">_xlfn.IFS(HR_Data[[#This Row],[Total Working Years]]&lt;=5,"Junior", HR_Data[[#This Row],[Total Working Years]]&lt;=15,"Mid-Level", TRUE, "Senior")</f>
        <v>Mid-Level</v>
      </c>
    </row>
    <row r="593" spans="1:20" x14ac:dyDescent="0.25">
      <c r="A593" s="1">
        <v>819</v>
      </c>
      <c r="B593" s="1">
        <v>33</v>
      </c>
      <c r="C593" t="s">
        <v>4</v>
      </c>
      <c r="D593" t="s">
        <v>5</v>
      </c>
      <c r="E593" t="s">
        <v>21</v>
      </c>
      <c r="F593" t="s">
        <v>7</v>
      </c>
      <c r="G593" t="s">
        <v>8</v>
      </c>
      <c r="H593" s="1">
        <v>1</v>
      </c>
      <c r="I593" s="1">
        <v>5324</v>
      </c>
      <c r="J593" t="s">
        <v>9</v>
      </c>
      <c r="K593" s="1">
        <v>15</v>
      </c>
      <c r="L593" s="1">
        <v>3</v>
      </c>
      <c r="M593" s="1">
        <v>6</v>
      </c>
      <c r="N593" s="1">
        <v>3</v>
      </c>
      <c r="O593" s="1">
        <v>3</v>
      </c>
      <c r="P593" s="1">
        <f>COUNTIF(HR_Data[Employee Number],HR_Data[[#This Row],[Employee Number]])</f>
        <v>1</v>
      </c>
      <c r="Q593" s="1" t="str">
        <f>IF(HR_Data[[#This Row],[Years At Company]]&lt;=HR_Data[[#This Row],[Total Working Years]],"Valid","error")</f>
        <v>Valid</v>
      </c>
      <c r="R593" s="1" t="str" cm="1">
        <f t="array" ref="R593">_xlfn.IFS(HR_Data[[#This Row],[Age]]&lt;=30,"Young", HR_Data[[#This Row],[Age]]&lt;=45,"Mid-Age",HR_Data[[#This Row],[Age]]&gt;45,"Senior")</f>
        <v>Mid-Age</v>
      </c>
      <c r="S593" s="1" t="str" cm="1">
        <f t="array" ref="S593">_xlfn.IFS(HR_Data[[#This Row],[Monthly Income]]&lt;5000,"Low", HR_Data[[#This Row],[Monthly Income]]&lt;10000,"Medium",TRUE,"High")</f>
        <v>Medium</v>
      </c>
      <c r="T593" s="1" t="str" cm="1">
        <f t="array" ref="T593">_xlfn.IFS(HR_Data[[#This Row],[Total Working Years]]&lt;=5,"Junior", HR_Data[[#This Row],[Total Working Years]]&lt;=15,"Mid-Level", TRUE, "Senior")</f>
        <v>Mid-Level</v>
      </c>
    </row>
    <row r="594" spans="1:20" x14ac:dyDescent="0.25">
      <c r="A594" s="1">
        <v>820</v>
      </c>
      <c r="B594" s="1">
        <v>47</v>
      </c>
      <c r="C594" t="s">
        <v>9</v>
      </c>
      <c r="D594" t="s">
        <v>10</v>
      </c>
      <c r="E594" t="s">
        <v>13</v>
      </c>
      <c r="F594" t="s">
        <v>7</v>
      </c>
      <c r="G594" t="s">
        <v>18</v>
      </c>
      <c r="H594" s="1">
        <v>4</v>
      </c>
      <c r="I594" s="1">
        <v>16752</v>
      </c>
      <c r="J594" t="s">
        <v>4</v>
      </c>
      <c r="K594" s="1">
        <v>11</v>
      </c>
      <c r="L594" s="1">
        <v>3</v>
      </c>
      <c r="M594" s="1">
        <v>26</v>
      </c>
      <c r="N594" s="1">
        <v>2</v>
      </c>
      <c r="O594" s="1">
        <v>26</v>
      </c>
      <c r="P594" s="1">
        <f>COUNTIF(HR_Data[Employee Number],HR_Data[[#This Row],[Employee Number]])</f>
        <v>1</v>
      </c>
      <c r="Q594" s="1" t="str">
        <f>IF(HR_Data[[#This Row],[Years At Company]]&lt;=HR_Data[[#This Row],[Total Working Years]],"Valid","error")</f>
        <v>Valid</v>
      </c>
      <c r="R594" s="1" t="str" cm="1">
        <f t="array" ref="R594">_xlfn.IFS(HR_Data[[#This Row],[Age]]&lt;=30,"Young", HR_Data[[#This Row],[Age]]&lt;=45,"Mid-Age",HR_Data[[#This Row],[Age]]&gt;45,"Senior")</f>
        <v>Senior</v>
      </c>
      <c r="S594" s="1" t="str" cm="1">
        <f t="array" ref="S594">_xlfn.IFS(HR_Data[[#This Row],[Monthly Income]]&lt;5000,"Low", HR_Data[[#This Row],[Monthly Income]]&lt;10000,"Medium",TRUE,"High")</f>
        <v>High</v>
      </c>
      <c r="T594" s="1" t="str" cm="1">
        <f t="array" ref="T594">_xlfn.IFS(HR_Data[[#This Row],[Total Working Years]]&lt;=5,"Junior", HR_Data[[#This Row],[Total Working Years]]&lt;=15,"Mid-Level", TRUE, "Senior")</f>
        <v>Senior</v>
      </c>
    </row>
    <row r="595" spans="1:20" x14ac:dyDescent="0.25">
      <c r="A595" s="1">
        <v>823</v>
      </c>
      <c r="B595" s="1">
        <v>36</v>
      </c>
      <c r="C595" t="s">
        <v>9</v>
      </c>
      <c r="D595" t="s">
        <v>10</v>
      </c>
      <c r="E595" t="s">
        <v>13</v>
      </c>
      <c r="F595" t="s">
        <v>7</v>
      </c>
      <c r="G595" t="s">
        <v>16</v>
      </c>
      <c r="H595" s="1">
        <v>2</v>
      </c>
      <c r="I595" s="1">
        <v>5228</v>
      </c>
      <c r="J595" t="s">
        <v>9</v>
      </c>
      <c r="K595" s="1">
        <v>15</v>
      </c>
      <c r="L595" s="1">
        <v>3</v>
      </c>
      <c r="M595" s="1">
        <v>10</v>
      </c>
      <c r="N595" s="1">
        <v>3</v>
      </c>
      <c r="O595" s="1">
        <v>9</v>
      </c>
      <c r="P595" s="1">
        <f>COUNTIF(HR_Data[Employee Number],HR_Data[[#This Row],[Employee Number]])</f>
        <v>1</v>
      </c>
      <c r="Q595" s="1" t="str">
        <f>IF(HR_Data[[#This Row],[Years At Company]]&lt;=HR_Data[[#This Row],[Total Working Years]],"Valid","error")</f>
        <v>Valid</v>
      </c>
      <c r="R595" s="1" t="str" cm="1">
        <f t="array" ref="R595">_xlfn.IFS(HR_Data[[#This Row],[Age]]&lt;=30,"Young", HR_Data[[#This Row],[Age]]&lt;=45,"Mid-Age",HR_Data[[#This Row],[Age]]&gt;45,"Senior")</f>
        <v>Mid-Age</v>
      </c>
      <c r="S595" s="1" t="str" cm="1">
        <f t="array" ref="S595">_xlfn.IFS(HR_Data[[#This Row],[Monthly Income]]&lt;5000,"Low", HR_Data[[#This Row],[Monthly Income]]&lt;10000,"Medium",TRUE,"High")</f>
        <v>Medium</v>
      </c>
      <c r="T595" s="1" t="str" cm="1">
        <f t="array" ref="T595">_xlfn.IFS(HR_Data[[#This Row],[Total Working Years]]&lt;=5,"Junior", HR_Data[[#This Row],[Total Working Years]]&lt;=15,"Mid-Level", TRUE, "Senior")</f>
        <v>Mid-Level</v>
      </c>
    </row>
    <row r="596" spans="1:20" x14ac:dyDescent="0.25">
      <c r="A596" s="1">
        <v>824</v>
      </c>
      <c r="B596" s="1">
        <v>29</v>
      </c>
      <c r="C596" t="s">
        <v>9</v>
      </c>
      <c r="D596" t="s">
        <v>10</v>
      </c>
      <c r="E596" t="s">
        <v>6</v>
      </c>
      <c r="F596" t="s">
        <v>11</v>
      </c>
      <c r="G596" t="s">
        <v>12</v>
      </c>
      <c r="H596" s="1">
        <v>3</v>
      </c>
      <c r="I596" s="1">
        <v>2700</v>
      </c>
      <c r="J596" t="s">
        <v>9</v>
      </c>
      <c r="K596" s="1">
        <v>24</v>
      </c>
      <c r="L596" s="1">
        <v>4</v>
      </c>
      <c r="M596" s="1">
        <v>10</v>
      </c>
      <c r="N596" s="1">
        <v>3</v>
      </c>
      <c r="O596" s="1">
        <v>10</v>
      </c>
      <c r="P596" s="1">
        <f>COUNTIF(HR_Data[Employee Number],HR_Data[[#This Row],[Employee Number]])</f>
        <v>1</v>
      </c>
      <c r="Q596" s="1" t="str">
        <f>IF(HR_Data[[#This Row],[Years At Company]]&lt;=HR_Data[[#This Row],[Total Working Years]],"Valid","error")</f>
        <v>Valid</v>
      </c>
      <c r="R596" s="1" t="str" cm="1">
        <f t="array" ref="R596">_xlfn.IFS(HR_Data[[#This Row],[Age]]&lt;=30,"Young", HR_Data[[#This Row],[Age]]&lt;=45,"Mid-Age",HR_Data[[#This Row],[Age]]&gt;45,"Senior")</f>
        <v>Young</v>
      </c>
      <c r="S596" s="1" t="str" cm="1">
        <f t="array" ref="S596">_xlfn.IFS(HR_Data[[#This Row],[Monthly Income]]&lt;5000,"Low", HR_Data[[#This Row],[Monthly Income]]&lt;10000,"Medium",TRUE,"High")</f>
        <v>Low</v>
      </c>
      <c r="T596" s="1" t="str" cm="1">
        <f t="array" ref="T596">_xlfn.IFS(HR_Data[[#This Row],[Total Working Years]]&lt;=5,"Junior", HR_Data[[#This Row],[Total Working Years]]&lt;=15,"Mid-Level", TRUE, "Senior")</f>
        <v>Mid-Level</v>
      </c>
    </row>
    <row r="597" spans="1:20" x14ac:dyDescent="0.25">
      <c r="A597" s="1">
        <v>825</v>
      </c>
      <c r="B597" s="1">
        <v>58</v>
      </c>
      <c r="C597" t="s">
        <v>4</v>
      </c>
      <c r="D597" t="s">
        <v>10</v>
      </c>
      <c r="E597" t="s">
        <v>6</v>
      </c>
      <c r="F597" t="s">
        <v>11</v>
      </c>
      <c r="G597" t="s">
        <v>20</v>
      </c>
      <c r="H597" s="1">
        <v>2</v>
      </c>
      <c r="I597" s="1">
        <v>19246</v>
      </c>
      <c r="J597" t="s">
        <v>4</v>
      </c>
      <c r="K597" s="1">
        <v>12</v>
      </c>
      <c r="L597" s="1">
        <v>3</v>
      </c>
      <c r="M597" s="1">
        <v>40</v>
      </c>
      <c r="N597" s="1">
        <v>3</v>
      </c>
      <c r="O597" s="1">
        <v>31</v>
      </c>
      <c r="P597" s="1">
        <f>COUNTIF(HR_Data[Employee Number],HR_Data[[#This Row],[Employee Number]])</f>
        <v>1</v>
      </c>
      <c r="Q597" s="1" t="str">
        <f>IF(HR_Data[[#This Row],[Years At Company]]&lt;=HR_Data[[#This Row],[Total Working Years]],"Valid","error")</f>
        <v>Valid</v>
      </c>
      <c r="R597" s="1" t="str" cm="1">
        <f t="array" ref="R597">_xlfn.IFS(HR_Data[[#This Row],[Age]]&lt;=30,"Young", HR_Data[[#This Row],[Age]]&lt;=45,"Mid-Age",HR_Data[[#This Row],[Age]]&gt;45,"Senior")</f>
        <v>Senior</v>
      </c>
      <c r="S597" s="1" t="str" cm="1">
        <f t="array" ref="S597">_xlfn.IFS(HR_Data[[#This Row],[Monthly Income]]&lt;5000,"Low", HR_Data[[#This Row],[Monthly Income]]&lt;10000,"Medium",TRUE,"High")</f>
        <v>High</v>
      </c>
      <c r="T597" s="1" t="str" cm="1">
        <f t="array" ref="T597">_xlfn.IFS(HR_Data[[#This Row],[Total Working Years]]&lt;=5,"Junior", HR_Data[[#This Row],[Total Working Years]]&lt;=15,"Mid-Level", TRUE, "Senior")</f>
        <v>Senior</v>
      </c>
    </row>
    <row r="598" spans="1:20" x14ac:dyDescent="0.25">
      <c r="A598" s="1">
        <v>826</v>
      </c>
      <c r="B598" s="1">
        <v>35</v>
      </c>
      <c r="C598" t="s">
        <v>9</v>
      </c>
      <c r="D598" t="s">
        <v>10</v>
      </c>
      <c r="E598" t="s">
        <v>6</v>
      </c>
      <c r="F598" t="s">
        <v>7</v>
      </c>
      <c r="G598" t="s">
        <v>12</v>
      </c>
      <c r="H598" s="1">
        <v>3</v>
      </c>
      <c r="I598" s="1">
        <v>2506</v>
      </c>
      <c r="J598" t="s">
        <v>9</v>
      </c>
      <c r="K598" s="1">
        <v>13</v>
      </c>
      <c r="L598" s="1">
        <v>3</v>
      </c>
      <c r="M598" s="1">
        <v>7</v>
      </c>
      <c r="N598" s="1">
        <v>3</v>
      </c>
      <c r="O598" s="1">
        <v>2</v>
      </c>
      <c r="P598" s="1">
        <f>COUNTIF(HR_Data[Employee Number],HR_Data[[#This Row],[Employee Number]])</f>
        <v>1</v>
      </c>
      <c r="Q598" s="1" t="str">
        <f>IF(HR_Data[[#This Row],[Years At Company]]&lt;=HR_Data[[#This Row],[Total Working Years]],"Valid","error")</f>
        <v>Valid</v>
      </c>
      <c r="R598" s="1" t="str" cm="1">
        <f t="array" ref="R598">_xlfn.IFS(HR_Data[[#This Row],[Age]]&lt;=30,"Young", HR_Data[[#This Row],[Age]]&lt;=45,"Mid-Age",HR_Data[[#This Row],[Age]]&gt;45,"Senior")</f>
        <v>Mid-Age</v>
      </c>
      <c r="S598" s="1" t="str" cm="1">
        <f t="array" ref="S598">_xlfn.IFS(HR_Data[[#This Row],[Monthly Income]]&lt;5000,"Low", HR_Data[[#This Row],[Monthly Income]]&lt;10000,"Medium",TRUE,"High")</f>
        <v>Low</v>
      </c>
      <c r="T598" s="1" t="str" cm="1">
        <f t="array" ref="T598">_xlfn.IFS(HR_Data[[#This Row],[Total Working Years]]&lt;=5,"Junior", HR_Data[[#This Row],[Total Working Years]]&lt;=15,"Mid-Level", TRUE, "Senior")</f>
        <v>Mid-Level</v>
      </c>
    </row>
    <row r="599" spans="1:20" x14ac:dyDescent="0.25">
      <c r="A599" s="1">
        <v>827</v>
      </c>
      <c r="B599" s="1">
        <v>42</v>
      </c>
      <c r="C599" t="s">
        <v>9</v>
      </c>
      <c r="D599" t="s">
        <v>10</v>
      </c>
      <c r="E599" t="s">
        <v>6</v>
      </c>
      <c r="F599" t="s">
        <v>7</v>
      </c>
      <c r="G599" t="s">
        <v>16</v>
      </c>
      <c r="H599" s="1">
        <v>4</v>
      </c>
      <c r="I599" s="1">
        <v>6062</v>
      </c>
      <c r="J599" t="s">
        <v>4</v>
      </c>
      <c r="K599" s="1">
        <v>13</v>
      </c>
      <c r="L599" s="1">
        <v>3</v>
      </c>
      <c r="M599" s="1">
        <v>8</v>
      </c>
      <c r="N599" s="1">
        <v>3</v>
      </c>
      <c r="O599" s="1">
        <v>4</v>
      </c>
      <c r="P599" s="1">
        <f>COUNTIF(HR_Data[Employee Number],HR_Data[[#This Row],[Employee Number]])</f>
        <v>1</v>
      </c>
      <c r="Q599" s="1" t="str">
        <f>IF(HR_Data[[#This Row],[Years At Company]]&lt;=HR_Data[[#This Row],[Total Working Years]],"Valid","error")</f>
        <v>Valid</v>
      </c>
      <c r="R599" s="1" t="str" cm="1">
        <f t="array" ref="R599">_xlfn.IFS(HR_Data[[#This Row],[Age]]&lt;=30,"Young", HR_Data[[#This Row],[Age]]&lt;=45,"Mid-Age",HR_Data[[#This Row],[Age]]&gt;45,"Senior")</f>
        <v>Mid-Age</v>
      </c>
      <c r="S599" s="1" t="str" cm="1">
        <f t="array" ref="S599">_xlfn.IFS(HR_Data[[#This Row],[Monthly Income]]&lt;5000,"Low", HR_Data[[#This Row],[Monthly Income]]&lt;10000,"Medium",TRUE,"High")</f>
        <v>Medium</v>
      </c>
      <c r="T599" s="1" t="str" cm="1">
        <f t="array" ref="T599">_xlfn.IFS(HR_Data[[#This Row],[Total Working Years]]&lt;=5,"Junior", HR_Data[[#This Row],[Total Working Years]]&lt;=15,"Mid-Level", TRUE, "Senior")</f>
        <v>Mid-Level</v>
      </c>
    </row>
    <row r="600" spans="1:20" x14ac:dyDescent="0.25">
      <c r="A600" s="1">
        <v>828</v>
      </c>
      <c r="B600" s="1">
        <v>28</v>
      </c>
      <c r="C600" t="s">
        <v>4</v>
      </c>
      <c r="D600" t="s">
        <v>10</v>
      </c>
      <c r="E600" t="s">
        <v>15</v>
      </c>
      <c r="F600" t="s">
        <v>11</v>
      </c>
      <c r="G600" t="s">
        <v>12</v>
      </c>
      <c r="H600" s="1">
        <v>3</v>
      </c>
      <c r="I600" s="1">
        <v>4382</v>
      </c>
      <c r="J600" t="s">
        <v>9</v>
      </c>
      <c r="K600" s="1">
        <v>17</v>
      </c>
      <c r="L600" s="1">
        <v>3</v>
      </c>
      <c r="M600" s="1">
        <v>5</v>
      </c>
      <c r="N600" s="1">
        <v>2</v>
      </c>
      <c r="O600" s="1">
        <v>2</v>
      </c>
      <c r="P600" s="1">
        <f>COUNTIF(HR_Data[Employee Number],HR_Data[[#This Row],[Employee Number]])</f>
        <v>1</v>
      </c>
      <c r="Q600" s="1" t="str">
        <f>IF(HR_Data[[#This Row],[Years At Company]]&lt;=HR_Data[[#This Row],[Total Working Years]],"Valid","error")</f>
        <v>Valid</v>
      </c>
      <c r="R600" s="1" t="str" cm="1">
        <f t="array" ref="R600">_xlfn.IFS(HR_Data[[#This Row],[Age]]&lt;=30,"Young", HR_Data[[#This Row],[Age]]&lt;=45,"Mid-Age",HR_Data[[#This Row],[Age]]&gt;45,"Senior")</f>
        <v>Young</v>
      </c>
      <c r="S600" s="1" t="str" cm="1">
        <f t="array" ref="S600">_xlfn.IFS(HR_Data[[#This Row],[Monthly Income]]&lt;5000,"Low", HR_Data[[#This Row],[Monthly Income]]&lt;10000,"Medium",TRUE,"High")</f>
        <v>Low</v>
      </c>
      <c r="T600" s="1" t="str" cm="1">
        <f t="array" ref="T600">_xlfn.IFS(HR_Data[[#This Row],[Total Working Years]]&lt;=5,"Junior", HR_Data[[#This Row],[Total Working Years]]&lt;=15,"Mid-Level", TRUE, "Senior")</f>
        <v>Junior</v>
      </c>
    </row>
    <row r="601" spans="1:20" x14ac:dyDescent="0.25">
      <c r="A601" s="1">
        <v>829</v>
      </c>
      <c r="B601" s="1">
        <v>36</v>
      </c>
      <c r="C601" t="s">
        <v>9</v>
      </c>
      <c r="D601" t="s">
        <v>23</v>
      </c>
      <c r="E601" t="s">
        <v>23</v>
      </c>
      <c r="F601" t="s">
        <v>11</v>
      </c>
      <c r="G601" t="s">
        <v>23</v>
      </c>
      <c r="H601" s="1">
        <v>2</v>
      </c>
      <c r="I601" s="1">
        <v>2143</v>
      </c>
      <c r="J601" t="s">
        <v>9</v>
      </c>
      <c r="K601" s="1">
        <v>13</v>
      </c>
      <c r="L601" s="1">
        <v>3</v>
      </c>
      <c r="M601" s="1">
        <v>8</v>
      </c>
      <c r="N601" s="1">
        <v>3</v>
      </c>
      <c r="O601" s="1">
        <v>5</v>
      </c>
      <c r="P601" s="1">
        <f>COUNTIF(HR_Data[Employee Number],HR_Data[[#This Row],[Employee Number]])</f>
        <v>1</v>
      </c>
      <c r="Q601" s="1" t="str">
        <f>IF(HR_Data[[#This Row],[Years At Company]]&lt;=HR_Data[[#This Row],[Total Working Years]],"Valid","error")</f>
        <v>Valid</v>
      </c>
      <c r="R601" s="1" t="str" cm="1">
        <f t="array" ref="R601">_xlfn.IFS(HR_Data[[#This Row],[Age]]&lt;=30,"Young", HR_Data[[#This Row],[Age]]&lt;=45,"Mid-Age",HR_Data[[#This Row],[Age]]&gt;45,"Senior")</f>
        <v>Mid-Age</v>
      </c>
      <c r="S601" s="1" t="str" cm="1">
        <f t="array" ref="S601">_xlfn.IFS(HR_Data[[#This Row],[Monthly Income]]&lt;5000,"Low", HR_Data[[#This Row],[Monthly Income]]&lt;10000,"Medium",TRUE,"High")</f>
        <v>Low</v>
      </c>
      <c r="T601" s="1" t="str" cm="1">
        <f t="array" ref="T601">_xlfn.IFS(HR_Data[[#This Row],[Total Working Years]]&lt;=5,"Junior", HR_Data[[#This Row],[Total Working Years]]&lt;=15,"Mid-Level", TRUE, "Senior")</f>
        <v>Mid-Level</v>
      </c>
    </row>
    <row r="602" spans="1:20" x14ac:dyDescent="0.25">
      <c r="A602" s="1">
        <v>830</v>
      </c>
      <c r="B602" s="1">
        <v>32</v>
      </c>
      <c r="C602" t="s">
        <v>9</v>
      </c>
      <c r="D602" t="s">
        <v>10</v>
      </c>
      <c r="E602" t="s">
        <v>6</v>
      </c>
      <c r="F602" t="s">
        <v>7</v>
      </c>
      <c r="G602" t="s">
        <v>16</v>
      </c>
      <c r="H602" s="1">
        <v>3</v>
      </c>
      <c r="I602" s="1">
        <v>6162</v>
      </c>
      <c r="J602" t="s">
        <v>9</v>
      </c>
      <c r="K602" s="1">
        <v>12</v>
      </c>
      <c r="L602" s="1">
        <v>3</v>
      </c>
      <c r="M602" s="1">
        <v>14</v>
      </c>
      <c r="N602" s="1">
        <v>3</v>
      </c>
      <c r="O602" s="1">
        <v>14</v>
      </c>
      <c r="P602" s="1">
        <f>COUNTIF(HR_Data[Employee Number],HR_Data[[#This Row],[Employee Number]])</f>
        <v>1</v>
      </c>
      <c r="Q602" s="1" t="str">
        <f>IF(HR_Data[[#This Row],[Years At Company]]&lt;=HR_Data[[#This Row],[Total Working Years]],"Valid","error")</f>
        <v>Valid</v>
      </c>
      <c r="R602" s="1" t="str" cm="1">
        <f t="array" ref="R602">_xlfn.IFS(HR_Data[[#This Row],[Age]]&lt;=30,"Young", HR_Data[[#This Row],[Age]]&lt;=45,"Mid-Age",HR_Data[[#This Row],[Age]]&gt;45,"Senior")</f>
        <v>Mid-Age</v>
      </c>
      <c r="S602" s="1" t="str" cm="1">
        <f t="array" ref="S602">_xlfn.IFS(HR_Data[[#This Row],[Monthly Income]]&lt;5000,"Low", HR_Data[[#This Row],[Monthly Income]]&lt;10000,"Medium",TRUE,"High")</f>
        <v>Medium</v>
      </c>
      <c r="T602" s="1" t="str" cm="1">
        <f t="array" ref="T602">_xlfn.IFS(HR_Data[[#This Row],[Total Working Years]]&lt;=5,"Junior", HR_Data[[#This Row],[Total Working Years]]&lt;=15,"Mid-Level", TRUE, "Senior")</f>
        <v>Mid-Level</v>
      </c>
    </row>
    <row r="603" spans="1:20" x14ac:dyDescent="0.25">
      <c r="A603" s="1">
        <v>832</v>
      </c>
      <c r="B603" s="1">
        <v>40</v>
      </c>
      <c r="C603" t="s">
        <v>9</v>
      </c>
      <c r="D603" t="s">
        <v>10</v>
      </c>
      <c r="E603" t="s">
        <v>15</v>
      </c>
      <c r="F603" t="s">
        <v>11</v>
      </c>
      <c r="G603" t="s">
        <v>14</v>
      </c>
      <c r="H603" s="1">
        <v>3</v>
      </c>
      <c r="I603" s="1">
        <v>5094</v>
      </c>
      <c r="J603" t="s">
        <v>9</v>
      </c>
      <c r="K603" s="1">
        <v>14</v>
      </c>
      <c r="L603" s="1">
        <v>3</v>
      </c>
      <c r="M603" s="1">
        <v>10</v>
      </c>
      <c r="N603" s="1">
        <v>3</v>
      </c>
      <c r="O603" s="1">
        <v>1</v>
      </c>
      <c r="P603" s="1">
        <f>COUNTIF(HR_Data[Employee Number],HR_Data[[#This Row],[Employee Number]])</f>
        <v>1</v>
      </c>
      <c r="Q603" s="1" t="str">
        <f>IF(HR_Data[[#This Row],[Years At Company]]&lt;=HR_Data[[#This Row],[Total Working Years]],"Valid","error")</f>
        <v>Valid</v>
      </c>
      <c r="R603" s="1" t="str" cm="1">
        <f t="array" ref="R603">_xlfn.IFS(HR_Data[[#This Row],[Age]]&lt;=30,"Young", HR_Data[[#This Row],[Age]]&lt;=45,"Mid-Age",HR_Data[[#This Row],[Age]]&gt;45,"Senior")</f>
        <v>Mid-Age</v>
      </c>
      <c r="S603" s="1" t="str" cm="1">
        <f t="array" ref="S603">_xlfn.IFS(HR_Data[[#This Row],[Monthly Income]]&lt;5000,"Low", HR_Data[[#This Row],[Monthly Income]]&lt;10000,"Medium",TRUE,"High")</f>
        <v>Medium</v>
      </c>
      <c r="T603" s="1" t="str" cm="1">
        <f t="array" ref="T603">_xlfn.IFS(HR_Data[[#This Row],[Total Working Years]]&lt;=5,"Junior", HR_Data[[#This Row],[Total Working Years]]&lt;=15,"Mid-Level", TRUE, "Senior")</f>
        <v>Mid-Level</v>
      </c>
    </row>
    <row r="604" spans="1:20" x14ac:dyDescent="0.25">
      <c r="A604" s="1">
        <v>833</v>
      </c>
      <c r="B604" s="1">
        <v>30</v>
      </c>
      <c r="C604" t="s">
        <v>9</v>
      </c>
      <c r="D604" t="s">
        <v>10</v>
      </c>
      <c r="E604" t="s">
        <v>15</v>
      </c>
      <c r="F604" t="s">
        <v>7</v>
      </c>
      <c r="G604" t="s">
        <v>16</v>
      </c>
      <c r="H604" s="1">
        <v>4</v>
      </c>
      <c r="I604" s="1">
        <v>6877</v>
      </c>
      <c r="J604" t="s">
        <v>4</v>
      </c>
      <c r="K604" s="1">
        <v>24</v>
      </c>
      <c r="L604" s="1">
        <v>4</v>
      </c>
      <c r="M604" s="1">
        <v>12</v>
      </c>
      <c r="N604" s="1">
        <v>2</v>
      </c>
      <c r="O604" s="1">
        <v>0</v>
      </c>
      <c r="P604" s="1">
        <f>COUNTIF(HR_Data[Employee Number],HR_Data[[#This Row],[Employee Number]])</f>
        <v>1</v>
      </c>
      <c r="Q604" s="1" t="str">
        <f>IF(HR_Data[[#This Row],[Years At Company]]&lt;=HR_Data[[#This Row],[Total Working Years]],"Valid","error")</f>
        <v>Valid</v>
      </c>
      <c r="R604" s="1" t="str" cm="1">
        <f t="array" ref="R604">_xlfn.IFS(HR_Data[[#This Row],[Age]]&lt;=30,"Young", HR_Data[[#This Row],[Age]]&lt;=45,"Mid-Age",HR_Data[[#This Row],[Age]]&gt;45,"Senior")</f>
        <v>Young</v>
      </c>
      <c r="S604" s="1" t="str" cm="1">
        <f t="array" ref="S604">_xlfn.IFS(HR_Data[[#This Row],[Monthly Income]]&lt;5000,"Low", HR_Data[[#This Row],[Monthly Income]]&lt;10000,"Medium",TRUE,"High")</f>
        <v>Medium</v>
      </c>
      <c r="T604" s="1" t="str" cm="1">
        <f t="array" ref="T604">_xlfn.IFS(HR_Data[[#This Row],[Total Working Years]]&lt;=5,"Junior", HR_Data[[#This Row],[Total Working Years]]&lt;=15,"Mid-Level", TRUE, "Senior")</f>
        <v>Mid-Level</v>
      </c>
    </row>
    <row r="605" spans="1:20" x14ac:dyDescent="0.25">
      <c r="A605" s="1">
        <v>834</v>
      </c>
      <c r="B605" s="1">
        <v>45</v>
      </c>
      <c r="C605" t="s">
        <v>9</v>
      </c>
      <c r="D605" t="s">
        <v>10</v>
      </c>
      <c r="E605" t="s">
        <v>6</v>
      </c>
      <c r="F605" t="s">
        <v>7</v>
      </c>
      <c r="G605" t="s">
        <v>12</v>
      </c>
      <c r="H605" s="1">
        <v>3</v>
      </c>
      <c r="I605" s="1">
        <v>2274</v>
      </c>
      <c r="J605" t="s">
        <v>9</v>
      </c>
      <c r="K605" s="1">
        <v>14</v>
      </c>
      <c r="L605" s="1">
        <v>3</v>
      </c>
      <c r="M605" s="1">
        <v>1</v>
      </c>
      <c r="N605" s="1">
        <v>3</v>
      </c>
      <c r="O605" s="1">
        <v>1</v>
      </c>
      <c r="P605" s="1">
        <f>COUNTIF(HR_Data[Employee Number],HR_Data[[#This Row],[Employee Number]])</f>
        <v>1</v>
      </c>
      <c r="Q605" s="1" t="str">
        <f>IF(HR_Data[[#This Row],[Years At Company]]&lt;=HR_Data[[#This Row],[Total Working Years]],"Valid","error")</f>
        <v>Valid</v>
      </c>
      <c r="R605" s="1" t="str" cm="1">
        <f t="array" ref="R605">_xlfn.IFS(HR_Data[[#This Row],[Age]]&lt;=30,"Young", HR_Data[[#This Row],[Age]]&lt;=45,"Mid-Age",HR_Data[[#This Row],[Age]]&gt;45,"Senior")</f>
        <v>Mid-Age</v>
      </c>
      <c r="S605" s="1" t="str" cm="1">
        <f t="array" ref="S605">_xlfn.IFS(HR_Data[[#This Row],[Monthly Income]]&lt;5000,"Low", HR_Data[[#This Row],[Monthly Income]]&lt;10000,"Medium",TRUE,"High")</f>
        <v>Low</v>
      </c>
      <c r="T605" s="1" t="str" cm="1">
        <f t="array" ref="T605">_xlfn.IFS(HR_Data[[#This Row],[Total Working Years]]&lt;=5,"Junior", HR_Data[[#This Row],[Total Working Years]]&lt;=15,"Mid-Level", TRUE, "Senior")</f>
        <v>Junior</v>
      </c>
    </row>
    <row r="606" spans="1:20" x14ac:dyDescent="0.25">
      <c r="A606" s="1">
        <v>836</v>
      </c>
      <c r="B606" s="1">
        <v>42</v>
      </c>
      <c r="C606" t="s">
        <v>9</v>
      </c>
      <c r="D606" t="s">
        <v>10</v>
      </c>
      <c r="E606" t="s">
        <v>6</v>
      </c>
      <c r="F606" t="s">
        <v>11</v>
      </c>
      <c r="G606" t="s">
        <v>16</v>
      </c>
      <c r="H606" s="1">
        <v>2</v>
      </c>
      <c r="I606" s="1">
        <v>4434</v>
      </c>
      <c r="J606" t="s">
        <v>9</v>
      </c>
      <c r="K606" s="1">
        <v>13</v>
      </c>
      <c r="L606" s="1">
        <v>3</v>
      </c>
      <c r="M606" s="1">
        <v>10</v>
      </c>
      <c r="N606" s="1">
        <v>2</v>
      </c>
      <c r="O606" s="1">
        <v>9</v>
      </c>
      <c r="P606" s="1">
        <f>COUNTIF(HR_Data[Employee Number],HR_Data[[#This Row],[Employee Number]])</f>
        <v>1</v>
      </c>
      <c r="Q606" s="1" t="str">
        <f>IF(HR_Data[[#This Row],[Years At Company]]&lt;=HR_Data[[#This Row],[Total Working Years]],"Valid","error")</f>
        <v>Valid</v>
      </c>
      <c r="R606" s="1" t="str" cm="1">
        <f t="array" ref="R606">_xlfn.IFS(HR_Data[[#This Row],[Age]]&lt;=30,"Young", HR_Data[[#This Row],[Age]]&lt;=45,"Mid-Age",HR_Data[[#This Row],[Age]]&gt;45,"Senior")</f>
        <v>Mid-Age</v>
      </c>
      <c r="S606" s="1" t="str" cm="1">
        <f t="array" ref="S606">_xlfn.IFS(HR_Data[[#This Row],[Monthly Income]]&lt;5000,"Low", HR_Data[[#This Row],[Monthly Income]]&lt;10000,"Medium",TRUE,"High")</f>
        <v>Low</v>
      </c>
      <c r="T606" s="1" t="str" cm="1">
        <f t="array" ref="T606">_xlfn.IFS(HR_Data[[#This Row],[Total Working Years]]&lt;=5,"Junior", HR_Data[[#This Row],[Total Working Years]]&lt;=15,"Mid-Level", TRUE, "Senior")</f>
        <v>Mid-Level</v>
      </c>
    </row>
    <row r="607" spans="1:20" x14ac:dyDescent="0.25">
      <c r="A607" s="1">
        <v>837</v>
      </c>
      <c r="B607" s="1">
        <v>38</v>
      </c>
      <c r="C607" t="s">
        <v>9</v>
      </c>
      <c r="D607" t="s">
        <v>10</v>
      </c>
      <c r="E607" t="s">
        <v>6</v>
      </c>
      <c r="F607" t="s">
        <v>11</v>
      </c>
      <c r="G607" t="s">
        <v>17</v>
      </c>
      <c r="H607" s="1">
        <v>1</v>
      </c>
      <c r="I607" s="1">
        <v>6288</v>
      </c>
      <c r="J607" t="s">
        <v>9</v>
      </c>
      <c r="K607" s="1">
        <v>15</v>
      </c>
      <c r="L607" s="1">
        <v>3</v>
      </c>
      <c r="M607" s="1">
        <v>13</v>
      </c>
      <c r="N607" s="1">
        <v>2</v>
      </c>
      <c r="O607" s="1">
        <v>4</v>
      </c>
      <c r="P607" s="1">
        <f>COUNTIF(HR_Data[Employee Number],HR_Data[[#This Row],[Employee Number]])</f>
        <v>1</v>
      </c>
      <c r="Q607" s="1" t="str">
        <f>IF(HR_Data[[#This Row],[Years At Company]]&lt;=HR_Data[[#This Row],[Total Working Years]],"Valid","error")</f>
        <v>Valid</v>
      </c>
      <c r="R607" s="1" t="str" cm="1">
        <f t="array" ref="R607">_xlfn.IFS(HR_Data[[#This Row],[Age]]&lt;=30,"Young", HR_Data[[#This Row],[Age]]&lt;=45,"Mid-Age",HR_Data[[#This Row],[Age]]&gt;45,"Senior")</f>
        <v>Mid-Age</v>
      </c>
      <c r="S607" s="1" t="str" cm="1">
        <f t="array" ref="S607">_xlfn.IFS(HR_Data[[#This Row],[Monthly Income]]&lt;5000,"Low", HR_Data[[#This Row],[Monthly Income]]&lt;10000,"Medium",TRUE,"High")</f>
        <v>Medium</v>
      </c>
      <c r="T607" s="1" t="str" cm="1">
        <f t="array" ref="T607">_xlfn.IFS(HR_Data[[#This Row],[Total Working Years]]&lt;=5,"Junior", HR_Data[[#This Row],[Total Working Years]]&lt;=15,"Mid-Level", TRUE, "Senior")</f>
        <v>Mid-Level</v>
      </c>
    </row>
    <row r="608" spans="1:20" x14ac:dyDescent="0.25">
      <c r="A608" s="1">
        <v>838</v>
      </c>
      <c r="B608" s="1">
        <v>34</v>
      </c>
      <c r="C608" t="s">
        <v>9</v>
      </c>
      <c r="D608" t="s">
        <v>10</v>
      </c>
      <c r="E608" t="s">
        <v>6</v>
      </c>
      <c r="F608" t="s">
        <v>7</v>
      </c>
      <c r="G608" t="s">
        <v>12</v>
      </c>
      <c r="H608" s="1">
        <v>4</v>
      </c>
      <c r="I608" s="1">
        <v>2553</v>
      </c>
      <c r="J608" t="s">
        <v>9</v>
      </c>
      <c r="K608" s="1">
        <v>16</v>
      </c>
      <c r="L608" s="1">
        <v>3</v>
      </c>
      <c r="M608" s="1">
        <v>6</v>
      </c>
      <c r="N608" s="1">
        <v>3</v>
      </c>
      <c r="O608" s="1">
        <v>5</v>
      </c>
      <c r="P608" s="1">
        <f>COUNTIF(HR_Data[Employee Number],HR_Data[[#This Row],[Employee Number]])</f>
        <v>1</v>
      </c>
      <c r="Q608" s="1" t="str">
        <f>IF(HR_Data[[#This Row],[Years At Company]]&lt;=HR_Data[[#This Row],[Total Working Years]],"Valid","error")</f>
        <v>Valid</v>
      </c>
      <c r="R608" s="1" t="str" cm="1">
        <f t="array" ref="R608">_xlfn.IFS(HR_Data[[#This Row],[Age]]&lt;=30,"Young", HR_Data[[#This Row],[Age]]&lt;=45,"Mid-Age",HR_Data[[#This Row],[Age]]&gt;45,"Senior")</f>
        <v>Mid-Age</v>
      </c>
      <c r="S608" s="1" t="str" cm="1">
        <f t="array" ref="S608">_xlfn.IFS(HR_Data[[#This Row],[Monthly Income]]&lt;5000,"Low", HR_Data[[#This Row],[Monthly Income]]&lt;10000,"Medium",TRUE,"High")</f>
        <v>Low</v>
      </c>
      <c r="T608" s="1" t="str" cm="1">
        <f t="array" ref="T608">_xlfn.IFS(HR_Data[[#This Row],[Total Working Years]]&lt;=5,"Junior", HR_Data[[#This Row],[Total Working Years]]&lt;=15,"Mid-Level", TRUE, "Senior")</f>
        <v>Mid-Level</v>
      </c>
    </row>
    <row r="609" spans="1:20" x14ac:dyDescent="0.25">
      <c r="A609" s="1">
        <v>840</v>
      </c>
      <c r="B609" s="1">
        <v>49</v>
      </c>
      <c r="C609" t="s">
        <v>4</v>
      </c>
      <c r="D609" t="s">
        <v>5</v>
      </c>
      <c r="E609" t="s">
        <v>21</v>
      </c>
      <c r="F609" t="s">
        <v>7</v>
      </c>
      <c r="G609" t="s">
        <v>8</v>
      </c>
      <c r="H609" s="1">
        <v>4</v>
      </c>
      <c r="I609" s="1">
        <v>7654</v>
      </c>
      <c r="J609" t="s">
        <v>9</v>
      </c>
      <c r="K609" s="1">
        <v>18</v>
      </c>
      <c r="L609" s="1">
        <v>3</v>
      </c>
      <c r="M609" s="1">
        <v>9</v>
      </c>
      <c r="N609" s="1">
        <v>4</v>
      </c>
      <c r="O609" s="1">
        <v>9</v>
      </c>
      <c r="P609" s="1">
        <f>COUNTIF(HR_Data[Employee Number],HR_Data[[#This Row],[Employee Number]])</f>
        <v>1</v>
      </c>
      <c r="Q609" s="1" t="str">
        <f>IF(HR_Data[[#This Row],[Years At Company]]&lt;=HR_Data[[#This Row],[Total Working Years]],"Valid","error")</f>
        <v>Valid</v>
      </c>
      <c r="R609" s="1" t="str" cm="1">
        <f t="array" ref="R609">_xlfn.IFS(HR_Data[[#This Row],[Age]]&lt;=30,"Young", HR_Data[[#This Row],[Age]]&lt;=45,"Mid-Age",HR_Data[[#This Row],[Age]]&gt;45,"Senior")</f>
        <v>Senior</v>
      </c>
      <c r="S609" s="1" t="str" cm="1">
        <f t="array" ref="S609">_xlfn.IFS(HR_Data[[#This Row],[Monthly Income]]&lt;5000,"Low", HR_Data[[#This Row],[Monthly Income]]&lt;10000,"Medium",TRUE,"High")</f>
        <v>Medium</v>
      </c>
      <c r="T609" s="1" t="str" cm="1">
        <f t="array" ref="T609">_xlfn.IFS(HR_Data[[#This Row],[Total Working Years]]&lt;=5,"Junior", HR_Data[[#This Row],[Total Working Years]]&lt;=15,"Mid-Level", TRUE, "Senior")</f>
        <v>Mid-Level</v>
      </c>
    </row>
    <row r="610" spans="1:20" x14ac:dyDescent="0.25">
      <c r="A610" s="1">
        <v>842</v>
      </c>
      <c r="B610" s="1">
        <v>55</v>
      </c>
      <c r="C610" t="s">
        <v>4</v>
      </c>
      <c r="D610" t="s">
        <v>5</v>
      </c>
      <c r="E610" t="s">
        <v>15</v>
      </c>
      <c r="F610" t="s">
        <v>11</v>
      </c>
      <c r="G610" t="s">
        <v>8</v>
      </c>
      <c r="H610" s="1">
        <v>4</v>
      </c>
      <c r="I610" s="1">
        <v>5160</v>
      </c>
      <c r="J610" t="s">
        <v>9</v>
      </c>
      <c r="K610" s="1">
        <v>16</v>
      </c>
      <c r="L610" s="1">
        <v>3</v>
      </c>
      <c r="M610" s="1">
        <v>12</v>
      </c>
      <c r="N610" s="1">
        <v>2</v>
      </c>
      <c r="O610" s="1">
        <v>9</v>
      </c>
      <c r="P610" s="1">
        <f>COUNTIF(HR_Data[Employee Number],HR_Data[[#This Row],[Employee Number]])</f>
        <v>1</v>
      </c>
      <c r="Q610" s="1" t="str">
        <f>IF(HR_Data[[#This Row],[Years At Company]]&lt;=HR_Data[[#This Row],[Total Working Years]],"Valid","error")</f>
        <v>Valid</v>
      </c>
      <c r="R610" s="1" t="str" cm="1">
        <f t="array" ref="R610">_xlfn.IFS(HR_Data[[#This Row],[Age]]&lt;=30,"Young", HR_Data[[#This Row],[Age]]&lt;=45,"Mid-Age",HR_Data[[#This Row],[Age]]&gt;45,"Senior")</f>
        <v>Senior</v>
      </c>
      <c r="S610" s="1" t="str" cm="1">
        <f t="array" ref="S610">_xlfn.IFS(HR_Data[[#This Row],[Monthly Income]]&lt;5000,"Low", HR_Data[[#This Row],[Monthly Income]]&lt;10000,"Medium",TRUE,"High")</f>
        <v>Medium</v>
      </c>
      <c r="T610" s="1" t="str" cm="1">
        <f t="array" ref="T610">_xlfn.IFS(HR_Data[[#This Row],[Total Working Years]]&lt;=5,"Junior", HR_Data[[#This Row],[Total Working Years]]&lt;=15,"Mid-Level", TRUE, "Senior")</f>
        <v>Mid-Level</v>
      </c>
    </row>
    <row r="611" spans="1:20" x14ac:dyDescent="0.25">
      <c r="A611" s="1">
        <v>843</v>
      </c>
      <c r="B611" s="1">
        <v>43</v>
      </c>
      <c r="C611" t="s">
        <v>9</v>
      </c>
      <c r="D611" t="s">
        <v>10</v>
      </c>
      <c r="E611" t="s">
        <v>6</v>
      </c>
      <c r="F611" t="s">
        <v>11</v>
      </c>
      <c r="G611" t="s">
        <v>20</v>
      </c>
      <c r="H611" s="1">
        <v>1</v>
      </c>
      <c r="I611" s="1">
        <v>17159</v>
      </c>
      <c r="J611" t="s">
        <v>9</v>
      </c>
      <c r="K611" s="1">
        <v>24</v>
      </c>
      <c r="L611" s="1">
        <v>4</v>
      </c>
      <c r="M611" s="1">
        <v>22</v>
      </c>
      <c r="N611" s="1">
        <v>3</v>
      </c>
      <c r="O611" s="1">
        <v>4</v>
      </c>
      <c r="P611" s="1">
        <f>COUNTIF(HR_Data[Employee Number],HR_Data[[#This Row],[Employee Number]])</f>
        <v>1</v>
      </c>
      <c r="Q611" s="1" t="str">
        <f>IF(HR_Data[[#This Row],[Years At Company]]&lt;=HR_Data[[#This Row],[Total Working Years]],"Valid","error")</f>
        <v>Valid</v>
      </c>
      <c r="R611" s="1" t="str" cm="1">
        <f t="array" ref="R611">_xlfn.IFS(HR_Data[[#This Row],[Age]]&lt;=30,"Young", HR_Data[[#This Row],[Age]]&lt;=45,"Mid-Age",HR_Data[[#This Row],[Age]]&gt;45,"Senior")</f>
        <v>Mid-Age</v>
      </c>
      <c r="S611" s="1" t="str" cm="1">
        <f t="array" ref="S611">_xlfn.IFS(HR_Data[[#This Row],[Monthly Income]]&lt;5000,"Low", HR_Data[[#This Row],[Monthly Income]]&lt;10000,"Medium",TRUE,"High")</f>
        <v>High</v>
      </c>
      <c r="T611" s="1" t="str" cm="1">
        <f t="array" ref="T611">_xlfn.IFS(HR_Data[[#This Row],[Total Working Years]]&lt;=5,"Junior", HR_Data[[#This Row],[Total Working Years]]&lt;=15,"Mid-Level", TRUE, "Senior")</f>
        <v>Senior</v>
      </c>
    </row>
    <row r="612" spans="1:20" x14ac:dyDescent="0.25">
      <c r="A612" s="1">
        <v>844</v>
      </c>
      <c r="B612" s="1">
        <v>27</v>
      </c>
      <c r="C612" t="s">
        <v>9</v>
      </c>
      <c r="D612" t="s">
        <v>10</v>
      </c>
      <c r="E612" t="s">
        <v>22</v>
      </c>
      <c r="F612" t="s">
        <v>11</v>
      </c>
      <c r="G612" t="s">
        <v>20</v>
      </c>
      <c r="H612" s="1">
        <v>4</v>
      </c>
      <c r="I612" s="1">
        <v>12808</v>
      </c>
      <c r="J612" t="s">
        <v>4</v>
      </c>
      <c r="K612" s="1">
        <v>16</v>
      </c>
      <c r="L612" s="1">
        <v>3</v>
      </c>
      <c r="M612" s="1">
        <v>9</v>
      </c>
      <c r="N612" s="1">
        <v>3</v>
      </c>
      <c r="O612" s="1">
        <v>9</v>
      </c>
      <c r="P612" s="1">
        <f>COUNTIF(HR_Data[Employee Number],HR_Data[[#This Row],[Employee Number]])</f>
        <v>1</v>
      </c>
      <c r="Q612" s="1" t="str">
        <f>IF(HR_Data[[#This Row],[Years At Company]]&lt;=HR_Data[[#This Row],[Total Working Years]],"Valid","error")</f>
        <v>Valid</v>
      </c>
      <c r="R612" s="1" t="str" cm="1">
        <f t="array" ref="R612">_xlfn.IFS(HR_Data[[#This Row],[Age]]&lt;=30,"Young", HR_Data[[#This Row],[Age]]&lt;=45,"Mid-Age",HR_Data[[#This Row],[Age]]&gt;45,"Senior")</f>
        <v>Young</v>
      </c>
      <c r="S612" s="1" t="str" cm="1">
        <f t="array" ref="S612">_xlfn.IFS(HR_Data[[#This Row],[Monthly Income]]&lt;5000,"Low", HR_Data[[#This Row],[Monthly Income]]&lt;10000,"Medium",TRUE,"High")</f>
        <v>High</v>
      </c>
      <c r="T612" s="1" t="str" cm="1">
        <f t="array" ref="T612">_xlfn.IFS(HR_Data[[#This Row],[Total Working Years]]&lt;=5,"Junior", HR_Data[[#This Row],[Total Working Years]]&lt;=15,"Mid-Level", TRUE, "Senior")</f>
        <v>Mid-Level</v>
      </c>
    </row>
    <row r="613" spans="1:20" x14ac:dyDescent="0.25">
      <c r="A613" s="1">
        <v>845</v>
      </c>
      <c r="B613" s="1">
        <v>35</v>
      </c>
      <c r="C613" t="s">
        <v>9</v>
      </c>
      <c r="D613" t="s">
        <v>10</v>
      </c>
      <c r="E613" t="s">
        <v>13</v>
      </c>
      <c r="F613" t="s">
        <v>11</v>
      </c>
      <c r="G613" t="s">
        <v>16</v>
      </c>
      <c r="H613" s="1">
        <v>3</v>
      </c>
      <c r="I613" s="1">
        <v>10221</v>
      </c>
      <c r="J613" t="s">
        <v>9</v>
      </c>
      <c r="K613" s="1">
        <v>21</v>
      </c>
      <c r="L613" s="1">
        <v>4</v>
      </c>
      <c r="M613" s="1">
        <v>17</v>
      </c>
      <c r="N613" s="1">
        <v>4</v>
      </c>
      <c r="O613" s="1">
        <v>8</v>
      </c>
      <c r="P613" s="1">
        <f>COUNTIF(HR_Data[Employee Number],HR_Data[[#This Row],[Employee Number]])</f>
        <v>1</v>
      </c>
      <c r="Q613" s="1" t="str">
        <f>IF(HR_Data[[#This Row],[Years At Company]]&lt;=HR_Data[[#This Row],[Total Working Years]],"Valid","error")</f>
        <v>Valid</v>
      </c>
      <c r="R613" s="1" t="str" cm="1">
        <f t="array" ref="R613">_xlfn.IFS(HR_Data[[#This Row],[Age]]&lt;=30,"Young", HR_Data[[#This Row],[Age]]&lt;=45,"Mid-Age",HR_Data[[#This Row],[Age]]&gt;45,"Senior")</f>
        <v>Mid-Age</v>
      </c>
      <c r="S613" s="1" t="str" cm="1">
        <f t="array" ref="S613">_xlfn.IFS(HR_Data[[#This Row],[Monthly Income]]&lt;5000,"Low", HR_Data[[#This Row],[Monthly Income]]&lt;10000,"Medium",TRUE,"High")</f>
        <v>High</v>
      </c>
      <c r="T613" s="1" t="str" cm="1">
        <f t="array" ref="T613">_xlfn.IFS(HR_Data[[#This Row],[Total Working Years]]&lt;=5,"Junior", HR_Data[[#This Row],[Total Working Years]]&lt;=15,"Mid-Level", TRUE, "Senior")</f>
        <v>Senior</v>
      </c>
    </row>
    <row r="614" spans="1:20" x14ac:dyDescent="0.25">
      <c r="A614" s="1">
        <v>846</v>
      </c>
      <c r="B614" s="1">
        <v>28</v>
      </c>
      <c r="C614" t="s">
        <v>9</v>
      </c>
      <c r="D614" t="s">
        <v>5</v>
      </c>
      <c r="E614" t="s">
        <v>21</v>
      </c>
      <c r="F614" t="s">
        <v>7</v>
      </c>
      <c r="G614" t="s">
        <v>8</v>
      </c>
      <c r="H614" s="1">
        <v>2</v>
      </c>
      <c r="I614" s="1">
        <v>4779</v>
      </c>
      <c r="J614" t="s">
        <v>4</v>
      </c>
      <c r="K614" s="1">
        <v>20</v>
      </c>
      <c r="L614" s="1">
        <v>4</v>
      </c>
      <c r="M614" s="1">
        <v>8</v>
      </c>
      <c r="N614" s="1">
        <v>3</v>
      </c>
      <c r="O614" s="1">
        <v>8</v>
      </c>
      <c r="P614" s="1">
        <f>COUNTIF(HR_Data[Employee Number],HR_Data[[#This Row],[Employee Number]])</f>
        <v>1</v>
      </c>
      <c r="Q614" s="1" t="str">
        <f>IF(HR_Data[[#This Row],[Years At Company]]&lt;=HR_Data[[#This Row],[Total Working Years]],"Valid","error")</f>
        <v>Valid</v>
      </c>
      <c r="R614" s="1" t="str" cm="1">
        <f t="array" ref="R614">_xlfn.IFS(HR_Data[[#This Row],[Age]]&lt;=30,"Young", HR_Data[[#This Row],[Age]]&lt;=45,"Mid-Age",HR_Data[[#This Row],[Age]]&gt;45,"Senior")</f>
        <v>Young</v>
      </c>
      <c r="S614" s="1" t="str" cm="1">
        <f t="array" ref="S614">_xlfn.IFS(HR_Data[[#This Row],[Monthly Income]]&lt;5000,"Low", HR_Data[[#This Row],[Monthly Income]]&lt;10000,"Medium",TRUE,"High")</f>
        <v>Low</v>
      </c>
      <c r="T614" s="1" t="str" cm="1">
        <f t="array" ref="T614">_xlfn.IFS(HR_Data[[#This Row],[Total Working Years]]&lt;=5,"Junior", HR_Data[[#This Row],[Total Working Years]]&lt;=15,"Mid-Level", TRUE, "Senior")</f>
        <v>Mid-Level</v>
      </c>
    </row>
    <row r="615" spans="1:20" x14ac:dyDescent="0.25">
      <c r="A615" s="1">
        <v>847</v>
      </c>
      <c r="B615" s="1">
        <v>34</v>
      </c>
      <c r="C615" t="s">
        <v>9</v>
      </c>
      <c r="D615" t="s">
        <v>23</v>
      </c>
      <c r="E615" t="s">
        <v>23</v>
      </c>
      <c r="F615" t="s">
        <v>11</v>
      </c>
      <c r="G615" t="s">
        <v>23</v>
      </c>
      <c r="H615" s="1">
        <v>4</v>
      </c>
      <c r="I615" s="1">
        <v>3737</v>
      </c>
      <c r="J615" t="s">
        <v>9</v>
      </c>
      <c r="K615" s="1">
        <v>19</v>
      </c>
      <c r="L615" s="1">
        <v>3</v>
      </c>
      <c r="M615" s="1">
        <v>4</v>
      </c>
      <c r="N615" s="1">
        <v>1</v>
      </c>
      <c r="O615" s="1">
        <v>3</v>
      </c>
      <c r="P615" s="1">
        <f>COUNTIF(HR_Data[Employee Number],HR_Data[[#This Row],[Employee Number]])</f>
        <v>1</v>
      </c>
      <c r="Q615" s="1" t="str">
        <f>IF(HR_Data[[#This Row],[Years At Company]]&lt;=HR_Data[[#This Row],[Total Working Years]],"Valid","error")</f>
        <v>Valid</v>
      </c>
      <c r="R615" s="1" t="str" cm="1">
        <f t="array" ref="R615">_xlfn.IFS(HR_Data[[#This Row],[Age]]&lt;=30,"Young", HR_Data[[#This Row],[Age]]&lt;=45,"Mid-Age",HR_Data[[#This Row],[Age]]&gt;45,"Senior")</f>
        <v>Mid-Age</v>
      </c>
      <c r="S615" s="1" t="str" cm="1">
        <f t="array" ref="S615">_xlfn.IFS(HR_Data[[#This Row],[Monthly Income]]&lt;5000,"Low", HR_Data[[#This Row],[Monthly Income]]&lt;10000,"Medium",TRUE,"High")</f>
        <v>Low</v>
      </c>
      <c r="T615" s="1" t="str" cm="1">
        <f t="array" ref="T615">_xlfn.IFS(HR_Data[[#This Row],[Total Working Years]]&lt;=5,"Junior", HR_Data[[#This Row],[Total Working Years]]&lt;=15,"Mid-Level", TRUE, "Senior")</f>
        <v>Junior</v>
      </c>
    </row>
    <row r="616" spans="1:20" x14ac:dyDescent="0.25">
      <c r="A616" s="1">
        <v>848</v>
      </c>
      <c r="B616" s="1">
        <v>26</v>
      </c>
      <c r="C616" t="s">
        <v>4</v>
      </c>
      <c r="D616" t="s">
        <v>10</v>
      </c>
      <c r="E616" t="s">
        <v>15</v>
      </c>
      <c r="F616" t="s">
        <v>7</v>
      </c>
      <c r="G616" t="s">
        <v>12</v>
      </c>
      <c r="H616" s="1">
        <v>3</v>
      </c>
      <c r="I616" s="1">
        <v>2366</v>
      </c>
      <c r="J616" t="s">
        <v>4</v>
      </c>
      <c r="K616" s="1">
        <v>14</v>
      </c>
      <c r="L616" s="1">
        <v>3</v>
      </c>
      <c r="M616" s="1">
        <v>8</v>
      </c>
      <c r="N616" s="1">
        <v>3</v>
      </c>
      <c r="O616" s="1">
        <v>8</v>
      </c>
      <c r="P616" s="1">
        <f>COUNTIF(HR_Data[Employee Number],HR_Data[[#This Row],[Employee Number]])</f>
        <v>1</v>
      </c>
      <c r="Q616" s="1" t="str">
        <f>IF(HR_Data[[#This Row],[Years At Company]]&lt;=HR_Data[[#This Row],[Total Working Years]],"Valid","error")</f>
        <v>Valid</v>
      </c>
      <c r="R616" s="1" t="str" cm="1">
        <f t="array" ref="R616">_xlfn.IFS(HR_Data[[#This Row],[Age]]&lt;=30,"Young", HR_Data[[#This Row],[Age]]&lt;=45,"Mid-Age",HR_Data[[#This Row],[Age]]&gt;45,"Senior")</f>
        <v>Young</v>
      </c>
      <c r="S616" s="1" t="str" cm="1">
        <f t="array" ref="S616">_xlfn.IFS(HR_Data[[#This Row],[Monthly Income]]&lt;5000,"Low", HR_Data[[#This Row],[Monthly Income]]&lt;10000,"Medium",TRUE,"High")</f>
        <v>Low</v>
      </c>
      <c r="T616" s="1" t="str" cm="1">
        <f t="array" ref="T616">_xlfn.IFS(HR_Data[[#This Row],[Total Working Years]]&lt;=5,"Junior", HR_Data[[#This Row],[Total Working Years]]&lt;=15,"Mid-Level", TRUE, "Senior")</f>
        <v>Mid-Level</v>
      </c>
    </row>
    <row r="617" spans="1:20" x14ac:dyDescent="0.25">
      <c r="A617" s="1">
        <v>850</v>
      </c>
      <c r="B617" s="1">
        <v>27</v>
      </c>
      <c r="C617" t="s">
        <v>9</v>
      </c>
      <c r="D617" t="s">
        <v>10</v>
      </c>
      <c r="E617" t="s">
        <v>15</v>
      </c>
      <c r="F617" t="s">
        <v>11</v>
      </c>
      <c r="G617" t="s">
        <v>12</v>
      </c>
      <c r="H617" s="1">
        <v>4</v>
      </c>
      <c r="I617" s="1">
        <v>1706</v>
      </c>
      <c r="J617" t="s">
        <v>9</v>
      </c>
      <c r="K617" s="1">
        <v>11</v>
      </c>
      <c r="L617" s="1">
        <v>3</v>
      </c>
      <c r="M617" s="1">
        <v>0</v>
      </c>
      <c r="N617" s="1">
        <v>2</v>
      </c>
      <c r="O617" s="1">
        <v>0</v>
      </c>
      <c r="P617" s="1">
        <f>COUNTIF(HR_Data[Employee Number],HR_Data[[#This Row],[Employee Number]])</f>
        <v>1</v>
      </c>
      <c r="Q617" s="1" t="str">
        <f>IF(HR_Data[[#This Row],[Years At Company]]&lt;=HR_Data[[#This Row],[Total Working Years]],"Valid","error")</f>
        <v>Valid</v>
      </c>
      <c r="R617" s="1" t="str" cm="1">
        <f t="array" ref="R617">_xlfn.IFS(HR_Data[[#This Row],[Age]]&lt;=30,"Young", HR_Data[[#This Row],[Age]]&lt;=45,"Mid-Age",HR_Data[[#This Row],[Age]]&gt;45,"Senior")</f>
        <v>Young</v>
      </c>
      <c r="S617" s="1" t="str" cm="1">
        <f t="array" ref="S617">_xlfn.IFS(HR_Data[[#This Row],[Monthly Income]]&lt;5000,"Low", HR_Data[[#This Row],[Monthly Income]]&lt;10000,"Medium",TRUE,"High")</f>
        <v>Low</v>
      </c>
      <c r="T617" s="1" t="str" cm="1">
        <f t="array" ref="T617">_xlfn.IFS(HR_Data[[#This Row],[Total Working Years]]&lt;=5,"Junior", HR_Data[[#This Row],[Total Working Years]]&lt;=15,"Mid-Level", TRUE, "Senior")</f>
        <v>Junior</v>
      </c>
    </row>
    <row r="618" spans="1:20" x14ac:dyDescent="0.25">
      <c r="A618" s="1">
        <v>851</v>
      </c>
      <c r="B618" s="1">
        <v>51</v>
      </c>
      <c r="C618" t="s">
        <v>9</v>
      </c>
      <c r="D618" t="s">
        <v>5</v>
      </c>
      <c r="E618" t="s">
        <v>21</v>
      </c>
      <c r="F618" t="s">
        <v>7</v>
      </c>
      <c r="G618" t="s">
        <v>18</v>
      </c>
      <c r="H618" s="1">
        <v>3</v>
      </c>
      <c r="I618" s="1">
        <v>16307</v>
      </c>
      <c r="J618" t="s">
        <v>9</v>
      </c>
      <c r="K618" s="1">
        <v>14</v>
      </c>
      <c r="L618" s="1">
        <v>3</v>
      </c>
      <c r="M618" s="1">
        <v>29</v>
      </c>
      <c r="N618" s="1">
        <v>2</v>
      </c>
      <c r="O618" s="1">
        <v>20</v>
      </c>
      <c r="P618" s="1">
        <f>COUNTIF(HR_Data[Employee Number],HR_Data[[#This Row],[Employee Number]])</f>
        <v>1</v>
      </c>
      <c r="Q618" s="1" t="str">
        <f>IF(HR_Data[[#This Row],[Years At Company]]&lt;=HR_Data[[#This Row],[Total Working Years]],"Valid","error")</f>
        <v>Valid</v>
      </c>
      <c r="R618" s="1" t="str" cm="1">
        <f t="array" ref="R618">_xlfn.IFS(HR_Data[[#This Row],[Age]]&lt;=30,"Young", HR_Data[[#This Row],[Age]]&lt;=45,"Mid-Age",HR_Data[[#This Row],[Age]]&gt;45,"Senior")</f>
        <v>Senior</v>
      </c>
      <c r="S618" s="1" t="str" cm="1">
        <f t="array" ref="S618">_xlfn.IFS(HR_Data[[#This Row],[Monthly Income]]&lt;5000,"Low", HR_Data[[#This Row],[Monthly Income]]&lt;10000,"Medium",TRUE,"High")</f>
        <v>High</v>
      </c>
      <c r="T618" s="1" t="str" cm="1">
        <f t="array" ref="T618">_xlfn.IFS(HR_Data[[#This Row],[Total Working Years]]&lt;=5,"Junior", HR_Data[[#This Row],[Total Working Years]]&lt;=15,"Mid-Level", TRUE, "Senior")</f>
        <v>Senior</v>
      </c>
    </row>
    <row r="619" spans="1:20" x14ac:dyDescent="0.25">
      <c r="A619" s="1">
        <v>852</v>
      </c>
      <c r="B619" s="1">
        <v>44</v>
      </c>
      <c r="C619" t="s">
        <v>9</v>
      </c>
      <c r="D619" t="s">
        <v>10</v>
      </c>
      <c r="E619" t="s">
        <v>15</v>
      </c>
      <c r="F619" t="s">
        <v>11</v>
      </c>
      <c r="G619" t="s">
        <v>17</v>
      </c>
      <c r="H619" s="1">
        <v>2</v>
      </c>
      <c r="I619" s="1">
        <v>5933</v>
      </c>
      <c r="J619" t="s">
        <v>9</v>
      </c>
      <c r="K619" s="1">
        <v>12</v>
      </c>
      <c r="L619" s="1">
        <v>3</v>
      </c>
      <c r="M619" s="1">
        <v>10</v>
      </c>
      <c r="N619" s="1">
        <v>2</v>
      </c>
      <c r="O619" s="1">
        <v>5</v>
      </c>
      <c r="P619" s="1">
        <f>COUNTIF(HR_Data[Employee Number],HR_Data[[#This Row],[Employee Number]])</f>
        <v>1</v>
      </c>
      <c r="Q619" s="1" t="str">
        <f>IF(HR_Data[[#This Row],[Years At Company]]&lt;=HR_Data[[#This Row],[Total Working Years]],"Valid","error")</f>
        <v>Valid</v>
      </c>
      <c r="R619" s="1" t="str" cm="1">
        <f t="array" ref="R619">_xlfn.IFS(HR_Data[[#This Row],[Age]]&lt;=30,"Young", HR_Data[[#This Row],[Age]]&lt;=45,"Mid-Age",HR_Data[[#This Row],[Age]]&gt;45,"Senior")</f>
        <v>Mid-Age</v>
      </c>
      <c r="S619" s="1" t="str" cm="1">
        <f t="array" ref="S619">_xlfn.IFS(HR_Data[[#This Row],[Monthly Income]]&lt;5000,"Low", HR_Data[[#This Row],[Monthly Income]]&lt;10000,"Medium",TRUE,"High")</f>
        <v>Medium</v>
      </c>
      <c r="T619" s="1" t="str" cm="1">
        <f t="array" ref="T619">_xlfn.IFS(HR_Data[[#This Row],[Total Working Years]]&lt;=5,"Junior", HR_Data[[#This Row],[Total Working Years]]&lt;=15,"Mid-Level", TRUE, "Senior")</f>
        <v>Mid-Level</v>
      </c>
    </row>
    <row r="620" spans="1:20" x14ac:dyDescent="0.25">
      <c r="A620" s="1">
        <v>854</v>
      </c>
      <c r="B620" s="1">
        <v>25</v>
      </c>
      <c r="C620" t="s">
        <v>9</v>
      </c>
      <c r="D620" t="s">
        <v>10</v>
      </c>
      <c r="E620" t="s">
        <v>15</v>
      </c>
      <c r="F620" t="s">
        <v>11</v>
      </c>
      <c r="G620" t="s">
        <v>12</v>
      </c>
      <c r="H620" s="1">
        <v>1</v>
      </c>
      <c r="I620" s="1">
        <v>3424</v>
      </c>
      <c r="J620" t="s">
        <v>9</v>
      </c>
      <c r="K620" s="1">
        <v>13</v>
      </c>
      <c r="L620" s="1">
        <v>3</v>
      </c>
      <c r="M620" s="1">
        <v>6</v>
      </c>
      <c r="N620" s="1">
        <v>2</v>
      </c>
      <c r="O620" s="1">
        <v>4</v>
      </c>
      <c r="P620" s="1">
        <f>COUNTIF(HR_Data[Employee Number],HR_Data[[#This Row],[Employee Number]])</f>
        <v>1</v>
      </c>
      <c r="Q620" s="1" t="str">
        <f>IF(HR_Data[[#This Row],[Years At Company]]&lt;=HR_Data[[#This Row],[Total Working Years]],"Valid","error")</f>
        <v>Valid</v>
      </c>
      <c r="R620" s="1" t="str" cm="1">
        <f t="array" ref="R620">_xlfn.IFS(HR_Data[[#This Row],[Age]]&lt;=30,"Young", HR_Data[[#This Row],[Age]]&lt;=45,"Mid-Age",HR_Data[[#This Row],[Age]]&gt;45,"Senior")</f>
        <v>Young</v>
      </c>
      <c r="S620" s="1" t="str" cm="1">
        <f t="array" ref="S620">_xlfn.IFS(HR_Data[[#This Row],[Monthly Income]]&lt;5000,"Low", HR_Data[[#This Row],[Monthly Income]]&lt;10000,"Medium",TRUE,"High")</f>
        <v>Low</v>
      </c>
      <c r="T620" s="1" t="str" cm="1">
        <f t="array" ref="T620">_xlfn.IFS(HR_Data[[#This Row],[Total Working Years]]&lt;=5,"Junior", HR_Data[[#This Row],[Total Working Years]]&lt;=15,"Mid-Level", TRUE, "Senior")</f>
        <v>Mid-Level</v>
      </c>
    </row>
    <row r="621" spans="1:20" x14ac:dyDescent="0.25">
      <c r="A621" s="1">
        <v>855</v>
      </c>
      <c r="B621" s="1">
        <v>33</v>
      </c>
      <c r="C621" t="s">
        <v>9</v>
      </c>
      <c r="D621" t="s">
        <v>5</v>
      </c>
      <c r="E621" t="s">
        <v>15</v>
      </c>
      <c r="F621" t="s">
        <v>11</v>
      </c>
      <c r="G621" t="s">
        <v>8</v>
      </c>
      <c r="H621" s="1">
        <v>1</v>
      </c>
      <c r="I621" s="1">
        <v>4037</v>
      </c>
      <c r="J621" t="s">
        <v>9</v>
      </c>
      <c r="K621" s="1">
        <v>22</v>
      </c>
      <c r="L621" s="1">
        <v>4</v>
      </c>
      <c r="M621" s="1">
        <v>9</v>
      </c>
      <c r="N621" s="1">
        <v>3</v>
      </c>
      <c r="O621" s="1">
        <v>9</v>
      </c>
      <c r="P621" s="1">
        <f>COUNTIF(HR_Data[Employee Number],HR_Data[[#This Row],[Employee Number]])</f>
        <v>1</v>
      </c>
      <c r="Q621" s="1" t="str">
        <f>IF(HR_Data[[#This Row],[Years At Company]]&lt;=HR_Data[[#This Row],[Total Working Years]],"Valid","error")</f>
        <v>Valid</v>
      </c>
      <c r="R621" s="1" t="str" cm="1">
        <f t="array" ref="R621">_xlfn.IFS(HR_Data[[#This Row],[Age]]&lt;=30,"Young", HR_Data[[#This Row],[Age]]&lt;=45,"Mid-Age",HR_Data[[#This Row],[Age]]&gt;45,"Senior")</f>
        <v>Mid-Age</v>
      </c>
      <c r="S621" s="1" t="str" cm="1">
        <f t="array" ref="S621">_xlfn.IFS(HR_Data[[#This Row],[Monthly Income]]&lt;5000,"Low", HR_Data[[#This Row],[Monthly Income]]&lt;10000,"Medium",TRUE,"High")</f>
        <v>Low</v>
      </c>
      <c r="T621" s="1" t="str" cm="1">
        <f t="array" ref="T621">_xlfn.IFS(HR_Data[[#This Row],[Total Working Years]]&lt;=5,"Junior", HR_Data[[#This Row],[Total Working Years]]&lt;=15,"Mid-Level", TRUE, "Senior")</f>
        <v>Mid-Level</v>
      </c>
    </row>
    <row r="622" spans="1:20" x14ac:dyDescent="0.25">
      <c r="A622" s="1">
        <v>856</v>
      </c>
      <c r="B622" s="1">
        <v>35</v>
      </c>
      <c r="C622" t="s">
        <v>9</v>
      </c>
      <c r="D622" t="s">
        <v>10</v>
      </c>
      <c r="E622" t="s">
        <v>15</v>
      </c>
      <c r="F622" t="s">
        <v>7</v>
      </c>
      <c r="G622" t="s">
        <v>12</v>
      </c>
      <c r="H622" s="1">
        <v>1</v>
      </c>
      <c r="I622" s="1">
        <v>2559</v>
      </c>
      <c r="J622" t="s">
        <v>9</v>
      </c>
      <c r="K622" s="1">
        <v>11</v>
      </c>
      <c r="L622" s="1">
        <v>3</v>
      </c>
      <c r="M622" s="1">
        <v>6</v>
      </c>
      <c r="N622" s="1">
        <v>2</v>
      </c>
      <c r="O622" s="1">
        <v>6</v>
      </c>
      <c r="P622" s="1">
        <f>COUNTIF(HR_Data[Employee Number],HR_Data[[#This Row],[Employee Number]])</f>
        <v>1</v>
      </c>
      <c r="Q622" s="1" t="str">
        <f>IF(HR_Data[[#This Row],[Years At Company]]&lt;=HR_Data[[#This Row],[Total Working Years]],"Valid","error")</f>
        <v>Valid</v>
      </c>
      <c r="R622" s="1" t="str" cm="1">
        <f t="array" ref="R622">_xlfn.IFS(HR_Data[[#This Row],[Age]]&lt;=30,"Young", HR_Data[[#This Row],[Age]]&lt;=45,"Mid-Age",HR_Data[[#This Row],[Age]]&gt;45,"Senior")</f>
        <v>Mid-Age</v>
      </c>
      <c r="S622" s="1" t="str" cm="1">
        <f t="array" ref="S622">_xlfn.IFS(HR_Data[[#This Row],[Monthly Income]]&lt;5000,"Low", HR_Data[[#This Row],[Monthly Income]]&lt;10000,"Medium",TRUE,"High")</f>
        <v>Low</v>
      </c>
      <c r="T622" s="1" t="str" cm="1">
        <f t="array" ref="T622">_xlfn.IFS(HR_Data[[#This Row],[Total Working Years]]&lt;=5,"Junior", HR_Data[[#This Row],[Total Working Years]]&lt;=15,"Mid-Level", TRUE, "Senior")</f>
        <v>Mid-Level</v>
      </c>
    </row>
    <row r="623" spans="1:20" x14ac:dyDescent="0.25">
      <c r="A623" s="1">
        <v>857</v>
      </c>
      <c r="B623" s="1">
        <v>36</v>
      </c>
      <c r="C623" t="s">
        <v>9</v>
      </c>
      <c r="D623" t="s">
        <v>5</v>
      </c>
      <c r="E623" t="s">
        <v>6</v>
      </c>
      <c r="F623" t="s">
        <v>11</v>
      </c>
      <c r="G623" t="s">
        <v>8</v>
      </c>
      <c r="H623" s="1">
        <v>4</v>
      </c>
      <c r="I623" s="1">
        <v>6201</v>
      </c>
      <c r="J623" t="s">
        <v>4</v>
      </c>
      <c r="K623" s="1">
        <v>14</v>
      </c>
      <c r="L623" s="1">
        <v>3</v>
      </c>
      <c r="M623" s="1">
        <v>18</v>
      </c>
      <c r="N623" s="1">
        <v>2</v>
      </c>
      <c r="O623" s="1">
        <v>18</v>
      </c>
      <c r="P623" s="1">
        <f>COUNTIF(HR_Data[Employee Number],HR_Data[[#This Row],[Employee Number]])</f>
        <v>1</v>
      </c>
      <c r="Q623" s="1" t="str">
        <f>IF(HR_Data[[#This Row],[Years At Company]]&lt;=HR_Data[[#This Row],[Total Working Years]],"Valid","error")</f>
        <v>Valid</v>
      </c>
      <c r="R623" s="1" t="str" cm="1">
        <f t="array" ref="R623">_xlfn.IFS(HR_Data[[#This Row],[Age]]&lt;=30,"Young", HR_Data[[#This Row],[Age]]&lt;=45,"Mid-Age",HR_Data[[#This Row],[Age]]&gt;45,"Senior")</f>
        <v>Mid-Age</v>
      </c>
      <c r="S623" s="1" t="str" cm="1">
        <f t="array" ref="S623">_xlfn.IFS(HR_Data[[#This Row],[Monthly Income]]&lt;5000,"Low", HR_Data[[#This Row],[Monthly Income]]&lt;10000,"Medium",TRUE,"High")</f>
        <v>Medium</v>
      </c>
      <c r="T623" s="1" t="str" cm="1">
        <f t="array" ref="T623">_xlfn.IFS(HR_Data[[#This Row],[Total Working Years]]&lt;=5,"Junior", HR_Data[[#This Row],[Total Working Years]]&lt;=15,"Mid-Level", TRUE, "Senior")</f>
        <v>Senior</v>
      </c>
    </row>
    <row r="624" spans="1:20" x14ac:dyDescent="0.25">
      <c r="A624" s="1">
        <v>859</v>
      </c>
      <c r="B624" s="1">
        <v>32</v>
      </c>
      <c r="C624" t="s">
        <v>9</v>
      </c>
      <c r="D624" t="s">
        <v>5</v>
      </c>
      <c r="E624" t="s">
        <v>6</v>
      </c>
      <c r="F624" t="s">
        <v>11</v>
      </c>
      <c r="G624" t="s">
        <v>8</v>
      </c>
      <c r="H624" s="1">
        <v>4</v>
      </c>
      <c r="I624" s="1">
        <v>4403</v>
      </c>
      <c r="J624" t="s">
        <v>9</v>
      </c>
      <c r="K624" s="1">
        <v>11</v>
      </c>
      <c r="L624" s="1">
        <v>3</v>
      </c>
      <c r="M624" s="1">
        <v>8</v>
      </c>
      <c r="N624" s="1">
        <v>2</v>
      </c>
      <c r="O624" s="1">
        <v>5</v>
      </c>
      <c r="P624" s="1">
        <f>COUNTIF(HR_Data[Employee Number],HR_Data[[#This Row],[Employee Number]])</f>
        <v>1</v>
      </c>
      <c r="Q624" s="1" t="str">
        <f>IF(HR_Data[[#This Row],[Years At Company]]&lt;=HR_Data[[#This Row],[Total Working Years]],"Valid","error")</f>
        <v>Valid</v>
      </c>
      <c r="R624" s="1" t="str" cm="1">
        <f t="array" ref="R624">_xlfn.IFS(HR_Data[[#This Row],[Age]]&lt;=30,"Young", HR_Data[[#This Row],[Age]]&lt;=45,"Mid-Age",HR_Data[[#This Row],[Age]]&gt;45,"Senior")</f>
        <v>Mid-Age</v>
      </c>
      <c r="S624" s="1" t="str" cm="1">
        <f t="array" ref="S624">_xlfn.IFS(HR_Data[[#This Row],[Monthly Income]]&lt;5000,"Low", HR_Data[[#This Row],[Monthly Income]]&lt;10000,"Medium",TRUE,"High")</f>
        <v>Low</v>
      </c>
      <c r="T624" s="1" t="str" cm="1">
        <f t="array" ref="T624">_xlfn.IFS(HR_Data[[#This Row],[Total Working Years]]&lt;=5,"Junior", HR_Data[[#This Row],[Total Working Years]]&lt;=15,"Mid-Level", TRUE, "Senior")</f>
        <v>Mid-Level</v>
      </c>
    </row>
    <row r="625" spans="1:20" x14ac:dyDescent="0.25">
      <c r="A625" s="1">
        <v>861</v>
      </c>
      <c r="B625" s="1">
        <v>30</v>
      </c>
      <c r="C625" t="s">
        <v>9</v>
      </c>
      <c r="D625" t="s">
        <v>10</v>
      </c>
      <c r="E625" t="s">
        <v>6</v>
      </c>
      <c r="F625" t="s">
        <v>11</v>
      </c>
      <c r="G625" t="s">
        <v>12</v>
      </c>
      <c r="H625" s="1">
        <v>4</v>
      </c>
      <c r="I625" s="1">
        <v>3761</v>
      </c>
      <c r="J625" t="s">
        <v>9</v>
      </c>
      <c r="K625" s="1">
        <v>12</v>
      </c>
      <c r="L625" s="1">
        <v>3</v>
      </c>
      <c r="M625" s="1">
        <v>10</v>
      </c>
      <c r="N625" s="1">
        <v>2</v>
      </c>
      <c r="O625" s="1">
        <v>5</v>
      </c>
      <c r="P625" s="1">
        <f>COUNTIF(HR_Data[Employee Number],HR_Data[[#This Row],[Employee Number]])</f>
        <v>1</v>
      </c>
      <c r="Q625" s="1" t="str">
        <f>IF(HR_Data[[#This Row],[Years At Company]]&lt;=HR_Data[[#This Row],[Total Working Years]],"Valid","error")</f>
        <v>Valid</v>
      </c>
      <c r="R625" s="1" t="str" cm="1">
        <f t="array" ref="R625">_xlfn.IFS(HR_Data[[#This Row],[Age]]&lt;=30,"Young", HR_Data[[#This Row],[Age]]&lt;=45,"Mid-Age",HR_Data[[#This Row],[Age]]&gt;45,"Senior")</f>
        <v>Young</v>
      </c>
      <c r="S625" s="1" t="str" cm="1">
        <f t="array" ref="S625">_xlfn.IFS(HR_Data[[#This Row],[Monthly Income]]&lt;5000,"Low", HR_Data[[#This Row],[Monthly Income]]&lt;10000,"Medium",TRUE,"High")</f>
        <v>Low</v>
      </c>
      <c r="T625" s="1" t="str" cm="1">
        <f t="array" ref="T625">_xlfn.IFS(HR_Data[[#This Row],[Total Working Years]]&lt;=5,"Junior", HR_Data[[#This Row],[Total Working Years]]&lt;=15,"Mid-Level", TRUE, "Senior")</f>
        <v>Mid-Level</v>
      </c>
    </row>
    <row r="626" spans="1:20" x14ac:dyDescent="0.25">
      <c r="A626" s="1">
        <v>862</v>
      </c>
      <c r="B626" s="1">
        <v>53</v>
      </c>
      <c r="C626" t="s">
        <v>9</v>
      </c>
      <c r="D626" t="s">
        <v>5</v>
      </c>
      <c r="E626" t="s">
        <v>21</v>
      </c>
      <c r="F626" t="s">
        <v>7</v>
      </c>
      <c r="G626" t="s">
        <v>8</v>
      </c>
      <c r="H626" s="1">
        <v>4</v>
      </c>
      <c r="I626" s="1">
        <v>10934</v>
      </c>
      <c r="J626" t="s">
        <v>4</v>
      </c>
      <c r="K626" s="1">
        <v>18</v>
      </c>
      <c r="L626" s="1">
        <v>3</v>
      </c>
      <c r="M626" s="1">
        <v>35</v>
      </c>
      <c r="N626" s="1">
        <v>3</v>
      </c>
      <c r="O626" s="1">
        <v>5</v>
      </c>
      <c r="P626" s="1">
        <f>COUNTIF(HR_Data[Employee Number],HR_Data[[#This Row],[Employee Number]])</f>
        <v>1</v>
      </c>
      <c r="Q626" s="1" t="str">
        <f>IF(HR_Data[[#This Row],[Years At Company]]&lt;=HR_Data[[#This Row],[Total Working Years]],"Valid","error")</f>
        <v>Valid</v>
      </c>
      <c r="R626" s="1" t="str" cm="1">
        <f t="array" ref="R626">_xlfn.IFS(HR_Data[[#This Row],[Age]]&lt;=30,"Young", HR_Data[[#This Row],[Age]]&lt;=45,"Mid-Age",HR_Data[[#This Row],[Age]]&gt;45,"Senior")</f>
        <v>Senior</v>
      </c>
      <c r="S626" s="1" t="str" cm="1">
        <f t="array" ref="S626">_xlfn.IFS(HR_Data[[#This Row],[Monthly Income]]&lt;5000,"Low", HR_Data[[#This Row],[Monthly Income]]&lt;10000,"Medium",TRUE,"High")</f>
        <v>High</v>
      </c>
      <c r="T626" s="1" t="str" cm="1">
        <f t="array" ref="T626">_xlfn.IFS(HR_Data[[#This Row],[Total Working Years]]&lt;=5,"Junior", HR_Data[[#This Row],[Total Working Years]]&lt;=15,"Mid-Level", TRUE, "Senior")</f>
        <v>Senior</v>
      </c>
    </row>
    <row r="627" spans="1:20" x14ac:dyDescent="0.25">
      <c r="A627" s="1">
        <v>864</v>
      </c>
      <c r="B627" s="1">
        <v>45</v>
      </c>
      <c r="C627" t="s">
        <v>9</v>
      </c>
      <c r="D627" t="s">
        <v>5</v>
      </c>
      <c r="E627" t="s">
        <v>21</v>
      </c>
      <c r="F627" t="s">
        <v>11</v>
      </c>
      <c r="G627" t="s">
        <v>8</v>
      </c>
      <c r="H627" s="1">
        <v>1</v>
      </c>
      <c r="I627" s="1">
        <v>10761</v>
      </c>
      <c r="J627" t="s">
        <v>4</v>
      </c>
      <c r="K627" s="1">
        <v>12</v>
      </c>
      <c r="L627" s="1">
        <v>3</v>
      </c>
      <c r="M627" s="1">
        <v>18</v>
      </c>
      <c r="N627" s="1">
        <v>3</v>
      </c>
      <c r="O627" s="1">
        <v>5</v>
      </c>
      <c r="P627" s="1">
        <f>COUNTIF(HR_Data[Employee Number],HR_Data[[#This Row],[Employee Number]])</f>
        <v>1</v>
      </c>
      <c r="Q627" s="1" t="str">
        <f>IF(HR_Data[[#This Row],[Years At Company]]&lt;=HR_Data[[#This Row],[Total Working Years]],"Valid","error")</f>
        <v>Valid</v>
      </c>
      <c r="R627" s="1" t="str" cm="1">
        <f t="array" ref="R627">_xlfn.IFS(HR_Data[[#This Row],[Age]]&lt;=30,"Young", HR_Data[[#This Row],[Age]]&lt;=45,"Mid-Age",HR_Data[[#This Row],[Age]]&gt;45,"Senior")</f>
        <v>Mid-Age</v>
      </c>
      <c r="S627" s="1" t="str" cm="1">
        <f t="array" ref="S627">_xlfn.IFS(HR_Data[[#This Row],[Monthly Income]]&lt;5000,"Low", HR_Data[[#This Row],[Monthly Income]]&lt;10000,"Medium",TRUE,"High")</f>
        <v>High</v>
      </c>
      <c r="T627" s="1" t="str" cm="1">
        <f t="array" ref="T627">_xlfn.IFS(HR_Data[[#This Row],[Total Working Years]]&lt;=5,"Junior", HR_Data[[#This Row],[Total Working Years]]&lt;=15,"Mid-Level", TRUE, "Senior")</f>
        <v>Senior</v>
      </c>
    </row>
    <row r="628" spans="1:20" x14ac:dyDescent="0.25">
      <c r="A628" s="1">
        <v>865</v>
      </c>
      <c r="B628" s="1">
        <v>32</v>
      </c>
      <c r="C628" t="s">
        <v>9</v>
      </c>
      <c r="D628" t="s">
        <v>10</v>
      </c>
      <c r="E628" t="s">
        <v>15</v>
      </c>
      <c r="F628" t="s">
        <v>7</v>
      </c>
      <c r="G628" t="s">
        <v>12</v>
      </c>
      <c r="H628" s="1">
        <v>3</v>
      </c>
      <c r="I628" s="1">
        <v>5175</v>
      </c>
      <c r="J628" t="s">
        <v>9</v>
      </c>
      <c r="K628" s="1">
        <v>12</v>
      </c>
      <c r="L628" s="1">
        <v>3</v>
      </c>
      <c r="M628" s="1">
        <v>9</v>
      </c>
      <c r="N628" s="1">
        <v>2</v>
      </c>
      <c r="O628" s="1">
        <v>5</v>
      </c>
      <c r="P628" s="1">
        <f>COUNTIF(HR_Data[Employee Number],HR_Data[[#This Row],[Employee Number]])</f>
        <v>1</v>
      </c>
      <c r="Q628" s="1" t="str">
        <f>IF(HR_Data[[#This Row],[Years At Company]]&lt;=HR_Data[[#This Row],[Total Working Years]],"Valid","error")</f>
        <v>Valid</v>
      </c>
      <c r="R628" s="1" t="str" cm="1">
        <f t="array" ref="R628">_xlfn.IFS(HR_Data[[#This Row],[Age]]&lt;=30,"Young", HR_Data[[#This Row],[Age]]&lt;=45,"Mid-Age",HR_Data[[#This Row],[Age]]&gt;45,"Senior")</f>
        <v>Mid-Age</v>
      </c>
      <c r="S628" s="1" t="str" cm="1">
        <f t="array" ref="S628">_xlfn.IFS(HR_Data[[#This Row],[Monthly Income]]&lt;5000,"Low", HR_Data[[#This Row],[Monthly Income]]&lt;10000,"Medium",TRUE,"High")</f>
        <v>Medium</v>
      </c>
      <c r="T628" s="1" t="str" cm="1">
        <f t="array" ref="T628">_xlfn.IFS(HR_Data[[#This Row],[Total Working Years]]&lt;=5,"Junior", HR_Data[[#This Row],[Total Working Years]]&lt;=15,"Mid-Level", TRUE, "Senior")</f>
        <v>Mid-Level</v>
      </c>
    </row>
    <row r="629" spans="1:20" x14ac:dyDescent="0.25">
      <c r="A629" s="1">
        <v>867</v>
      </c>
      <c r="B629" s="1">
        <v>52</v>
      </c>
      <c r="C629" t="s">
        <v>9</v>
      </c>
      <c r="D629" t="s">
        <v>10</v>
      </c>
      <c r="E629" t="s">
        <v>15</v>
      </c>
      <c r="F629" t="s">
        <v>7</v>
      </c>
      <c r="G629" t="s">
        <v>16</v>
      </c>
      <c r="H629" s="1">
        <v>4</v>
      </c>
      <c r="I629" s="1">
        <v>13826</v>
      </c>
      <c r="J629" t="s">
        <v>9</v>
      </c>
      <c r="K629" s="1">
        <v>22</v>
      </c>
      <c r="L629" s="1">
        <v>4</v>
      </c>
      <c r="M629" s="1">
        <v>31</v>
      </c>
      <c r="N629" s="1">
        <v>3</v>
      </c>
      <c r="O629" s="1">
        <v>9</v>
      </c>
      <c r="P629" s="1">
        <f>COUNTIF(HR_Data[Employee Number],HR_Data[[#This Row],[Employee Number]])</f>
        <v>1</v>
      </c>
      <c r="Q629" s="1" t="str">
        <f>IF(HR_Data[[#This Row],[Years At Company]]&lt;=HR_Data[[#This Row],[Total Working Years]],"Valid","error")</f>
        <v>Valid</v>
      </c>
      <c r="R629" s="1" t="str" cm="1">
        <f t="array" ref="R629">_xlfn.IFS(HR_Data[[#This Row],[Age]]&lt;=30,"Young", HR_Data[[#This Row],[Age]]&lt;=45,"Mid-Age",HR_Data[[#This Row],[Age]]&gt;45,"Senior")</f>
        <v>Senior</v>
      </c>
      <c r="S629" s="1" t="str" cm="1">
        <f t="array" ref="S629">_xlfn.IFS(HR_Data[[#This Row],[Monthly Income]]&lt;5000,"Low", HR_Data[[#This Row],[Monthly Income]]&lt;10000,"Medium",TRUE,"High")</f>
        <v>High</v>
      </c>
      <c r="T629" s="1" t="str" cm="1">
        <f t="array" ref="T629">_xlfn.IFS(HR_Data[[#This Row],[Total Working Years]]&lt;=5,"Junior", HR_Data[[#This Row],[Total Working Years]]&lt;=15,"Mid-Level", TRUE, "Senior")</f>
        <v>Senior</v>
      </c>
    </row>
    <row r="630" spans="1:20" x14ac:dyDescent="0.25">
      <c r="A630" s="1">
        <v>868</v>
      </c>
      <c r="B630" s="1">
        <v>37</v>
      </c>
      <c r="C630" t="s">
        <v>9</v>
      </c>
      <c r="D630" t="s">
        <v>5</v>
      </c>
      <c r="E630" t="s">
        <v>21</v>
      </c>
      <c r="F630" t="s">
        <v>11</v>
      </c>
      <c r="G630" t="s">
        <v>8</v>
      </c>
      <c r="H630" s="1">
        <v>3</v>
      </c>
      <c r="I630" s="1">
        <v>6334</v>
      </c>
      <c r="J630" t="s">
        <v>9</v>
      </c>
      <c r="K630" s="1">
        <v>19</v>
      </c>
      <c r="L630" s="1">
        <v>3</v>
      </c>
      <c r="M630" s="1">
        <v>9</v>
      </c>
      <c r="N630" s="1">
        <v>3</v>
      </c>
      <c r="O630" s="1">
        <v>1</v>
      </c>
      <c r="P630" s="1">
        <f>COUNTIF(HR_Data[Employee Number],HR_Data[[#This Row],[Employee Number]])</f>
        <v>1</v>
      </c>
      <c r="Q630" s="1" t="str">
        <f>IF(HR_Data[[#This Row],[Years At Company]]&lt;=HR_Data[[#This Row],[Total Working Years]],"Valid","error")</f>
        <v>Valid</v>
      </c>
      <c r="R630" s="1" t="str" cm="1">
        <f t="array" ref="R630">_xlfn.IFS(HR_Data[[#This Row],[Age]]&lt;=30,"Young", HR_Data[[#This Row],[Age]]&lt;=45,"Mid-Age",HR_Data[[#This Row],[Age]]&gt;45,"Senior")</f>
        <v>Mid-Age</v>
      </c>
      <c r="S630" s="1" t="str" cm="1">
        <f t="array" ref="S630">_xlfn.IFS(HR_Data[[#This Row],[Monthly Income]]&lt;5000,"Low", HR_Data[[#This Row],[Monthly Income]]&lt;10000,"Medium",TRUE,"High")</f>
        <v>Medium</v>
      </c>
      <c r="T630" s="1" t="str" cm="1">
        <f t="array" ref="T630">_xlfn.IFS(HR_Data[[#This Row],[Total Working Years]]&lt;=5,"Junior", HR_Data[[#This Row],[Total Working Years]]&lt;=15,"Mid-Level", TRUE, "Senior")</f>
        <v>Mid-Level</v>
      </c>
    </row>
    <row r="631" spans="1:20" x14ac:dyDescent="0.25">
      <c r="A631" s="1">
        <v>869</v>
      </c>
      <c r="B631" s="1">
        <v>28</v>
      </c>
      <c r="C631" t="s">
        <v>9</v>
      </c>
      <c r="D631" t="s">
        <v>23</v>
      </c>
      <c r="E631" t="s">
        <v>15</v>
      </c>
      <c r="F631" t="s">
        <v>11</v>
      </c>
      <c r="G631" t="s">
        <v>23</v>
      </c>
      <c r="H631" s="1">
        <v>4</v>
      </c>
      <c r="I631" s="1">
        <v>4936</v>
      </c>
      <c r="J631" t="s">
        <v>9</v>
      </c>
      <c r="K631" s="1">
        <v>13</v>
      </c>
      <c r="L631" s="1">
        <v>3</v>
      </c>
      <c r="M631" s="1">
        <v>6</v>
      </c>
      <c r="N631" s="1">
        <v>3</v>
      </c>
      <c r="O631" s="1">
        <v>5</v>
      </c>
      <c r="P631" s="1">
        <f>COUNTIF(HR_Data[Employee Number],HR_Data[[#This Row],[Employee Number]])</f>
        <v>1</v>
      </c>
      <c r="Q631" s="1" t="str">
        <f>IF(HR_Data[[#This Row],[Years At Company]]&lt;=HR_Data[[#This Row],[Total Working Years]],"Valid","error")</f>
        <v>Valid</v>
      </c>
      <c r="R631" s="1" t="str" cm="1">
        <f t="array" ref="R631">_xlfn.IFS(HR_Data[[#This Row],[Age]]&lt;=30,"Young", HR_Data[[#This Row],[Age]]&lt;=45,"Mid-Age",HR_Data[[#This Row],[Age]]&gt;45,"Senior")</f>
        <v>Young</v>
      </c>
      <c r="S631" s="1" t="str" cm="1">
        <f t="array" ref="S631">_xlfn.IFS(HR_Data[[#This Row],[Monthly Income]]&lt;5000,"Low", HR_Data[[#This Row],[Monthly Income]]&lt;10000,"Medium",TRUE,"High")</f>
        <v>Low</v>
      </c>
      <c r="T631" s="1" t="str" cm="1">
        <f t="array" ref="T631">_xlfn.IFS(HR_Data[[#This Row],[Total Working Years]]&lt;=5,"Junior", HR_Data[[#This Row],[Total Working Years]]&lt;=15,"Mid-Level", TRUE, "Senior")</f>
        <v>Mid-Level</v>
      </c>
    </row>
    <row r="632" spans="1:20" x14ac:dyDescent="0.25">
      <c r="A632" s="1">
        <v>872</v>
      </c>
      <c r="B632" s="1">
        <v>22</v>
      </c>
      <c r="C632" t="s">
        <v>9</v>
      </c>
      <c r="D632" t="s">
        <v>10</v>
      </c>
      <c r="E632" t="s">
        <v>6</v>
      </c>
      <c r="F632" t="s">
        <v>11</v>
      </c>
      <c r="G632" t="s">
        <v>16</v>
      </c>
      <c r="H632" s="1">
        <v>4</v>
      </c>
      <c r="I632" s="1">
        <v>4775</v>
      </c>
      <c r="J632" t="s">
        <v>9</v>
      </c>
      <c r="K632" s="1">
        <v>22</v>
      </c>
      <c r="L632" s="1">
        <v>4</v>
      </c>
      <c r="M632" s="1">
        <v>4</v>
      </c>
      <c r="N632" s="1">
        <v>1</v>
      </c>
      <c r="O632" s="1">
        <v>2</v>
      </c>
      <c r="P632" s="1">
        <f>COUNTIF(HR_Data[Employee Number],HR_Data[[#This Row],[Employee Number]])</f>
        <v>1</v>
      </c>
      <c r="Q632" s="1" t="str">
        <f>IF(HR_Data[[#This Row],[Years At Company]]&lt;=HR_Data[[#This Row],[Total Working Years]],"Valid","error")</f>
        <v>Valid</v>
      </c>
      <c r="R632" s="1" t="str" cm="1">
        <f t="array" ref="R632">_xlfn.IFS(HR_Data[[#This Row],[Age]]&lt;=30,"Young", HR_Data[[#This Row],[Age]]&lt;=45,"Mid-Age",HR_Data[[#This Row],[Age]]&gt;45,"Senior")</f>
        <v>Young</v>
      </c>
      <c r="S632" s="1" t="str" cm="1">
        <f t="array" ref="S632">_xlfn.IFS(HR_Data[[#This Row],[Monthly Income]]&lt;5000,"Low", HR_Data[[#This Row],[Monthly Income]]&lt;10000,"Medium",TRUE,"High")</f>
        <v>Low</v>
      </c>
      <c r="T632" s="1" t="str" cm="1">
        <f t="array" ref="T632">_xlfn.IFS(HR_Data[[#This Row],[Total Working Years]]&lt;=5,"Junior", HR_Data[[#This Row],[Total Working Years]]&lt;=15,"Mid-Level", TRUE, "Senior")</f>
        <v>Junior</v>
      </c>
    </row>
    <row r="633" spans="1:20" x14ac:dyDescent="0.25">
      <c r="A633" s="1">
        <v>874</v>
      </c>
      <c r="B633" s="1">
        <v>44</v>
      </c>
      <c r="C633" t="s">
        <v>9</v>
      </c>
      <c r="D633" t="s">
        <v>10</v>
      </c>
      <c r="E633" t="s">
        <v>6</v>
      </c>
      <c r="F633" t="s">
        <v>11</v>
      </c>
      <c r="G633" t="s">
        <v>14</v>
      </c>
      <c r="H633" s="1">
        <v>4</v>
      </c>
      <c r="I633" s="1">
        <v>2818</v>
      </c>
      <c r="J633" t="s">
        <v>4</v>
      </c>
      <c r="K633" s="1">
        <v>24</v>
      </c>
      <c r="L633" s="1">
        <v>4</v>
      </c>
      <c r="M633" s="1">
        <v>10</v>
      </c>
      <c r="N633" s="1">
        <v>2</v>
      </c>
      <c r="O633" s="1">
        <v>3</v>
      </c>
      <c r="P633" s="1">
        <f>COUNTIF(HR_Data[Employee Number],HR_Data[[#This Row],[Employee Number]])</f>
        <v>1</v>
      </c>
      <c r="Q633" s="1" t="str">
        <f>IF(HR_Data[[#This Row],[Years At Company]]&lt;=HR_Data[[#This Row],[Total Working Years]],"Valid","error")</f>
        <v>Valid</v>
      </c>
      <c r="R633" s="1" t="str" cm="1">
        <f t="array" ref="R633">_xlfn.IFS(HR_Data[[#This Row],[Age]]&lt;=30,"Young", HR_Data[[#This Row],[Age]]&lt;=45,"Mid-Age",HR_Data[[#This Row],[Age]]&gt;45,"Senior")</f>
        <v>Mid-Age</v>
      </c>
      <c r="S633" s="1" t="str" cm="1">
        <f t="array" ref="S633">_xlfn.IFS(HR_Data[[#This Row],[Monthly Income]]&lt;5000,"Low", HR_Data[[#This Row],[Monthly Income]]&lt;10000,"Medium",TRUE,"High")</f>
        <v>Low</v>
      </c>
      <c r="T633" s="1" t="str" cm="1">
        <f t="array" ref="T633">_xlfn.IFS(HR_Data[[#This Row],[Total Working Years]]&lt;=5,"Junior", HR_Data[[#This Row],[Total Working Years]]&lt;=15,"Mid-Level", TRUE, "Senior")</f>
        <v>Mid-Level</v>
      </c>
    </row>
    <row r="634" spans="1:20" x14ac:dyDescent="0.25">
      <c r="A634" s="1">
        <v>875</v>
      </c>
      <c r="B634" s="1">
        <v>42</v>
      </c>
      <c r="C634" t="s">
        <v>9</v>
      </c>
      <c r="D634" t="s">
        <v>10</v>
      </c>
      <c r="E634" t="s">
        <v>15</v>
      </c>
      <c r="F634" t="s">
        <v>11</v>
      </c>
      <c r="G634" t="s">
        <v>12</v>
      </c>
      <c r="H634" s="1">
        <v>4</v>
      </c>
      <c r="I634" s="1">
        <v>2515</v>
      </c>
      <c r="J634" t="s">
        <v>4</v>
      </c>
      <c r="K634" s="1">
        <v>14</v>
      </c>
      <c r="L634" s="1">
        <v>3</v>
      </c>
      <c r="M634" s="1">
        <v>8</v>
      </c>
      <c r="N634" s="1">
        <v>3</v>
      </c>
      <c r="O634" s="1">
        <v>2</v>
      </c>
      <c r="P634" s="1">
        <f>COUNTIF(HR_Data[Employee Number],HR_Data[[#This Row],[Employee Number]])</f>
        <v>1</v>
      </c>
      <c r="Q634" s="1" t="str">
        <f>IF(HR_Data[[#This Row],[Years At Company]]&lt;=HR_Data[[#This Row],[Total Working Years]],"Valid","error")</f>
        <v>Valid</v>
      </c>
      <c r="R634" s="1" t="str" cm="1">
        <f t="array" ref="R634">_xlfn.IFS(HR_Data[[#This Row],[Age]]&lt;=30,"Young", HR_Data[[#This Row],[Age]]&lt;=45,"Mid-Age",HR_Data[[#This Row],[Age]]&gt;45,"Senior")</f>
        <v>Mid-Age</v>
      </c>
      <c r="S634" s="1" t="str" cm="1">
        <f t="array" ref="S634">_xlfn.IFS(HR_Data[[#This Row],[Monthly Income]]&lt;5000,"Low", HR_Data[[#This Row],[Monthly Income]]&lt;10000,"Medium",TRUE,"High")</f>
        <v>Low</v>
      </c>
      <c r="T634" s="1" t="str" cm="1">
        <f t="array" ref="T634">_xlfn.IFS(HR_Data[[#This Row],[Total Working Years]]&lt;=5,"Junior", HR_Data[[#This Row],[Total Working Years]]&lt;=15,"Mid-Level", TRUE, "Senior")</f>
        <v>Mid-Level</v>
      </c>
    </row>
    <row r="635" spans="1:20" x14ac:dyDescent="0.25">
      <c r="A635" s="1">
        <v>878</v>
      </c>
      <c r="B635" s="1">
        <v>36</v>
      </c>
      <c r="C635" t="s">
        <v>9</v>
      </c>
      <c r="D635" t="s">
        <v>23</v>
      </c>
      <c r="E635" t="s">
        <v>6</v>
      </c>
      <c r="F635" t="s">
        <v>11</v>
      </c>
      <c r="G635" t="s">
        <v>23</v>
      </c>
      <c r="H635" s="1">
        <v>1</v>
      </c>
      <c r="I635" s="1">
        <v>2342</v>
      </c>
      <c r="J635" t="s">
        <v>9</v>
      </c>
      <c r="K635" s="1">
        <v>21</v>
      </c>
      <c r="L635" s="1">
        <v>4</v>
      </c>
      <c r="M635" s="1">
        <v>6</v>
      </c>
      <c r="N635" s="1">
        <v>3</v>
      </c>
      <c r="O635" s="1">
        <v>5</v>
      </c>
      <c r="P635" s="1">
        <f>COUNTIF(HR_Data[Employee Number],HR_Data[[#This Row],[Employee Number]])</f>
        <v>1</v>
      </c>
      <c r="Q635" s="1" t="str">
        <f>IF(HR_Data[[#This Row],[Years At Company]]&lt;=HR_Data[[#This Row],[Total Working Years]],"Valid","error")</f>
        <v>Valid</v>
      </c>
      <c r="R635" s="1" t="str" cm="1">
        <f t="array" ref="R635">_xlfn.IFS(HR_Data[[#This Row],[Age]]&lt;=30,"Young", HR_Data[[#This Row],[Age]]&lt;=45,"Mid-Age",HR_Data[[#This Row],[Age]]&gt;45,"Senior")</f>
        <v>Mid-Age</v>
      </c>
      <c r="S635" s="1" t="str" cm="1">
        <f t="array" ref="S635">_xlfn.IFS(HR_Data[[#This Row],[Monthly Income]]&lt;5000,"Low", HR_Data[[#This Row],[Monthly Income]]&lt;10000,"Medium",TRUE,"High")</f>
        <v>Low</v>
      </c>
      <c r="T635" s="1" t="str" cm="1">
        <f t="array" ref="T635">_xlfn.IFS(HR_Data[[#This Row],[Total Working Years]]&lt;=5,"Junior", HR_Data[[#This Row],[Total Working Years]]&lt;=15,"Mid-Level", TRUE, "Senior")</f>
        <v>Mid-Level</v>
      </c>
    </row>
    <row r="636" spans="1:20" x14ac:dyDescent="0.25">
      <c r="A636" s="1">
        <v>879</v>
      </c>
      <c r="B636" s="1">
        <v>25</v>
      </c>
      <c r="C636" t="s">
        <v>9</v>
      </c>
      <c r="D636" t="s">
        <v>5</v>
      </c>
      <c r="E636" t="s">
        <v>13</v>
      </c>
      <c r="F636" t="s">
        <v>11</v>
      </c>
      <c r="G636" t="s">
        <v>8</v>
      </c>
      <c r="H636" s="1">
        <v>1</v>
      </c>
      <c r="I636" s="1">
        <v>4194</v>
      </c>
      <c r="J636" t="s">
        <v>4</v>
      </c>
      <c r="K636" s="1">
        <v>18</v>
      </c>
      <c r="L636" s="1">
        <v>3</v>
      </c>
      <c r="M636" s="1">
        <v>5</v>
      </c>
      <c r="N636" s="1">
        <v>3</v>
      </c>
      <c r="O636" s="1">
        <v>5</v>
      </c>
      <c r="P636" s="1">
        <f>COUNTIF(HR_Data[Employee Number],HR_Data[[#This Row],[Employee Number]])</f>
        <v>1</v>
      </c>
      <c r="Q636" s="1" t="str">
        <f>IF(HR_Data[[#This Row],[Years At Company]]&lt;=HR_Data[[#This Row],[Total Working Years]],"Valid","error")</f>
        <v>Valid</v>
      </c>
      <c r="R636" s="1" t="str" cm="1">
        <f t="array" ref="R636">_xlfn.IFS(HR_Data[[#This Row],[Age]]&lt;=30,"Young", HR_Data[[#This Row],[Age]]&lt;=45,"Mid-Age",HR_Data[[#This Row],[Age]]&gt;45,"Senior")</f>
        <v>Young</v>
      </c>
      <c r="S636" s="1" t="str" cm="1">
        <f t="array" ref="S636">_xlfn.IFS(HR_Data[[#This Row],[Monthly Income]]&lt;5000,"Low", HR_Data[[#This Row],[Monthly Income]]&lt;10000,"Medium",TRUE,"High")</f>
        <v>Low</v>
      </c>
      <c r="T636" s="1" t="str" cm="1">
        <f t="array" ref="T636">_xlfn.IFS(HR_Data[[#This Row],[Total Working Years]]&lt;=5,"Junior", HR_Data[[#This Row],[Total Working Years]]&lt;=15,"Mid-Level", TRUE, "Senior")</f>
        <v>Junior</v>
      </c>
    </row>
    <row r="637" spans="1:20" x14ac:dyDescent="0.25">
      <c r="A637" s="1">
        <v>880</v>
      </c>
      <c r="B637" s="1">
        <v>35</v>
      </c>
      <c r="C637" t="s">
        <v>9</v>
      </c>
      <c r="D637" t="s">
        <v>10</v>
      </c>
      <c r="E637" t="s">
        <v>6</v>
      </c>
      <c r="F637" t="s">
        <v>7</v>
      </c>
      <c r="G637" t="s">
        <v>16</v>
      </c>
      <c r="H637" s="1">
        <v>3</v>
      </c>
      <c r="I637" s="1">
        <v>10685</v>
      </c>
      <c r="J637" t="s">
        <v>4</v>
      </c>
      <c r="K637" s="1">
        <v>20</v>
      </c>
      <c r="L637" s="1">
        <v>4</v>
      </c>
      <c r="M637" s="1">
        <v>17</v>
      </c>
      <c r="N637" s="1">
        <v>3</v>
      </c>
      <c r="O637" s="1">
        <v>17</v>
      </c>
      <c r="P637" s="1">
        <f>COUNTIF(HR_Data[Employee Number],HR_Data[[#This Row],[Employee Number]])</f>
        <v>1</v>
      </c>
      <c r="Q637" s="1" t="str">
        <f>IF(HR_Data[[#This Row],[Years At Company]]&lt;=HR_Data[[#This Row],[Total Working Years]],"Valid","error")</f>
        <v>Valid</v>
      </c>
      <c r="R637" s="1" t="str" cm="1">
        <f t="array" ref="R637">_xlfn.IFS(HR_Data[[#This Row],[Age]]&lt;=30,"Young", HR_Data[[#This Row],[Age]]&lt;=45,"Mid-Age",HR_Data[[#This Row],[Age]]&gt;45,"Senior")</f>
        <v>Mid-Age</v>
      </c>
      <c r="S637" s="1" t="str" cm="1">
        <f t="array" ref="S637">_xlfn.IFS(HR_Data[[#This Row],[Monthly Income]]&lt;5000,"Low", HR_Data[[#This Row],[Monthly Income]]&lt;10000,"Medium",TRUE,"High")</f>
        <v>High</v>
      </c>
      <c r="T637" s="1" t="str" cm="1">
        <f t="array" ref="T637">_xlfn.IFS(HR_Data[[#This Row],[Total Working Years]]&lt;=5,"Junior", HR_Data[[#This Row],[Total Working Years]]&lt;=15,"Mid-Level", TRUE, "Senior")</f>
        <v>Senior</v>
      </c>
    </row>
    <row r="638" spans="1:20" x14ac:dyDescent="0.25">
      <c r="A638" s="1">
        <v>881</v>
      </c>
      <c r="B638" s="1">
        <v>35</v>
      </c>
      <c r="C638" t="s">
        <v>4</v>
      </c>
      <c r="D638" t="s">
        <v>10</v>
      </c>
      <c r="E638" t="s">
        <v>6</v>
      </c>
      <c r="F638" t="s">
        <v>7</v>
      </c>
      <c r="G638" t="s">
        <v>12</v>
      </c>
      <c r="H638" s="1">
        <v>2</v>
      </c>
      <c r="I638" s="1">
        <v>2022</v>
      </c>
      <c r="J638" t="s">
        <v>4</v>
      </c>
      <c r="K638" s="1">
        <v>19</v>
      </c>
      <c r="L638" s="1">
        <v>3</v>
      </c>
      <c r="M638" s="1">
        <v>10</v>
      </c>
      <c r="N638" s="1">
        <v>2</v>
      </c>
      <c r="O638" s="1">
        <v>10</v>
      </c>
      <c r="P638" s="1">
        <f>COUNTIF(HR_Data[Employee Number],HR_Data[[#This Row],[Employee Number]])</f>
        <v>1</v>
      </c>
      <c r="Q638" s="1" t="str">
        <f>IF(HR_Data[[#This Row],[Years At Company]]&lt;=HR_Data[[#This Row],[Total Working Years]],"Valid","error")</f>
        <v>Valid</v>
      </c>
      <c r="R638" s="1" t="str" cm="1">
        <f t="array" ref="R638">_xlfn.IFS(HR_Data[[#This Row],[Age]]&lt;=30,"Young", HR_Data[[#This Row],[Age]]&lt;=45,"Mid-Age",HR_Data[[#This Row],[Age]]&gt;45,"Senior")</f>
        <v>Mid-Age</v>
      </c>
      <c r="S638" s="1" t="str" cm="1">
        <f t="array" ref="S638">_xlfn.IFS(HR_Data[[#This Row],[Monthly Income]]&lt;5000,"Low", HR_Data[[#This Row],[Monthly Income]]&lt;10000,"Medium",TRUE,"High")</f>
        <v>Low</v>
      </c>
      <c r="T638" s="1" t="str" cm="1">
        <f t="array" ref="T638">_xlfn.IFS(HR_Data[[#This Row],[Total Working Years]]&lt;=5,"Junior", HR_Data[[#This Row],[Total Working Years]]&lt;=15,"Mid-Level", TRUE, "Senior")</f>
        <v>Mid-Level</v>
      </c>
    </row>
    <row r="639" spans="1:20" x14ac:dyDescent="0.25">
      <c r="A639" s="1">
        <v>882</v>
      </c>
      <c r="B639" s="1">
        <v>32</v>
      </c>
      <c r="C639" t="s">
        <v>9</v>
      </c>
      <c r="D639" t="s">
        <v>10</v>
      </c>
      <c r="E639" t="s">
        <v>6</v>
      </c>
      <c r="F639" t="s">
        <v>11</v>
      </c>
      <c r="G639" t="s">
        <v>14</v>
      </c>
      <c r="H639" s="1">
        <v>4</v>
      </c>
      <c r="I639" s="1">
        <v>2314</v>
      </c>
      <c r="J639" t="s">
        <v>9</v>
      </c>
      <c r="K639" s="1">
        <v>12</v>
      </c>
      <c r="L639" s="1">
        <v>3</v>
      </c>
      <c r="M639" s="1">
        <v>4</v>
      </c>
      <c r="N639" s="1">
        <v>3</v>
      </c>
      <c r="O639" s="1">
        <v>3</v>
      </c>
      <c r="P639" s="1">
        <f>COUNTIF(HR_Data[Employee Number],HR_Data[[#This Row],[Employee Number]])</f>
        <v>1</v>
      </c>
      <c r="Q639" s="1" t="str">
        <f>IF(HR_Data[[#This Row],[Years At Company]]&lt;=HR_Data[[#This Row],[Total Working Years]],"Valid","error")</f>
        <v>Valid</v>
      </c>
      <c r="R639" s="1" t="str" cm="1">
        <f t="array" ref="R639">_xlfn.IFS(HR_Data[[#This Row],[Age]]&lt;=30,"Young", HR_Data[[#This Row],[Age]]&lt;=45,"Mid-Age",HR_Data[[#This Row],[Age]]&gt;45,"Senior")</f>
        <v>Mid-Age</v>
      </c>
      <c r="S639" s="1" t="str" cm="1">
        <f t="array" ref="S639">_xlfn.IFS(HR_Data[[#This Row],[Monthly Income]]&lt;5000,"Low", HR_Data[[#This Row],[Monthly Income]]&lt;10000,"Medium",TRUE,"High")</f>
        <v>Low</v>
      </c>
      <c r="T639" s="1" t="str" cm="1">
        <f t="array" ref="T639">_xlfn.IFS(HR_Data[[#This Row],[Total Working Years]]&lt;=5,"Junior", HR_Data[[#This Row],[Total Working Years]]&lt;=15,"Mid-Level", TRUE, "Senior")</f>
        <v>Junior</v>
      </c>
    </row>
    <row r="640" spans="1:20" x14ac:dyDescent="0.25">
      <c r="A640" s="1">
        <v>885</v>
      </c>
      <c r="B640" s="1">
        <v>25</v>
      </c>
      <c r="C640" t="s">
        <v>9</v>
      </c>
      <c r="D640" t="s">
        <v>5</v>
      </c>
      <c r="E640" t="s">
        <v>21</v>
      </c>
      <c r="F640" t="s">
        <v>11</v>
      </c>
      <c r="G640" t="s">
        <v>8</v>
      </c>
      <c r="H640" s="1">
        <v>1</v>
      </c>
      <c r="I640" s="1">
        <v>4256</v>
      </c>
      <c r="J640" t="s">
        <v>9</v>
      </c>
      <c r="K640" s="1">
        <v>12</v>
      </c>
      <c r="L640" s="1">
        <v>3</v>
      </c>
      <c r="M640" s="1">
        <v>5</v>
      </c>
      <c r="N640" s="1">
        <v>4</v>
      </c>
      <c r="O640" s="1">
        <v>5</v>
      </c>
      <c r="P640" s="1">
        <f>COUNTIF(HR_Data[Employee Number],HR_Data[[#This Row],[Employee Number]])</f>
        <v>1</v>
      </c>
      <c r="Q640" s="1" t="str">
        <f>IF(HR_Data[[#This Row],[Years At Company]]&lt;=HR_Data[[#This Row],[Total Working Years]],"Valid","error")</f>
        <v>Valid</v>
      </c>
      <c r="R640" s="1" t="str" cm="1">
        <f t="array" ref="R640">_xlfn.IFS(HR_Data[[#This Row],[Age]]&lt;=30,"Young", HR_Data[[#This Row],[Age]]&lt;=45,"Mid-Age",HR_Data[[#This Row],[Age]]&gt;45,"Senior")</f>
        <v>Young</v>
      </c>
      <c r="S640" s="1" t="str" cm="1">
        <f t="array" ref="S640">_xlfn.IFS(HR_Data[[#This Row],[Monthly Income]]&lt;5000,"Low", HR_Data[[#This Row],[Monthly Income]]&lt;10000,"Medium",TRUE,"High")</f>
        <v>Low</v>
      </c>
      <c r="T640" s="1" t="str" cm="1">
        <f t="array" ref="T640">_xlfn.IFS(HR_Data[[#This Row],[Total Working Years]]&lt;=5,"Junior", HR_Data[[#This Row],[Total Working Years]]&lt;=15,"Mid-Level", TRUE, "Senior")</f>
        <v>Junior</v>
      </c>
    </row>
    <row r="641" spans="1:20" x14ac:dyDescent="0.25">
      <c r="A641" s="1">
        <v>887</v>
      </c>
      <c r="B641" s="1">
        <v>49</v>
      </c>
      <c r="C641" t="s">
        <v>9</v>
      </c>
      <c r="D641" t="s">
        <v>10</v>
      </c>
      <c r="E641" t="s">
        <v>22</v>
      </c>
      <c r="F641" t="s">
        <v>7</v>
      </c>
      <c r="G641" t="s">
        <v>12</v>
      </c>
      <c r="H641" s="1">
        <v>1</v>
      </c>
      <c r="I641" s="1">
        <v>3580</v>
      </c>
      <c r="J641" t="s">
        <v>9</v>
      </c>
      <c r="K641" s="1">
        <v>16</v>
      </c>
      <c r="L641" s="1">
        <v>3</v>
      </c>
      <c r="M641" s="1">
        <v>7</v>
      </c>
      <c r="N641" s="1">
        <v>3</v>
      </c>
      <c r="O641" s="1">
        <v>4</v>
      </c>
      <c r="P641" s="1">
        <f>COUNTIF(HR_Data[Employee Number],HR_Data[[#This Row],[Employee Number]])</f>
        <v>1</v>
      </c>
      <c r="Q641" s="1" t="str">
        <f>IF(HR_Data[[#This Row],[Years At Company]]&lt;=HR_Data[[#This Row],[Total Working Years]],"Valid","error")</f>
        <v>Valid</v>
      </c>
      <c r="R641" s="1" t="str" cm="1">
        <f t="array" ref="R641">_xlfn.IFS(HR_Data[[#This Row],[Age]]&lt;=30,"Young", HR_Data[[#This Row],[Age]]&lt;=45,"Mid-Age",HR_Data[[#This Row],[Age]]&gt;45,"Senior")</f>
        <v>Senior</v>
      </c>
      <c r="S641" s="1" t="str" cm="1">
        <f t="array" ref="S641">_xlfn.IFS(HR_Data[[#This Row],[Monthly Income]]&lt;5000,"Low", HR_Data[[#This Row],[Monthly Income]]&lt;10000,"Medium",TRUE,"High")</f>
        <v>Low</v>
      </c>
      <c r="T641" s="1" t="str" cm="1">
        <f t="array" ref="T641">_xlfn.IFS(HR_Data[[#This Row],[Total Working Years]]&lt;=5,"Junior", HR_Data[[#This Row],[Total Working Years]]&lt;=15,"Mid-Level", TRUE, "Senior")</f>
        <v>Mid-Level</v>
      </c>
    </row>
    <row r="642" spans="1:20" x14ac:dyDescent="0.25">
      <c r="A642" s="1">
        <v>888</v>
      </c>
      <c r="B642" s="1">
        <v>24</v>
      </c>
      <c r="C642" t="s">
        <v>9</v>
      </c>
      <c r="D642" t="s">
        <v>10</v>
      </c>
      <c r="E642" t="s">
        <v>6</v>
      </c>
      <c r="F642" t="s">
        <v>11</v>
      </c>
      <c r="G642" t="s">
        <v>14</v>
      </c>
      <c r="H642" s="1">
        <v>4</v>
      </c>
      <c r="I642" s="1">
        <v>3162</v>
      </c>
      <c r="J642" t="s">
        <v>9</v>
      </c>
      <c r="K642" s="1">
        <v>17</v>
      </c>
      <c r="L642" s="1">
        <v>3</v>
      </c>
      <c r="M642" s="1">
        <v>6</v>
      </c>
      <c r="N642" s="1">
        <v>2</v>
      </c>
      <c r="O642" s="1">
        <v>5</v>
      </c>
      <c r="P642" s="1">
        <f>COUNTIF(HR_Data[Employee Number],HR_Data[[#This Row],[Employee Number]])</f>
        <v>1</v>
      </c>
      <c r="Q642" s="1" t="str">
        <f>IF(HR_Data[[#This Row],[Years At Company]]&lt;=HR_Data[[#This Row],[Total Working Years]],"Valid","error")</f>
        <v>Valid</v>
      </c>
      <c r="R642" s="1" t="str" cm="1">
        <f t="array" ref="R642">_xlfn.IFS(HR_Data[[#This Row],[Age]]&lt;=30,"Young", HR_Data[[#This Row],[Age]]&lt;=45,"Mid-Age",HR_Data[[#This Row],[Age]]&gt;45,"Senior")</f>
        <v>Young</v>
      </c>
      <c r="S642" s="1" t="str" cm="1">
        <f t="array" ref="S642">_xlfn.IFS(HR_Data[[#This Row],[Monthly Income]]&lt;5000,"Low", HR_Data[[#This Row],[Monthly Income]]&lt;10000,"Medium",TRUE,"High")</f>
        <v>Low</v>
      </c>
      <c r="T642" s="1" t="str" cm="1">
        <f t="array" ref="T642">_xlfn.IFS(HR_Data[[#This Row],[Total Working Years]]&lt;=5,"Junior", HR_Data[[#This Row],[Total Working Years]]&lt;=15,"Mid-Level", TRUE, "Senior")</f>
        <v>Mid-Level</v>
      </c>
    </row>
    <row r="643" spans="1:20" x14ac:dyDescent="0.25">
      <c r="A643" s="1">
        <v>889</v>
      </c>
      <c r="B643" s="1">
        <v>32</v>
      </c>
      <c r="C643" t="s">
        <v>9</v>
      </c>
      <c r="D643" t="s">
        <v>5</v>
      </c>
      <c r="E643" t="s">
        <v>6</v>
      </c>
      <c r="F643" t="s">
        <v>11</v>
      </c>
      <c r="G643" t="s">
        <v>8</v>
      </c>
      <c r="H643" s="1">
        <v>2</v>
      </c>
      <c r="I643" s="1">
        <v>6524</v>
      </c>
      <c r="J643" t="s">
        <v>9</v>
      </c>
      <c r="K643" s="1">
        <v>14</v>
      </c>
      <c r="L643" s="1">
        <v>3</v>
      </c>
      <c r="M643" s="1">
        <v>10</v>
      </c>
      <c r="N643" s="1">
        <v>3</v>
      </c>
      <c r="O643" s="1">
        <v>10</v>
      </c>
      <c r="P643" s="1">
        <f>COUNTIF(HR_Data[Employee Number],HR_Data[[#This Row],[Employee Number]])</f>
        <v>1</v>
      </c>
      <c r="Q643" s="1" t="str">
        <f>IF(HR_Data[[#This Row],[Years At Company]]&lt;=HR_Data[[#This Row],[Total Working Years]],"Valid","error")</f>
        <v>Valid</v>
      </c>
      <c r="R643" s="1" t="str" cm="1">
        <f t="array" ref="R643">_xlfn.IFS(HR_Data[[#This Row],[Age]]&lt;=30,"Young", HR_Data[[#This Row],[Age]]&lt;=45,"Mid-Age",HR_Data[[#This Row],[Age]]&gt;45,"Senior")</f>
        <v>Mid-Age</v>
      </c>
      <c r="S643" s="1" t="str" cm="1">
        <f t="array" ref="S643">_xlfn.IFS(HR_Data[[#This Row],[Monthly Income]]&lt;5000,"Low", HR_Data[[#This Row],[Monthly Income]]&lt;10000,"Medium",TRUE,"High")</f>
        <v>Medium</v>
      </c>
      <c r="T643" s="1" t="str" cm="1">
        <f t="array" ref="T643">_xlfn.IFS(HR_Data[[#This Row],[Total Working Years]]&lt;=5,"Junior", HR_Data[[#This Row],[Total Working Years]]&lt;=15,"Mid-Level", TRUE, "Senior")</f>
        <v>Mid-Level</v>
      </c>
    </row>
    <row r="644" spans="1:20" x14ac:dyDescent="0.25">
      <c r="A644" s="1">
        <v>893</v>
      </c>
      <c r="B644" s="1">
        <v>38</v>
      </c>
      <c r="C644" t="s">
        <v>9</v>
      </c>
      <c r="D644" t="s">
        <v>5</v>
      </c>
      <c r="E644" t="s">
        <v>21</v>
      </c>
      <c r="F644" t="s">
        <v>11</v>
      </c>
      <c r="G644" t="s">
        <v>19</v>
      </c>
      <c r="H644" s="1">
        <v>2</v>
      </c>
      <c r="I644" s="1">
        <v>2899</v>
      </c>
      <c r="J644" t="s">
        <v>9</v>
      </c>
      <c r="K644" s="1">
        <v>19</v>
      </c>
      <c r="L644" s="1">
        <v>3</v>
      </c>
      <c r="M644" s="1">
        <v>3</v>
      </c>
      <c r="N644" s="1">
        <v>3</v>
      </c>
      <c r="O644" s="1">
        <v>2</v>
      </c>
      <c r="P644" s="1">
        <f>COUNTIF(HR_Data[Employee Number],HR_Data[[#This Row],[Employee Number]])</f>
        <v>1</v>
      </c>
      <c r="Q644" s="1" t="str">
        <f>IF(HR_Data[[#This Row],[Years At Company]]&lt;=HR_Data[[#This Row],[Total Working Years]],"Valid","error")</f>
        <v>Valid</v>
      </c>
      <c r="R644" s="1" t="str" cm="1">
        <f t="array" ref="R644">_xlfn.IFS(HR_Data[[#This Row],[Age]]&lt;=30,"Young", HR_Data[[#This Row],[Age]]&lt;=45,"Mid-Age",HR_Data[[#This Row],[Age]]&gt;45,"Senior")</f>
        <v>Mid-Age</v>
      </c>
      <c r="S644" s="1" t="str" cm="1">
        <f t="array" ref="S644">_xlfn.IFS(HR_Data[[#This Row],[Monthly Income]]&lt;5000,"Low", HR_Data[[#This Row],[Monthly Income]]&lt;10000,"Medium",TRUE,"High")</f>
        <v>Low</v>
      </c>
      <c r="T644" s="1" t="str" cm="1">
        <f t="array" ref="T644">_xlfn.IFS(HR_Data[[#This Row],[Total Working Years]]&lt;=5,"Junior", HR_Data[[#This Row],[Total Working Years]]&lt;=15,"Mid-Level", TRUE, "Senior")</f>
        <v>Junior</v>
      </c>
    </row>
    <row r="645" spans="1:20" x14ac:dyDescent="0.25">
      <c r="A645" s="1">
        <v>894</v>
      </c>
      <c r="B645" s="1">
        <v>42</v>
      </c>
      <c r="C645" t="s">
        <v>9</v>
      </c>
      <c r="D645" t="s">
        <v>10</v>
      </c>
      <c r="E645" t="s">
        <v>6</v>
      </c>
      <c r="F645" t="s">
        <v>7</v>
      </c>
      <c r="G645" t="s">
        <v>14</v>
      </c>
      <c r="H645" s="1">
        <v>4</v>
      </c>
      <c r="I645" s="1">
        <v>5231</v>
      </c>
      <c r="J645" t="s">
        <v>4</v>
      </c>
      <c r="K645" s="1">
        <v>13</v>
      </c>
      <c r="L645" s="1">
        <v>3</v>
      </c>
      <c r="M645" s="1">
        <v>17</v>
      </c>
      <c r="N645" s="1">
        <v>2</v>
      </c>
      <c r="O645" s="1">
        <v>5</v>
      </c>
      <c r="P645" s="1">
        <f>COUNTIF(HR_Data[Employee Number],HR_Data[[#This Row],[Employee Number]])</f>
        <v>1</v>
      </c>
      <c r="Q645" s="1" t="str">
        <f>IF(HR_Data[[#This Row],[Years At Company]]&lt;=HR_Data[[#This Row],[Total Working Years]],"Valid","error")</f>
        <v>Valid</v>
      </c>
      <c r="R645" s="1" t="str" cm="1">
        <f t="array" ref="R645">_xlfn.IFS(HR_Data[[#This Row],[Age]]&lt;=30,"Young", HR_Data[[#This Row],[Age]]&lt;=45,"Mid-Age",HR_Data[[#This Row],[Age]]&gt;45,"Senior")</f>
        <v>Mid-Age</v>
      </c>
      <c r="S645" s="1" t="str" cm="1">
        <f t="array" ref="S645">_xlfn.IFS(HR_Data[[#This Row],[Monthly Income]]&lt;5000,"Low", HR_Data[[#This Row],[Monthly Income]]&lt;10000,"Medium",TRUE,"High")</f>
        <v>Medium</v>
      </c>
      <c r="T645" s="1" t="str" cm="1">
        <f t="array" ref="T645">_xlfn.IFS(HR_Data[[#This Row],[Total Working Years]]&lt;=5,"Junior", HR_Data[[#This Row],[Total Working Years]]&lt;=15,"Mid-Level", TRUE, "Senior")</f>
        <v>Senior</v>
      </c>
    </row>
    <row r="646" spans="1:20" x14ac:dyDescent="0.25">
      <c r="A646" s="1">
        <v>895</v>
      </c>
      <c r="B646" s="1">
        <v>31</v>
      </c>
      <c r="C646" t="s">
        <v>9</v>
      </c>
      <c r="D646" t="s">
        <v>10</v>
      </c>
      <c r="E646" t="s">
        <v>6</v>
      </c>
      <c r="F646" t="s">
        <v>11</v>
      </c>
      <c r="G646" t="s">
        <v>12</v>
      </c>
      <c r="H646" s="1">
        <v>4</v>
      </c>
      <c r="I646" s="1">
        <v>2356</v>
      </c>
      <c r="J646" t="s">
        <v>4</v>
      </c>
      <c r="K646" s="1">
        <v>19</v>
      </c>
      <c r="L646" s="1">
        <v>3</v>
      </c>
      <c r="M646" s="1">
        <v>8</v>
      </c>
      <c r="N646" s="1">
        <v>3</v>
      </c>
      <c r="O646" s="1">
        <v>6</v>
      </c>
      <c r="P646" s="1">
        <f>COUNTIF(HR_Data[Employee Number],HR_Data[[#This Row],[Employee Number]])</f>
        <v>1</v>
      </c>
      <c r="Q646" s="1" t="str">
        <f>IF(HR_Data[[#This Row],[Years At Company]]&lt;=HR_Data[[#This Row],[Total Working Years]],"Valid","error")</f>
        <v>Valid</v>
      </c>
      <c r="R646" s="1" t="str" cm="1">
        <f t="array" ref="R646">_xlfn.IFS(HR_Data[[#This Row],[Age]]&lt;=30,"Young", HR_Data[[#This Row],[Age]]&lt;=45,"Mid-Age",HR_Data[[#This Row],[Age]]&gt;45,"Senior")</f>
        <v>Mid-Age</v>
      </c>
      <c r="S646" s="1" t="str" cm="1">
        <f t="array" ref="S646">_xlfn.IFS(HR_Data[[#This Row],[Monthly Income]]&lt;5000,"Low", HR_Data[[#This Row],[Monthly Income]]&lt;10000,"Medium",TRUE,"High")</f>
        <v>Low</v>
      </c>
      <c r="T646" s="1" t="str" cm="1">
        <f t="array" ref="T646">_xlfn.IFS(HR_Data[[#This Row],[Total Working Years]]&lt;=5,"Junior", HR_Data[[#This Row],[Total Working Years]]&lt;=15,"Mid-Level", TRUE, "Senior")</f>
        <v>Mid-Level</v>
      </c>
    </row>
    <row r="647" spans="1:20" x14ac:dyDescent="0.25">
      <c r="A647" s="1">
        <v>896</v>
      </c>
      <c r="B647" s="1">
        <v>29</v>
      </c>
      <c r="C647" t="s">
        <v>4</v>
      </c>
      <c r="D647" t="s">
        <v>5</v>
      </c>
      <c r="E647" t="s">
        <v>15</v>
      </c>
      <c r="F647" t="s">
        <v>7</v>
      </c>
      <c r="G647" t="s">
        <v>19</v>
      </c>
      <c r="H647" s="1">
        <v>3</v>
      </c>
      <c r="I647" s="1">
        <v>2800</v>
      </c>
      <c r="J647" t="s">
        <v>4</v>
      </c>
      <c r="K647" s="1">
        <v>19</v>
      </c>
      <c r="L647" s="1">
        <v>3</v>
      </c>
      <c r="M647" s="1">
        <v>5</v>
      </c>
      <c r="N647" s="1">
        <v>3</v>
      </c>
      <c r="O647" s="1">
        <v>3</v>
      </c>
      <c r="P647" s="1">
        <f>COUNTIF(HR_Data[Employee Number],HR_Data[[#This Row],[Employee Number]])</f>
        <v>1</v>
      </c>
      <c r="Q647" s="1" t="str">
        <f>IF(HR_Data[[#This Row],[Years At Company]]&lt;=HR_Data[[#This Row],[Total Working Years]],"Valid","error")</f>
        <v>Valid</v>
      </c>
      <c r="R647" s="1" t="str" cm="1">
        <f t="array" ref="R647">_xlfn.IFS(HR_Data[[#This Row],[Age]]&lt;=30,"Young", HR_Data[[#This Row],[Age]]&lt;=45,"Mid-Age",HR_Data[[#This Row],[Age]]&gt;45,"Senior")</f>
        <v>Young</v>
      </c>
      <c r="S647" s="1" t="str" cm="1">
        <f t="array" ref="S647">_xlfn.IFS(HR_Data[[#This Row],[Monthly Income]]&lt;5000,"Low", HR_Data[[#This Row],[Monthly Income]]&lt;10000,"Medium",TRUE,"High")</f>
        <v>Low</v>
      </c>
      <c r="T647" s="1" t="str" cm="1">
        <f t="array" ref="T647">_xlfn.IFS(HR_Data[[#This Row],[Total Working Years]]&lt;=5,"Junior", HR_Data[[#This Row],[Total Working Years]]&lt;=15,"Mid-Level", TRUE, "Senior")</f>
        <v>Junior</v>
      </c>
    </row>
    <row r="648" spans="1:20" x14ac:dyDescent="0.25">
      <c r="A648" s="1">
        <v>897</v>
      </c>
      <c r="B648" s="1">
        <v>53</v>
      </c>
      <c r="C648" t="s">
        <v>9</v>
      </c>
      <c r="D648" t="s">
        <v>5</v>
      </c>
      <c r="E648" t="s">
        <v>21</v>
      </c>
      <c r="F648" t="s">
        <v>11</v>
      </c>
      <c r="G648" t="s">
        <v>8</v>
      </c>
      <c r="H648" s="1">
        <v>4</v>
      </c>
      <c r="I648" s="1">
        <v>11836</v>
      </c>
      <c r="J648" t="s">
        <v>9</v>
      </c>
      <c r="K648" s="1">
        <v>14</v>
      </c>
      <c r="L648" s="1">
        <v>3</v>
      </c>
      <c r="M648" s="1">
        <v>28</v>
      </c>
      <c r="N648" s="1">
        <v>3</v>
      </c>
      <c r="O648" s="1">
        <v>2</v>
      </c>
      <c r="P648" s="1">
        <f>COUNTIF(HR_Data[Employee Number],HR_Data[[#This Row],[Employee Number]])</f>
        <v>1</v>
      </c>
      <c r="Q648" s="1" t="str">
        <f>IF(HR_Data[[#This Row],[Years At Company]]&lt;=HR_Data[[#This Row],[Total Working Years]],"Valid","error")</f>
        <v>Valid</v>
      </c>
      <c r="R648" s="1" t="str" cm="1">
        <f t="array" ref="R648">_xlfn.IFS(HR_Data[[#This Row],[Age]]&lt;=30,"Young", HR_Data[[#This Row],[Age]]&lt;=45,"Mid-Age",HR_Data[[#This Row],[Age]]&gt;45,"Senior")</f>
        <v>Senior</v>
      </c>
      <c r="S648" s="1" t="str" cm="1">
        <f t="array" ref="S648">_xlfn.IFS(HR_Data[[#This Row],[Monthly Income]]&lt;5000,"Low", HR_Data[[#This Row],[Monthly Income]]&lt;10000,"Medium",TRUE,"High")</f>
        <v>High</v>
      </c>
      <c r="T648" s="1" t="str" cm="1">
        <f t="array" ref="T648">_xlfn.IFS(HR_Data[[#This Row],[Total Working Years]]&lt;=5,"Junior", HR_Data[[#This Row],[Total Working Years]]&lt;=15,"Mid-Level", TRUE, "Senior")</f>
        <v>Senior</v>
      </c>
    </row>
    <row r="649" spans="1:20" x14ac:dyDescent="0.25">
      <c r="A649" s="1">
        <v>899</v>
      </c>
      <c r="B649" s="1">
        <v>35</v>
      </c>
      <c r="C649" t="s">
        <v>9</v>
      </c>
      <c r="D649" t="s">
        <v>10</v>
      </c>
      <c r="E649" t="s">
        <v>22</v>
      </c>
      <c r="F649" t="s">
        <v>11</v>
      </c>
      <c r="G649" t="s">
        <v>16</v>
      </c>
      <c r="H649" s="1">
        <v>2</v>
      </c>
      <c r="I649" s="1">
        <v>10903</v>
      </c>
      <c r="J649" t="s">
        <v>9</v>
      </c>
      <c r="K649" s="1">
        <v>16</v>
      </c>
      <c r="L649" s="1">
        <v>3</v>
      </c>
      <c r="M649" s="1">
        <v>16</v>
      </c>
      <c r="N649" s="1">
        <v>3</v>
      </c>
      <c r="O649" s="1">
        <v>13</v>
      </c>
      <c r="P649" s="1">
        <f>COUNTIF(HR_Data[Employee Number],HR_Data[[#This Row],[Employee Number]])</f>
        <v>1</v>
      </c>
      <c r="Q649" s="1" t="str">
        <f>IF(HR_Data[[#This Row],[Years At Company]]&lt;=HR_Data[[#This Row],[Total Working Years]],"Valid","error")</f>
        <v>Valid</v>
      </c>
      <c r="R649" s="1" t="str" cm="1">
        <f t="array" ref="R649">_xlfn.IFS(HR_Data[[#This Row],[Age]]&lt;=30,"Young", HR_Data[[#This Row],[Age]]&lt;=45,"Mid-Age",HR_Data[[#This Row],[Age]]&gt;45,"Senior")</f>
        <v>Mid-Age</v>
      </c>
      <c r="S649" s="1" t="str" cm="1">
        <f t="array" ref="S649">_xlfn.IFS(HR_Data[[#This Row],[Monthly Income]]&lt;5000,"Low", HR_Data[[#This Row],[Monthly Income]]&lt;10000,"Medium",TRUE,"High")</f>
        <v>High</v>
      </c>
      <c r="T649" s="1" t="str" cm="1">
        <f t="array" ref="T649">_xlfn.IFS(HR_Data[[#This Row],[Total Working Years]]&lt;=5,"Junior", HR_Data[[#This Row],[Total Working Years]]&lt;=15,"Mid-Level", TRUE, "Senior")</f>
        <v>Senior</v>
      </c>
    </row>
    <row r="650" spans="1:20" x14ac:dyDescent="0.25">
      <c r="A650" s="1">
        <v>900</v>
      </c>
      <c r="B650" s="1">
        <v>37</v>
      </c>
      <c r="C650" t="s">
        <v>9</v>
      </c>
      <c r="D650" t="s">
        <v>5</v>
      </c>
      <c r="E650" t="s">
        <v>15</v>
      </c>
      <c r="F650" t="s">
        <v>7</v>
      </c>
      <c r="G650" t="s">
        <v>19</v>
      </c>
      <c r="H650" s="1">
        <v>4</v>
      </c>
      <c r="I650" s="1">
        <v>2973</v>
      </c>
      <c r="J650" t="s">
        <v>9</v>
      </c>
      <c r="K650" s="1">
        <v>15</v>
      </c>
      <c r="L650" s="1">
        <v>3</v>
      </c>
      <c r="M650" s="1">
        <v>10</v>
      </c>
      <c r="N650" s="1">
        <v>3</v>
      </c>
      <c r="O650" s="1">
        <v>5</v>
      </c>
      <c r="P650" s="1">
        <f>COUNTIF(HR_Data[Employee Number],HR_Data[[#This Row],[Employee Number]])</f>
        <v>1</v>
      </c>
      <c r="Q650" s="1" t="str">
        <f>IF(HR_Data[[#This Row],[Years At Company]]&lt;=HR_Data[[#This Row],[Total Working Years]],"Valid","error")</f>
        <v>Valid</v>
      </c>
      <c r="R650" s="1" t="str" cm="1">
        <f t="array" ref="R650">_xlfn.IFS(HR_Data[[#This Row],[Age]]&lt;=30,"Young", HR_Data[[#This Row],[Age]]&lt;=45,"Mid-Age",HR_Data[[#This Row],[Age]]&gt;45,"Senior")</f>
        <v>Mid-Age</v>
      </c>
      <c r="S650" s="1" t="str" cm="1">
        <f t="array" ref="S650">_xlfn.IFS(HR_Data[[#This Row],[Monthly Income]]&lt;5000,"Low", HR_Data[[#This Row],[Monthly Income]]&lt;10000,"Medium",TRUE,"High")</f>
        <v>Low</v>
      </c>
      <c r="T650" s="1" t="str" cm="1">
        <f t="array" ref="T650">_xlfn.IFS(HR_Data[[#This Row],[Total Working Years]]&lt;=5,"Junior", HR_Data[[#This Row],[Total Working Years]]&lt;=15,"Mid-Level", TRUE, "Senior")</f>
        <v>Mid-Level</v>
      </c>
    </row>
    <row r="651" spans="1:20" x14ac:dyDescent="0.25">
      <c r="A651" s="1">
        <v>901</v>
      </c>
      <c r="B651" s="1">
        <v>53</v>
      </c>
      <c r="C651" t="s">
        <v>9</v>
      </c>
      <c r="D651" t="s">
        <v>10</v>
      </c>
      <c r="E651" t="s">
        <v>6</v>
      </c>
      <c r="F651" t="s">
        <v>7</v>
      </c>
      <c r="G651" t="s">
        <v>20</v>
      </c>
      <c r="H651" s="1">
        <v>4</v>
      </c>
      <c r="I651" s="1">
        <v>14275</v>
      </c>
      <c r="J651" t="s">
        <v>9</v>
      </c>
      <c r="K651" s="1">
        <v>18</v>
      </c>
      <c r="L651" s="1">
        <v>3</v>
      </c>
      <c r="M651" s="1">
        <v>33</v>
      </c>
      <c r="N651" s="1">
        <v>3</v>
      </c>
      <c r="O651" s="1">
        <v>12</v>
      </c>
      <c r="P651" s="1">
        <f>COUNTIF(HR_Data[Employee Number],HR_Data[[#This Row],[Employee Number]])</f>
        <v>1</v>
      </c>
      <c r="Q651" s="1" t="str">
        <f>IF(HR_Data[[#This Row],[Years At Company]]&lt;=HR_Data[[#This Row],[Total Working Years]],"Valid","error")</f>
        <v>Valid</v>
      </c>
      <c r="R651" s="1" t="str" cm="1">
        <f t="array" ref="R651">_xlfn.IFS(HR_Data[[#This Row],[Age]]&lt;=30,"Young", HR_Data[[#This Row],[Age]]&lt;=45,"Mid-Age",HR_Data[[#This Row],[Age]]&gt;45,"Senior")</f>
        <v>Senior</v>
      </c>
      <c r="S651" s="1" t="str" cm="1">
        <f t="array" ref="S651">_xlfn.IFS(HR_Data[[#This Row],[Monthly Income]]&lt;5000,"Low", HR_Data[[#This Row],[Monthly Income]]&lt;10000,"Medium",TRUE,"High")</f>
        <v>High</v>
      </c>
      <c r="T651" s="1" t="str" cm="1">
        <f t="array" ref="T651">_xlfn.IFS(HR_Data[[#This Row],[Total Working Years]]&lt;=5,"Junior", HR_Data[[#This Row],[Total Working Years]]&lt;=15,"Mid-Level", TRUE, "Senior")</f>
        <v>Senior</v>
      </c>
    </row>
    <row r="652" spans="1:20" x14ac:dyDescent="0.25">
      <c r="A652" s="1">
        <v>902</v>
      </c>
      <c r="B652" s="1">
        <v>43</v>
      </c>
      <c r="C652" t="s">
        <v>9</v>
      </c>
      <c r="D652" t="s">
        <v>10</v>
      </c>
      <c r="E652" t="s">
        <v>6</v>
      </c>
      <c r="F652" t="s">
        <v>7</v>
      </c>
      <c r="G652" t="s">
        <v>17</v>
      </c>
      <c r="H652" s="1">
        <v>4</v>
      </c>
      <c r="I652" s="1">
        <v>5562</v>
      </c>
      <c r="J652" t="s">
        <v>9</v>
      </c>
      <c r="K652" s="1">
        <v>13</v>
      </c>
      <c r="L652" s="1">
        <v>3</v>
      </c>
      <c r="M652" s="1">
        <v>12</v>
      </c>
      <c r="N652" s="1">
        <v>2</v>
      </c>
      <c r="O652" s="1">
        <v>5</v>
      </c>
      <c r="P652" s="1">
        <f>COUNTIF(HR_Data[Employee Number],HR_Data[[#This Row],[Employee Number]])</f>
        <v>1</v>
      </c>
      <c r="Q652" s="1" t="str">
        <f>IF(HR_Data[[#This Row],[Years At Company]]&lt;=HR_Data[[#This Row],[Total Working Years]],"Valid","error")</f>
        <v>Valid</v>
      </c>
      <c r="R652" s="1" t="str" cm="1">
        <f t="array" ref="R652">_xlfn.IFS(HR_Data[[#This Row],[Age]]&lt;=30,"Young", HR_Data[[#This Row],[Age]]&lt;=45,"Mid-Age",HR_Data[[#This Row],[Age]]&gt;45,"Senior")</f>
        <v>Mid-Age</v>
      </c>
      <c r="S652" s="1" t="str" cm="1">
        <f t="array" ref="S652">_xlfn.IFS(HR_Data[[#This Row],[Monthly Income]]&lt;5000,"Low", HR_Data[[#This Row],[Monthly Income]]&lt;10000,"Medium",TRUE,"High")</f>
        <v>Medium</v>
      </c>
      <c r="T652" s="1" t="str" cm="1">
        <f t="array" ref="T652">_xlfn.IFS(HR_Data[[#This Row],[Total Working Years]]&lt;=5,"Junior", HR_Data[[#This Row],[Total Working Years]]&lt;=15,"Mid-Level", TRUE, "Senior")</f>
        <v>Mid-Level</v>
      </c>
    </row>
    <row r="653" spans="1:20" x14ac:dyDescent="0.25">
      <c r="A653" s="1">
        <v>903</v>
      </c>
      <c r="B653" s="1">
        <v>47</v>
      </c>
      <c r="C653" t="s">
        <v>9</v>
      </c>
      <c r="D653" t="s">
        <v>5</v>
      </c>
      <c r="E653" t="s">
        <v>21</v>
      </c>
      <c r="F653" t="s">
        <v>7</v>
      </c>
      <c r="G653" t="s">
        <v>8</v>
      </c>
      <c r="H653" s="1">
        <v>4</v>
      </c>
      <c r="I653" s="1">
        <v>4537</v>
      </c>
      <c r="J653" t="s">
        <v>4</v>
      </c>
      <c r="K653" s="1">
        <v>22</v>
      </c>
      <c r="L653" s="1">
        <v>4</v>
      </c>
      <c r="M653" s="1">
        <v>8</v>
      </c>
      <c r="N653" s="1">
        <v>3</v>
      </c>
      <c r="O653" s="1">
        <v>7</v>
      </c>
      <c r="P653" s="1">
        <f>COUNTIF(HR_Data[Employee Number],HR_Data[[#This Row],[Employee Number]])</f>
        <v>1</v>
      </c>
      <c r="Q653" s="1" t="str">
        <f>IF(HR_Data[[#This Row],[Years At Company]]&lt;=HR_Data[[#This Row],[Total Working Years]],"Valid","error")</f>
        <v>Valid</v>
      </c>
      <c r="R653" s="1" t="str" cm="1">
        <f t="array" ref="R653">_xlfn.IFS(HR_Data[[#This Row],[Age]]&lt;=30,"Young", HR_Data[[#This Row],[Age]]&lt;=45,"Mid-Age",HR_Data[[#This Row],[Age]]&gt;45,"Senior")</f>
        <v>Senior</v>
      </c>
      <c r="S653" s="1" t="str" cm="1">
        <f t="array" ref="S653">_xlfn.IFS(HR_Data[[#This Row],[Monthly Income]]&lt;5000,"Low", HR_Data[[#This Row],[Monthly Income]]&lt;10000,"Medium",TRUE,"High")</f>
        <v>Low</v>
      </c>
      <c r="T653" s="1" t="str" cm="1">
        <f t="array" ref="T653">_xlfn.IFS(HR_Data[[#This Row],[Total Working Years]]&lt;=5,"Junior", HR_Data[[#This Row],[Total Working Years]]&lt;=15,"Mid-Level", TRUE, "Senior")</f>
        <v>Mid-Level</v>
      </c>
    </row>
    <row r="654" spans="1:20" x14ac:dyDescent="0.25">
      <c r="A654" s="1">
        <v>904</v>
      </c>
      <c r="B654" s="1">
        <v>37</v>
      </c>
      <c r="C654" t="s">
        <v>9</v>
      </c>
      <c r="D654" t="s">
        <v>5</v>
      </c>
      <c r="E654" t="s">
        <v>15</v>
      </c>
      <c r="F654" t="s">
        <v>11</v>
      </c>
      <c r="G654" t="s">
        <v>8</v>
      </c>
      <c r="H654" s="1">
        <v>2</v>
      </c>
      <c r="I654" s="1">
        <v>7642</v>
      </c>
      <c r="J654" t="s">
        <v>4</v>
      </c>
      <c r="K654" s="1">
        <v>13</v>
      </c>
      <c r="L654" s="1">
        <v>3</v>
      </c>
      <c r="M654" s="1">
        <v>10</v>
      </c>
      <c r="N654" s="1">
        <v>3</v>
      </c>
      <c r="O654" s="1">
        <v>10</v>
      </c>
      <c r="P654" s="1">
        <f>COUNTIF(HR_Data[Employee Number],HR_Data[[#This Row],[Employee Number]])</f>
        <v>1</v>
      </c>
      <c r="Q654" s="1" t="str">
        <f>IF(HR_Data[[#This Row],[Years At Company]]&lt;=HR_Data[[#This Row],[Total Working Years]],"Valid","error")</f>
        <v>Valid</v>
      </c>
      <c r="R654" s="1" t="str" cm="1">
        <f t="array" ref="R654">_xlfn.IFS(HR_Data[[#This Row],[Age]]&lt;=30,"Young", HR_Data[[#This Row],[Age]]&lt;=45,"Mid-Age",HR_Data[[#This Row],[Age]]&gt;45,"Senior")</f>
        <v>Mid-Age</v>
      </c>
      <c r="S654" s="1" t="str" cm="1">
        <f t="array" ref="S654">_xlfn.IFS(HR_Data[[#This Row],[Monthly Income]]&lt;5000,"Low", HR_Data[[#This Row],[Monthly Income]]&lt;10000,"Medium",TRUE,"High")</f>
        <v>Medium</v>
      </c>
      <c r="T654" s="1" t="str" cm="1">
        <f t="array" ref="T654">_xlfn.IFS(HR_Data[[#This Row],[Total Working Years]]&lt;=5,"Junior", HR_Data[[#This Row],[Total Working Years]]&lt;=15,"Mid-Level", TRUE, "Senior")</f>
        <v>Mid-Level</v>
      </c>
    </row>
    <row r="655" spans="1:20" x14ac:dyDescent="0.25">
      <c r="A655" s="1">
        <v>905</v>
      </c>
      <c r="B655" s="1">
        <v>50</v>
      </c>
      <c r="C655" t="s">
        <v>9</v>
      </c>
      <c r="D655" t="s">
        <v>10</v>
      </c>
      <c r="E655" t="s">
        <v>6</v>
      </c>
      <c r="F655" t="s">
        <v>11</v>
      </c>
      <c r="G655" t="s">
        <v>18</v>
      </c>
      <c r="H655" s="1">
        <v>1</v>
      </c>
      <c r="I655" s="1">
        <v>17924</v>
      </c>
      <c r="J655" t="s">
        <v>9</v>
      </c>
      <c r="K655" s="1">
        <v>11</v>
      </c>
      <c r="L655" s="1">
        <v>3</v>
      </c>
      <c r="M655" s="1">
        <v>31</v>
      </c>
      <c r="N655" s="1">
        <v>3</v>
      </c>
      <c r="O655" s="1">
        <v>31</v>
      </c>
      <c r="P655" s="1">
        <f>COUNTIF(HR_Data[Employee Number],HR_Data[[#This Row],[Employee Number]])</f>
        <v>1</v>
      </c>
      <c r="Q655" s="1" t="str">
        <f>IF(HR_Data[[#This Row],[Years At Company]]&lt;=HR_Data[[#This Row],[Total Working Years]],"Valid","error")</f>
        <v>Valid</v>
      </c>
      <c r="R655" s="1" t="str" cm="1">
        <f t="array" ref="R655">_xlfn.IFS(HR_Data[[#This Row],[Age]]&lt;=30,"Young", HR_Data[[#This Row],[Age]]&lt;=45,"Mid-Age",HR_Data[[#This Row],[Age]]&gt;45,"Senior")</f>
        <v>Senior</v>
      </c>
      <c r="S655" s="1" t="str" cm="1">
        <f t="array" ref="S655">_xlfn.IFS(HR_Data[[#This Row],[Monthly Income]]&lt;5000,"Low", HR_Data[[#This Row],[Monthly Income]]&lt;10000,"Medium",TRUE,"High")</f>
        <v>High</v>
      </c>
      <c r="T655" s="1" t="str" cm="1">
        <f t="array" ref="T655">_xlfn.IFS(HR_Data[[#This Row],[Total Working Years]]&lt;=5,"Junior", HR_Data[[#This Row],[Total Working Years]]&lt;=15,"Mid-Level", TRUE, "Senior")</f>
        <v>Senior</v>
      </c>
    </row>
    <row r="656" spans="1:20" x14ac:dyDescent="0.25">
      <c r="A656" s="1">
        <v>909</v>
      </c>
      <c r="B656" s="1">
        <v>39</v>
      </c>
      <c r="C656" t="s">
        <v>9</v>
      </c>
      <c r="D656" t="s">
        <v>23</v>
      </c>
      <c r="E656" t="s">
        <v>6</v>
      </c>
      <c r="F656" t="s">
        <v>7</v>
      </c>
      <c r="G656" t="s">
        <v>23</v>
      </c>
      <c r="H656" s="1">
        <v>4</v>
      </c>
      <c r="I656" s="1">
        <v>5204</v>
      </c>
      <c r="J656" t="s">
        <v>9</v>
      </c>
      <c r="K656" s="1">
        <v>11</v>
      </c>
      <c r="L656" s="1">
        <v>3</v>
      </c>
      <c r="M656" s="1">
        <v>13</v>
      </c>
      <c r="N656" s="1">
        <v>3</v>
      </c>
      <c r="O656" s="1">
        <v>5</v>
      </c>
      <c r="P656" s="1">
        <f>COUNTIF(HR_Data[Employee Number],HR_Data[[#This Row],[Employee Number]])</f>
        <v>1</v>
      </c>
      <c r="Q656" s="1" t="str">
        <f>IF(HR_Data[[#This Row],[Years At Company]]&lt;=HR_Data[[#This Row],[Total Working Years]],"Valid","error")</f>
        <v>Valid</v>
      </c>
      <c r="R656" s="1" t="str" cm="1">
        <f t="array" ref="R656">_xlfn.IFS(HR_Data[[#This Row],[Age]]&lt;=30,"Young", HR_Data[[#This Row],[Age]]&lt;=45,"Mid-Age",HR_Data[[#This Row],[Age]]&gt;45,"Senior")</f>
        <v>Mid-Age</v>
      </c>
      <c r="S656" s="1" t="str" cm="1">
        <f t="array" ref="S656">_xlfn.IFS(HR_Data[[#This Row],[Monthly Income]]&lt;5000,"Low", HR_Data[[#This Row],[Monthly Income]]&lt;10000,"Medium",TRUE,"High")</f>
        <v>Medium</v>
      </c>
      <c r="T656" s="1" t="str" cm="1">
        <f t="array" ref="T656">_xlfn.IFS(HR_Data[[#This Row],[Total Working Years]]&lt;=5,"Junior", HR_Data[[#This Row],[Total Working Years]]&lt;=15,"Mid-Level", TRUE, "Senior")</f>
        <v>Mid-Level</v>
      </c>
    </row>
    <row r="657" spans="1:20" x14ac:dyDescent="0.25">
      <c r="A657" s="1">
        <v>910</v>
      </c>
      <c r="B657" s="1">
        <v>33</v>
      </c>
      <c r="C657" t="s">
        <v>9</v>
      </c>
      <c r="D657" t="s">
        <v>23</v>
      </c>
      <c r="E657" t="s">
        <v>23</v>
      </c>
      <c r="F657" t="s">
        <v>11</v>
      </c>
      <c r="G657" t="s">
        <v>23</v>
      </c>
      <c r="H657" s="1">
        <v>2</v>
      </c>
      <c r="I657" s="1">
        <v>2277</v>
      </c>
      <c r="J657" t="s">
        <v>4</v>
      </c>
      <c r="K657" s="1">
        <v>11</v>
      </c>
      <c r="L657" s="1">
        <v>3</v>
      </c>
      <c r="M657" s="1">
        <v>7</v>
      </c>
      <c r="N657" s="1">
        <v>4</v>
      </c>
      <c r="O657" s="1">
        <v>4</v>
      </c>
      <c r="P657" s="1">
        <f>COUNTIF(HR_Data[Employee Number],HR_Data[[#This Row],[Employee Number]])</f>
        <v>1</v>
      </c>
      <c r="Q657" s="1" t="str">
        <f>IF(HR_Data[[#This Row],[Years At Company]]&lt;=HR_Data[[#This Row],[Total Working Years]],"Valid","error")</f>
        <v>Valid</v>
      </c>
      <c r="R657" s="1" t="str" cm="1">
        <f t="array" ref="R657">_xlfn.IFS(HR_Data[[#This Row],[Age]]&lt;=30,"Young", HR_Data[[#This Row],[Age]]&lt;=45,"Mid-Age",HR_Data[[#This Row],[Age]]&gt;45,"Senior")</f>
        <v>Mid-Age</v>
      </c>
      <c r="S657" s="1" t="str" cm="1">
        <f t="array" ref="S657">_xlfn.IFS(HR_Data[[#This Row],[Monthly Income]]&lt;5000,"Low", HR_Data[[#This Row],[Monthly Income]]&lt;10000,"Medium",TRUE,"High")</f>
        <v>Low</v>
      </c>
      <c r="T657" s="1" t="str" cm="1">
        <f t="array" ref="T657">_xlfn.IFS(HR_Data[[#This Row],[Total Working Years]]&lt;=5,"Junior", HR_Data[[#This Row],[Total Working Years]]&lt;=15,"Mid-Level", TRUE, "Senior")</f>
        <v>Mid-Level</v>
      </c>
    </row>
    <row r="658" spans="1:20" x14ac:dyDescent="0.25">
      <c r="A658" s="1">
        <v>911</v>
      </c>
      <c r="B658" s="1">
        <v>32</v>
      </c>
      <c r="C658" t="s">
        <v>4</v>
      </c>
      <c r="D658" t="s">
        <v>10</v>
      </c>
      <c r="E658" t="s">
        <v>6</v>
      </c>
      <c r="F658" t="s">
        <v>11</v>
      </c>
      <c r="G658" t="s">
        <v>14</v>
      </c>
      <c r="H658" s="1">
        <v>4</v>
      </c>
      <c r="I658" s="1">
        <v>2795</v>
      </c>
      <c r="J658" t="s">
        <v>4</v>
      </c>
      <c r="K658" s="1">
        <v>24</v>
      </c>
      <c r="L658" s="1">
        <v>4</v>
      </c>
      <c r="M658" s="1">
        <v>1</v>
      </c>
      <c r="N658" s="1">
        <v>1</v>
      </c>
      <c r="O658" s="1">
        <v>1</v>
      </c>
      <c r="P658" s="1">
        <f>COUNTIF(HR_Data[Employee Number],HR_Data[[#This Row],[Employee Number]])</f>
        <v>1</v>
      </c>
      <c r="Q658" s="1" t="str">
        <f>IF(HR_Data[[#This Row],[Years At Company]]&lt;=HR_Data[[#This Row],[Total Working Years]],"Valid","error")</f>
        <v>Valid</v>
      </c>
      <c r="R658" s="1" t="str" cm="1">
        <f t="array" ref="R658">_xlfn.IFS(HR_Data[[#This Row],[Age]]&lt;=30,"Young", HR_Data[[#This Row],[Age]]&lt;=45,"Mid-Age",HR_Data[[#This Row],[Age]]&gt;45,"Senior")</f>
        <v>Mid-Age</v>
      </c>
      <c r="S658" s="1" t="str" cm="1">
        <f t="array" ref="S658">_xlfn.IFS(HR_Data[[#This Row],[Monthly Income]]&lt;5000,"Low", HR_Data[[#This Row],[Monthly Income]]&lt;10000,"Medium",TRUE,"High")</f>
        <v>Low</v>
      </c>
      <c r="T658" s="1" t="str" cm="1">
        <f t="array" ref="T658">_xlfn.IFS(HR_Data[[#This Row],[Total Working Years]]&lt;=5,"Junior", HR_Data[[#This Row],[Total Working Years]]&lt;=15,"Mid-Level", TRUE, "Senior")</f>
        <v>Junior</v>
      </c>
    </row>
    <row r="659" spans="1:20" x14ac:dyDescent="0.25">
      <c r="A659" s="1">
        <v>912</v>
      </c>
      <c r="B659" s="1">
        <v>29</v>
      </c>
      <c r="C659" t="s">
        <v>9</v>
      </c>
      <c r="D659" t="s">
        <v>10</v>
      </c>
      <c r="E659" t="s">
        <v>15</v>
      </c>
      <c r="F659" t="s">
        <v>7</v>
      </c>
      <c r="G659" t="s">
        <v>14</v>
      </c>
      <c r="H659" s="1">
        <v>4</v>
      </c>
      <c r="I659" s="1">
        <v>2532</v>
      </c>
      <c r="J659" t="s">
        <v>9</v>
      </c>
      <c r="K659" s="1">
        <v>14</v>
      </c>
      <c r="L659" s="1">
        <v>3</v>
      </c>
      <c r="M659" s="1">
        <v>8</v>
      </c>
      <c r="N659" s="1">
        <v>3</v>
      </c>
      <c r="O659" s="1">
        <v>4</v>
      </c>
      <c r="P659" s="1">
        <f>COUNTIF(HR_Data[Employee Number],HR_Data[[#This Row],[Employee Number]])</f>
        <v>1</v>
      </c>
      <c r="Q659" s="1" t="str">
        <f>IF(HR_Data[[#This Row],[Years At Company]]&lt;=HR_Data[[#This Row],[Total Working Years]],"Valid","error")</f>
        <v>Valid</v>
      </c>
      <c r="R659" s="1" t="str" cm="1">
        <f t="array" ref="R659">_xlfn.IFS(HR_Data[[#This Row],[Age]]&lt;=30,"Young", HR_Data[[#This Row],[Age]]&lt;=45,"Mid-Age",HR_Data[[#This Row],[Age]]&gt;45,"Senior")</f>
        <v>Young</v>
      </c>
      <c r="S659" s="1" t="str" cm="1">
        <f t="array" ref="S659">_xlfn.IFS(HR_Data[[#This Row],[Monthly Income]]&lt;5000,"Low", HR_Data[[#This Row],[Monthly Income]]&lt;10000,"Medium",TRUE,"High")</f>
        <v>Low</v>
      </c>
      <c r="T659" s="1" t="str" cm="1">
        <f t="array" ref="T659">_xlfn.IFS(HR_Data[[#This Row],[Total Working Years]]&lt;=5,"Junior", HR_Data[[#This Row],[Total Working Years]]&lt;=15,"Mid-Level", TRUE, "Senior")</f>
        <v>Mid-Level</v>
      </c>
    </row>
    <row r="660" spans="1:20" x14ac:dyDescent="0.25">
      <c r="A660" s="1">
        <v>913</v>
      </c>
      <c r="B660" s="1">
        <v>44</v>
      </c>
      <c r="C660" t="s">
        <v>9</v>
      </c>
      <c r="D660" t="s">
        <v>10</v>
      </c>
      <c r="E660" t="s">
        <v>6</v>
      </c>
      <c r="F660" t="s">
        <v>11</v>
      </c>
      <c r="G660" t="s">
        <v>12</v>
      </c>
      <c r="H660" s="1">
        <v>1</v>
      </c>
      <c r="I660" s="1">
        <v>2559</v>
      </c>
      <c r="J660" t="s">
        <v>4</v>
      </c>
      <c r="K660" s="1">
        <v>13</v>
      </c>
      <c r="L660" s="1">
        <v>3</v>
      </c>
      <c r="M660" s="1">
        <v>8</v>
      </c>
      <c r="N660" s="1">
        <v>3</v>
      </c>
      <c r="O660" s="1">
        <v>8</v>
      </c>
      <c r="P660" s="1">
        <f>COUNTIF(HR_Data[Employee Number],HR_Data[[#This Row],[Employee Number]])</f>
        <v>1</v>
      </c>
      <c r="Q660" s="1" t="str">
        <f>IF(HR_Data[[#This Row],[Years At Company]]&lt;=HR_Data[[#This Row],[Total Working Years]],"Valid","error")</f>
        <v>Valid</v>
      </c>
      <c r="R660" s="1" t="str" cm="1">
        <f t="array" ref="R660">_xlfn.IFS(HR_Data[[#This Row],[Age]]&lt;=30,"Young", HR_Data[[#This Row],[Age]]&lt;=45,"Mid-Age",HR_Data[[#This Row],[Age]]&gt;45,"Senior")</f>
        <v>Mid-Age</v>
      </c>
      <c r="S660" s="1" t="str" cm="1">
        <f t="array" ref="S660">_xlfn.IFS(HR_Data[[#This Row],[Monthly Income]]&lt;5000,"Low", HR_Data[[#This Row],[Monthly Income]]&lt;10000,"Medium",TRUE,"High")</f>
        <v>Low</v>
      </c>
      <c r="T660" s="1" t="str" cm="1">
        <f t="array" ref="T660">_xlfn.IFS(HR_Data[[#This Row],[Total Working Years]]&lt;=5,"Junior", HR_Data[[#This Row],[Total Working Years]]&lt;=15,"Mid-Level", TRUE, "Senior")</f>
        <v>Mid-Level</v>
      </c>
    </row>
    <row r="661" spans="1:20" x14ac:dyDescent="0.25">
      <c r="A661" s="1">
        <v>916</v>
      </c>
      <c r="B661" s="1">
        <v>28</v>
      </c>
      <c r="C661" t="s">
        <v>9</v>
      </c>
      <c r="D661" t="s">
        <v>5</v>
      </c>
      <c r="E661" t="s">
        <v>15</v>
      </c>
      <c r="F661" t="s">
        <v>11</v>
      </c>
      <c r="G661" t="s">
        <v>8</v>
      </c>
      <c r="H661" s="1">
        <v>4</v>
      </c>
      <c r="I661" s="1">
        <v>4908</v>
      </c>
      <c r="J661" t="s">
        <v>9</v>
      </c>
      <c r="K661" s="1">
        <v>14</v>
      </c>
      <c r="L661" s="1">
        <v>3</v>
      </c>
      <c r="M661" s="1">
        <v>4</v>
      </c>
      <c r="N661" s="1">
        <v>3</v>
      </c>
      <c r="O661" s="1">
        <v>4</v>
      </c>
      <c r="P661" s="1">
        <f>COUNTIF(HR_Data[Employee Number],HR_Data[[#This Row],[Employee Number]])</f>
        <v>1</v>
      </c>
      <c r="Q661" s="1" t="str">
        <f>IF(HR_Data[[#This Row],[Years At Company]]&lt;=HR_Data[[#This Row],[Total Working Years]],"Valid","error")</f>
        <v>Valid</v>
      </c>
      <c r="R661" s="1" t="str" cm="1">
        <f t="array" ref="R661">_xlfn.IFS(HR_Data[[#This Row],[Age]]&lt;=30,"Young", HR_Data[[#This Row],[Age]]&lt;=45,"Mid-Age",HR_Data[[#This Row],[Age]]&gt;45,"Senior")</f>
        <v>Young</v>
      </c>
      <c r="S661" s="1" t="str" cm="1">
        <f t="array" ref="S661">_xlfn.IFS(HR_Data[[#This Row],[Monthly Income]]&lt;5000,"Low", HR_Data[[#This Row],[Monthly Income]]&lt;10000,"Medium",TRUE,"High")</f>
        <v>Low</v>
      </c>
      <c r="T661" s="1" t="str" cm="1">
        <f t="array" ref="T661">_xlfn.IFS(HR_Data[[#This Row],[Total Working Years]]&lt;=5,"Junior", HR_Data[[#This Row],[Total Working Years]]&lt;=15,"Mid-Level", TRUE, "Senior")</f>
        <v>Junior</v>
      </c>
    </row>
    <row r="662" spans="1:20" x14ac:dyDescent="0.25">
      <c r="A662" s="1">
        <v>918</v>
      </c>
      <c r="B662" s="1">
        <v>58</v>
      </c>
      <c r="C662" t="s">
        <v>4</v>
      </c>
      <c r="D662" t="s">
        <v>10</v>
      </c>
      <c r="E662" t="s">
        <v>6</v>
      </c>
      <c r="F662" t="s">
        <v>11</v>
      </c>
      <c r="G662" t="s">
        <v>14</v>
      </c>
      <c r="H662" s="1">
        <v>4</v>
      </c>
      <c r="I662" s="1">
        <v>2380</v>
      </c>
      <c r="J662" t="s">
        <v>4</v>
      </c>
      <c r="K662" s="1">
        <v>14</v>
      </c>
      <c r="L662" s="1">
        <v>3</v>
      </c>
      <c r="M662" s="1">
        <v>3</v>
      </c>
      <c r="N662" s="1">
        <v>2</v>
      </c>
      <c r="O662" s="1">
        <v>1</v>
      </c>
      <c r="P662" s="1">
        <f>COUNTIF(HR_Data[Employee Number],HR_Data[[#This Row],[Employee Number]])</f>
        <v>1</v>
      </c>
      <c r="Q662" s="1" t="str">
        <f>IF(HR_Data[[#This Row],[Years At Company]]&lt;=HR_Data[[#This Row],[Total Working Years]],"Valid","error")</f>
        <v>Valid</v>
      </c>
      <c r="R662" s="1" t="str" cm="1">
        <f t="array" ref="R662">_xlfn.IFS(HR_Data[[#This Row],[Age]]&lt;=30,"Young", HR_Data[[#This Row],[Age]]&lt;=45,"Mid-Age",HR_Data[[#This Row],[Age]]&gt;45,"Senior")</f>
        <v>Senior</v>
      </c>
      <c r="S662" s="1" t="str" cm="1">
        <f t="array" ref="S662">_xlfn.IFS(HR_Data[[#This Row],[Monthly Income]]&lt;5000,"Low", HR_Data[[#This Row],[Monthly Income]]&lt;10000,"Medium",TRUE,"High")</f>
        <v>Low</v>
      </c>
      <c r="T662" s="1" t="str" cm="1">
        <f t="array" ref="T662">_xlfn.IFS(HR_Data[[#This Row],[Total Working Years]]&lt;=5,"Junior", HR_Data[[#This Row],[Total Working Years]]&lt;=15,"Mid-Level", TRUE, "Senior")</f>
        <v>Junior</v>
      </c>
    </row>
    <row r="663" spans="1:20" x14ac:dyDescent="0.25">
      <c r="A663" s="1">
        <v>920</v>
      </c>
      <c r="B663" s="1">
        <v>43</v>
      </c>
      <c r="C663" t="s">
        <v>9</v>
      </c>
      <c r="D663" t="s">
        <v>10</v>
      </c>
      <c r="E663" t="s">
        <v>6</v>
      </c>
      <c r="F663" t="s">
        <v>7</v>
      </c>
      <c r="G663" t="s">
        <v>16</v>
      </c>
      <c r="H663" s="1">
        <v>2</v>
      </c>
      <c r="I663" s="1">
        <v>4765</v>
      </c>
      <c r="J663" t="s">
        <v>9</v>
      </c>
      <c r="K663" s="1">
        <v>21</v>
      </c>
      <c r="L663" s="1">
        <v>4</v>
      </c>
      <c r="M663" s="1">
        <v>4</v>
      </c>
      <c r="N663" s="1">
        <v>4</v>
      </c>
      <c r="O663" s="1">
        <v>1</v>
      </c>
      <c r="P663" s="1">
        <f>COUNTIF(HR_Data[Employee Number],HR_Data[[#This Row],[Employee Number]])</f>
        <v>1</v>
      </c>
      <c r="Q663" s="1" t="str">
        <f>IF(HR_Data[[#This Row],[Years At Company]]&lt;=HR_Data[[#This Row],[Total Working Years]],"Valid","error")</f>
        <v>Valid</v>
      </c>
      <c r="R663" s="1" t="str" cm="1">
        <f t="array" ref="R663">_xlfn.IFS(HR_Data[[#This Row],[Age]]&lt;=30,"Young", HR_Data[[#This Row],[Age]]&lt;=45,"Mid-Age",HR_Data[[#This Row],[Age]]&gt;45,"Senior")</f>
        <v>Mid-Age</v>
      </c>
      <c r="S663" s="1" t="str" cm="1">
        <f t="array" ref="S663">_xlfn.IFS(HR_Data[[#This Row],[Monthly Income]]&lt;5000,"Low", HR_Data[[#This Row],[Monthly Income]]&lt;10000,"Medium",TRUE,"High")</f>
        <v>Low</v>
      </c>
      <c r="T663" s="1" t="str" cm="1">
        <f t="array" ref="T663">_xlfn.IFS(HR_Data[[#This Row],[Total Working Years]]&lt;=5,"Junior", HR_Data[[#This Row],[Total Working Years]]&lt;=15,"Mid-Level", TRUE, "Senior")</f>
        <v>Junior</v>
      </c>
    </row>
    <row r="664" spans="1:20" x14ac:dyDescent="0.25">
      <c r="A664" s="1">
        <v>922</v>
      </c>
      <c r="B664" s="1">
        <v>20</v>
      </c>
      <c r="C664" t="s">
        <v>4</v>
      </c>
      <c r="D664" t="s">
        <v>5</v>
      </c>
      <c r="E664" t="s">
        <v>15</v>
      </c>
      <c r="F664" t="s">
        <v>7</v>
      </c>
      <c r="G664" t="s">
        <v>19</v>
      </c>
      <c r="H664" s="1">
        <v>3</v>
      </c>
      <c r="I664" s="1">
        <v>2044</v>
      </c>
      <c r="J664" t="s">
        <v>9</v>
      </c>
      <c r="K664" s="1">
        <v>13</v>
      </c>
      <c r="L664" s="1">
        <v>3</v>
      </c>
      <c r="M664" s="1">
        <v>2</v>
      </c>
      <c r="N664" s="1">
        <v>2</v>
      </c>
      <c r="O664" s="1">
        <v>2</v>
      </c>
      <c r="P664" s="1">
        <f>COUNTIF(HR_Data[Employee Number],HR_Data[[#This Row],[Employee Number]])</f>
        <v>1</v>
      </c>
      <c r="Q664" s="1" t="str">
        <f>IF(HR_Data[[#This Row],[Years At Company]]&lt;=HR_Data[[#This Row],[Total Working Years]],"Valid","error")</f>
        <v>Valid</v>
      </c>
      <c r="R664" s="1" t="str" cm="1">
        <f t="array" ref="R664">_xlfn.IFS(HR_Data[[#This Row],[Age]]&lt;=30,"Young", HR_Data[[#This Row],[Age]]&lt;=45,"Mid-Age",HR_Data[[#This Row],[Age]]&gt;45,"Senior")</f>
        <v>Young</v>
      </c>
      <c r="S664" s="1" t="str" cm="1">
        <f t="array" ref="S664">_xlfn.IFS(HR_Data[[#This Row],[Monthly Income]]&lt;5000,"Low", HR_Data[[#This Row],[Monthly Income]]&lt;10000,"Medium",TRUE,"High")</f>
        <v>Low</v>
      </c>
      <c r="T664" s="1" t="str" cm="1">
        <f t="array" ref="T664">_xlfn.IFS(HR_Data[[#This Row],[Total Working Years]]&lt;=5,"Junior", HR_Data[[#This Row],[Total Working Years]]&lt;=15,"Mid-Level", TRUE, "Senior")</f>
        <v>Junior</v>
      </c>
    </row>
    <row r="665" spans="1:20" x14ac:dyDescent="0.25">
      <c r="A665" s="1">
        <v>923</v>
      </c>
      <c r="B665" s="1">
        <v>21</v>
      </c>
      <c r="C665" t="s">
        <v>4</v>
      </c>
      <c r="D665" t="s">
        <v>10</v>
      </c>
      <c r="E665" t="s">
        <v>13</v>
      </c>
      <c r="F665" t="s">
        <v>7</v>
      </c>
      <c r="G665" t="s">
        <v>12</v>
      </c>
      <c r="H665" s="1">
        <v>4</v>
      </c>
      <c r="I665" s="1">
        <v>2693</v>
      </c>
      <c r="J665" t="s">
        <v>9</v>
      </c>
      <c r="K665" s="1">
        <v>19</v>
      </c>
      <c r="L665" s="1">
        <v>3</v>
      </c>
      <c r="M665" s="1">
        <v>1</v>
      </c>
      <c r="N665" s="1">
        <v>2</v>
      </c>
      <c r="O665" s="1">
        <v>1</v>
      </c>
      <c r="P665" s="1">
        <f>COUNTIF(HR_Data[Employee Number],HR_Data[[#This Row],[Employee Number]])</f>
        <v>1</v>
      </c>
      <c r="Q665" s="1" t="str">
        <f>IF(HR_Data[[#This Row],[Years At Company]]&lt;=HR_Data[[#This Row],[Total Working Years]],"Valid","error")</f>
        <v>Valid</v>
      </c>
      <c r="R665" s="1" t="str" cm="1">
        <f t="array" ref="R665">_xlfn.IFS(HR_Data[[#This Row],[Age]]&lt;=30,"Young", HR_Data[[#This Row],[Age]]&lt;=45,"Mid-Age",HR_Data[[#This Row],[Age]]&gt;45,"Senior")</f>
        <v>Young</v>
      </c>
      <c r="S665" s="1" t="str" cm="1">
        <f t="array" ref="S665">_xlfn.IFS(HR_Data[[#This Row],[Monthly Income]]&lt;5000,"Low", HR_Data[[#This Row],[Monthly Income]]&lt;10000,"Medium",TRUE,"High")</f>
        <v>Low</v>
      </c>
      <c r="T665" s="1" t="str" cm="1">
        <f t="array" ref="T665">_xlfn.IFS(HR_Data[[#This Row],[Total Working Years]]&lt;=5,"Junior", HR_Data[[#This Row],[Total Working Years]]&lt;=15,"Mid-Level", TRUE, "Senior")</f>
        <v>Junior</v>
      </c>
    </row>
    <row r="666" spans="1:20" x14ac:dyDescent="0.25">
      <c r="A666" s="1">
        <v>924</v>
      </c>
      <c r="B666" s="1">
        <v>36</v>
      </c>
      <c r="C666" t="s">
        <v>9</v>
      </c>
      <c r="D666" t="s">
        <v>10</v>
      </c>
      <c r="E666" t="s">
        <v>6</v>
      </c>
      <c r="F666" t="s">
        <v>11</v>
      </c>
      <c r="G666" t="s">
        <v>17</v>
      </c>
      <c r="H666" s="1">
        <v>4</v>
      </c>
      <c r="I666" s="1">
        <v>6586</v>
      </c>
      <c r="J666" t="s">
        <v>4</v>
      </c>
      <c r="K666" s="1">
        <v>17</v>
      </c>
      <c r="L666" s="1">
        <v>3</v>
      </c>
      <c r="M666" s="1">
        <v>17</v>
      </c>
      <c r="N666" s="1">
        <v>2</v>
      </c>
      <c r="O666" s="1">
        <v>16</v>
      </c>
      <c r="P666" s="1">
        <f>COUNTIF(HR_Data[Employee Number],HR_Data[[#This Row],[Employee Number]])</f>
        <v>1</v>
      </c>
      <c r="Q666" s="1" t="str">
        <f>IF(HR_Data[[#This Row],[Years At Company]]&lt;=HR_Data[[#This Row],[Total Working Years]],"Valid","error")</f>
        <v>Valid</v>
      </c>
      <c r="R666" s="1" t="str" cm="1">
        <f t="array" ref="R666">_xlfn.IFS(HR_Data[[#This Row],[Age]]&lt;=30,"Young", HR_Data[[#This Row],[Age]]&lt;=45,"Mid-Age",HR_Data[[#This Row],[Age]]&gt;45,"Senior")</f>
        <v>Mid-Age</v>
      </c>
      <c r="S666" s="1" t="str" cm="1">
        <f t="array" ref="S666">_xlfn.IFS(HR_Data[[#This Row],[Monthly Income]]&lt;5000,"Low", HR_Data[[#This Row],[Monthly Income]]&lt;10000,"Medium",TRUE,"High")</f>
        <v>Medium</v>
      </c>
      <c r="T666" s="1" t="str" cm="1">
        <f t="array" ref="T666">_xlfn.IFS(HR_Data[[#This Row],[Total Working Years]]&lt;=5,"Junior", HR_Data[[#This Row],[Total Working Years]]&lt;=15,"Mid-Level", TRUE, "Senior")</f>
        <v>Senior</v>
      </c>
    </row>
    <row r="667" spans="1:20" x14ac:dyDescent="0.25">
      <c r="A667" s="1">
        <v>925</v>
      </c>
      <c r="B667" s="1">
        <v>47</v>
      </c>
      <c r="C667" t="s">
        <v>9</v>
      </c>
      <c r="D667" t="s">
        <v>5</v>
      </c>
      <c r="E667" t="s">
        <v>6</v>
      </c>
      <c r="F667" t="s">
        <v>7</v>
      </c>
      <c r="G667" t="s">
        <v>19</v>
      </c>
      <c r="H667" s="1">
        <v>4</v>
      </c>
      <c r="I667" s="1">
        <v>3294</v>
      </c>
      <c r="J667" t="s">
        <v>4</v>
      </c>
      <c r="K667" s="1">
        <v>18</v>
      </c>
      <c r="L667" s="1">
        <v>3</v>
      </c>
      <c r="M667" s="1">
        <v>3</v>
      </c>
      <c r="N667" s="1">
        <v>2</v>
      </c>
      <c r="O667" s="1">
        <v>3</v>
      </c>
      <c r="P667" s="1">
        <f>COUNTIF(HR_Data[Employee Number],HR_Data[[#This Row],[Employee Number]])</f>
        <v>1</v>
      </c>
      <c r="Q667" s="1" t="str">
        <f>IF(HR_Data[[#This Row],[Years At Company]]&lt;=HR_Data[[#This Row],[Total Working Years]],"Valid","error")</f>
        <v>Valid</v>
      </c>
      <c r="R667" s="1" t="str" cm="1">
        <f t="array" ref="R667">_xlfn.IFS(HR_Data[[#This Row],[Age]]&lt;=30,"Young", HR_Data[[#This Row],[Age]]&lt;=45,"Mid-Age",HR_Data[[#This Row],[Age]]&gt;45,"Senior")</f>
        <v>Senior</v>
      </c>
      <c r="S667" s="1" t="str" cm="1">
        <f t="array" ref="S667">_xlfn.IFS(HR_Data[[#This Row],[Monthly Income]]&lt;5000,"Low", HR_Data[[#This Row],[Monthly Income]]&lt;10000,"Medium",TRUE,"High")</f>
        <v>Low</v>
      </c>
      <c r="T667" s="1" t="str" cm="1">
        <f t="array" ref="T667">_xlfn.IFS(HR_Data[[#This Row],[Total Working Years]]&lt;=5,"Junior", HR_Data[[#This Row],[Total Working Years]]&lt;=15,"Mid-Level", TRUE, "Senior")</f>
        <v>Junior</v>
      </c>
    </row>
    <row r="668" spans="1:20" x14ac:dyDescent="0.25">
      <c r="A668" s="1">
        <v>926</v>
      </c>
      <c r="B668" s="1">
        <v>22</v>
      </c>
      <c r="C668" t="s">
        <v>4</v>
      </c>
      <c r="D668" t="s">
        <v>10</v>
      </c>
      <c r="E668" t="s">
        <v>6</v>
      </c>
      <c r="F668" t="s">
        <v>7</v>
      </c>
      <c r="G668" t="s">
        <v>16</v>
      </c>
      <c r="H668" s="1">
        <v>3</v>
      </c>
      <c r="I668" s="1">
        <v>4171</v>
      </c>
      <c r="J668" t="s">
        <v>4</v>
      </c>
      <c r="K668" s="1">
        <v>19</v>
      </c>
      <c r="L668" s="1">
        <v>3</v>
      </c>
      <c r="M668" s="1">
        <v>4</v>
      </c>
      <c r="N668" s="1">
        <v>4</v>
      </c>
      <c r="O668" s="1">
        <v>3</v>
      </c>
      <c r="P668" s="1">
        <f>COUNTIF(HR_Data[Employee Number],HR_Data[[#This Row],[Employee Number]])</f>
        <v>1</v>
      </c>
      <c r="Q668" s="1" t="str">
        <f>IF(HR_Data[[#This Row],[Years At Company]]&lt;=HR_Data[[#This Row],[Total Working Years]],"Valid","error")</f>
        <v>Valid</v>
      </c>
      <c r="R668" s="1" t="str" cm="1">
        <f t="array" ref="R668">_xlfn.IFS(HR_Data[[#This Row],[Age]]&lt;=30,"Young", HR_Data[[#This Row],[Age]]&lt;=45,"Mid-Age",HR_Data[[#This Row],[Age]]&gt;45,"Senior")</f>
        <v>Young</v>
      </c>
      <c r="S668" s="1" t="str" cm="1">
        <f t="array" ref="S668">_xlfn.IFS(HR_Data[[#This Row],[Monthly Income]]&lt;5000,"Low", HR_Data[[#This Row],[Monthly Income]]&lt;10000,"Medium",TRUE,"High")</f>
        <v>Low</v>
      </c>
      <c r="T668" s="1" t="str" cm="1">
        <f t="array" ref="T668">_xlfn.IFS(HR_Data[[#This Row],[Total Working Years]]&lt;=5,"Junior", HR_Data[[#This Row],[Total Working Years]]&lt;=15,"Mid-Level", TRUE, "Senior")</f>
        <v>Junior</v>
      </c>
    </row>
    <row r="669" spans="1:20" x14ac:dyDescent="0.25">
      <c r="A669" s="1">
        <v>927</v>
      </c>
      <c r="B669" s="1">
        <v>41</v>
      </c>
      <c r="C669" t="s">
        <v>4</v>
      </c>
      <c r="D669" t="s">
        <v>10</v>
      </c>
      <c r="E669" t="s">
        <v>6</v>
      </c>
      <c r="F669" t="s">
        <v>7</v>
      </c>
      <c r="G669" t="s">
        <v>14</v>
      </c>
      <c r="H669" s="1">
        <v>4</v>
      </c>
      <c r="I669" s="1">
        <v>2778</v>
      </c>
      <c r="J669" t="s">
        <v>4</v>
      </c>
      <c r="K669" s="1">
        <v>13</v>
      </c>
      <c r="L669" s="1">
        <v>3</v>
      </c>
      <c r="M669" s="1">
        <v>10</v>
      </c>
      <c r="N669" s="1">
        <v>2</v>
      </c>
      <c r="O669" s="1">
        <v>7</v>
      </c>
      <c r="P669" s="1">
        <f>COUNTIF(HR_Data[Employee Number],HR_Data[[#This Row],[Employee Number]])</f>
        <v>1</v>
      </c>
      <c r="Q669" s="1" t="str">
        <f>IF(HR_Data[[#This Row],[Years At Company]]&lt;=HR_Data[[#This Row],[Total Working Years]],"Valid","error")</f>
        <v>Valid</v>
      </c>
      <c r="R669" s="1" t="str" cm="1">
        <f t="array" ref="R669">_xlfn.IFS(HR_Data[[#This Row],[Age]]&lt;=30,"Young", HR_Data[[#This Row],[Age]]&lt;=45,"Mid-Age",HR_Data[[#This Row],[Age]]&gt;45,"Senior")</f>
        <v>Mid-Age</v>
      </c>
      <c r="S669" s="1" t="str" cm="1">
        <f t="array" ref="S669">_xlfn.IFS(HR_Data[[#This Row],[Monthly Income]]&lt;5000,"Low", HR_Data[[#This Row],[Monthly Income]]&lt;10000,"Medium",TRUE,"High")</f>
        <v>Low</v>
      </c>
      <c r="T669" s="1" t="str" cm="1">
        <f t="array" ref="T669">_xlfn.IFS(HR_Data[[#This Row],[Total Working Years]]&lt;=5,"Junior", HR_Data[[#This Row],[Total Working Years]]&lt;=15,"Mid-Level", TRUE, "Senior")</f>
        <v>Mid-Level</v>
      </c>
    </row>
    <row r="670" spans="1:20" x14ac:dyDescent="0.25">
      <c r="A670" s="1">
        <v>930</v>
      </c>
      <c r="B670" s="1">
        <v>28</v>
      </c>
      <c r="C670" t="s">
        <v>9</v>
      </c>
      <c r="D670" t="s">
        <v>10</v>
      </c>
      <c r="E670" t="s">
        <v>15</v>
      </c>
      <c r="F670" t="s">
        <v>7</v>
      </c>
      <c r="G670" t="s">
        <v>12</v>
      </c>
      <c r="H670" s="1">
        <v>3</v>
      </c>
      <c r="I670" s="1">
        <v>2377</v>
      </c>
      <c r="J670" t="s">
        <v>9</v>
      </c>
      <c r="K670" s="1">
        <v>18</v>
      </c>
      <c r="L670" s="1">
        <v>3</v>
      </c>
      <c r="M670" s="1">
        <v>6</v>
      </c>
      <c r="N670" s="1">
        <v>3</v>
      </c>
      <c r="O670" s="1">
        <v>2</v>
      </c>
      <c r="P670" s="1">
        <f>COUNTIF(HR_Data[Employee Number],HR_Data[[#This Row],[Employee Number]])</f>
        <v>1</v>
      </c>
      <c r="Q670" s="1" t="str">
        <f>IF(HR_Data[[#This Row],[Years At Company]]&lt;=HR_Data[[#This Row],[Total Working Years]],"Valid","error")</f>
        <v>Valid</v>
      </c>
      <c r="R670" s="1" t="str" cm="1">
        <f t="array" ref="R670">_xlfn.IFS(HR_Data[[#This Row],[Age]]&lt;=30,"Young", HR_Data[[#This Row],[Age]]&lt;=45,"Mid-Age",HR_Data[[#This Row],[Age]]&gt;45,"Senior")</f>
        <v>Young</v>
      </c>
      <c r="S670" s="1" t="str" cm="1">
        <f t="array" ref="S670">_xlfn.IFS(HR_Data[[#This Row],[Monthly Income]]&lt;5000,"Low", HR_Data[[#This Row],[Monthly Income]]&lt;10000,"Medium",TRUE,"High")</f>
        <v>Low</v>
      </c>
      <c r="T670" s="1" t="str" cm="1">
        <f t="array" ref="T670">_xlfn.IFS(HR_Data[[#This Row],[Total Working Years]]&lt;=5,"Junior", HR_Data[[#This Row],[Total Working Years]]&lt;=15,"Mid-Level", TRUE, "Senior")</f>
        <v>Mid-Level</v>
      </c>
    </row>
    <row r="671" spans="1:20" x14ac:dyDescent="0.25">
      <c r="A671" s="1">
        <v>932</v>
      </c>
      <c r="B671" s="1">
        <v>39</v>
      </c>
      <c r="C671" t="s">
        <v>4</v>
      </c>
      <c r="D671" t="s">
        <v>10</v>
      </c>
      <c r="E671" t="s">
        <v>15</v>
      </c>
      <c r="F671" t="s">
        <v>11</v>
      </c>
      <c r="G671" t="s">
        <v>14</v>
      </c>
      <c r="H671" s="1">
        <v>1</v>
      </c>
      <c r="I671" s="1">
        <v>2404</v>
      </c>
      <c r="J671" t="s">
        <v>4</v>
      </c>
      <c r="K671" s="1">
        <v>21</v>
      </c>
      <c r="L671" s="1">
        <v>4</v>
      </c>
      <c r="M671" s="1">
        <v>8</v>
      </c>
      <c r="N671" s="1">
        <v>1</v>
      </c>
      <c r="O671" s="1">
        <v>2</v>
      </c>
      <c r="P671" s="1">
        <f>COUNTIF(HR_Data[Employee Number],HR_Data[[#This Row],[Employee Number]])</f>
        <v>1</v>
      </c>
      <c r="Q671" s="1" t="str">
        <f>IF(HR_Data[[#This Row],[Years At Company]]&lt;=HR_Data[[#This Row],[Total Working Years]],"Valid","error")</f>
        <v>Valid</v>
      </c>
      <c r="R671" s="1" t="str" cm="1">
        <f t="array" ref="R671">_xlfn.IFS(HR_Data[[#This Row],[Age]]&lt;=30,"Young", HR_Data[[#This Row],[Age]]&lt;=45,"Mid-Age",HR_Data[[#This Row],[Age]]&gt;45,"Senior")</f>
        <v>Mid-Age</v>
      </c>
      <c r="S671" s="1" t="str" cm="1">
        <f t="array" ref="S671">_xlfn.IFS(HR_Data[[#This Row],[Monthly Income]]&lt;5000,"Low", HR_Data[[#This Row],[Monthly Income]]&lt;10000,"Medium",TRUE,"High")</f>
        <v>Low</v>
      </c>
      <c r="T671" s="1" t="str" cm="1">
        <f t="array" ref="T671">_xlfn.IFS(HR_Data[[#This Row],[Total Working Years]]&lt;=5,"Junior", HR_Data[[#This Row],[Total Working Years]]&lt;=15,"Mid-Level", TRUE, "Senior")</f>
        <v>Mid-Level</v>
      </c>
    </row>
    <row r="672" spans="1:20" x14ac:dyDescent="0.25">
      <c r="A672" s="1">
        <v>933</v>
      </c>
      <c r="B672" s="1">
        <v>27</v>
      </c>
      <c r="C672" t="s">
        <v>9</v>
      </c>
      <c r="D672" t="s">
        <v>10</v>
      </c>
      <c r="E672" t="s">
        <v>6</v>
      </c>
      <c r="F672" t="s">
        <v>7</v>
      </c>
      <c r="G672" t="s">
        <v>12</v>
      </c>
      <c r="H672" s="1">
        <v>3</v>
      </c>
      <c r="I672" s="1">
        <v>2318</v>
      </c>
      <c r="J672" t="s">
        <v>9</v>
      </c>
      <c r="K672" s="1">
        <v>19</v>
      </c>
      <c r="L672" s="1">
        <v>3</v>
      </c>
      <c r="M672" s="1">
        <v>1</v>
      </c>
      <c r="N672" s="1">
        <v>3</v>
      </c>
      <c r="O672" s="1">
        <v>1</v>
      </c>
      <c r="P672" s="1">
        <f>COUNTIF(HR_Data[Employee Number],HR_Data[[#This Row],[Employee Number]])</f>
        <v>1</v>
      </c>
      <c r="Q672" s="1" t="str">
        <f>IF(HR_Data[[#This Row],[Years At Company]]&lt;=HR_Data[[#This Row],[Total Working Years]],"Valid","error")</f>
        <v>Valid</v>
      </c>
      <c r="R672" s="1" t="str" cm="1">
        <f t="array" ref="R672">_xlfn.IFS(HR_Data[[#This Row],[Age]]&lt;=30,"Young", HR_Data[[#This Row],[Age]]&lt;=45,"Mid-Age",HR_Data[[#This Row],[Age]]&gt;45,"Senior")</f>
        <v>Young</v>
      </c>
      <c r="S672" s="1" t="str" cm="1">
        <f t="array" ref="S672">_xlfn.IFS(HR_Data[[#This Row],[Monthly Income]]&lt;5000,"Low", HR_Data[[#This Row],[Monthly Income]]&lt;10000,"Medium",TRUE,"High")</f>
        <v>Low</v>
      </c>
      <c r="T672" s="1" t="str" cm="1">
        <f t="array" ref="T672">_xlfn.IFS(HR_Data[[#This Row],[Total Working Years]]&lt;=5,"Junior", HR_Data[[#This Row],[Total Working Years]]&lt;=15,"Mid-Level", TRUE, "Senior")</f>
        <v>Junior</v>
      </c>
    </row>
    <row r="673" spans="1:20" x14ac:dyDescent="0.25">
      <c r="A673" s="1">
        <v>934</v>
      </c>
      <c r="B673" s="1">
        <v>34</v>
      </c>
      <c r="C673" t="s">
        <v>9</v>
      </c>
      <c r="D673" t="s">
        <v>10</v>
      </c>
      <c r="E673" t="s">
        <v>6</v>
      </c>
      <c r="F673" t="s">
        <v>11</v>
      </c>
      <c r="G673" t="s">
        <v>14</v>
      </c>
      <c r="H673" s="1">
        <v>2</v>
      </c>
      <c r="I673" s="1">
        <v>2008</v>
      </c>
      <c r="J673" t="s">
        <v>9</v>
      </c>
      <c r="K673" s="1">
        <v>14</v>
      </c>
      <c r="L673" s="1">
        <v>3</v>
      </c>
      <c r="M673" s="1">
        <v>1</v>
      </c>
      <c r="N673" s="1">
        <v>3</v>
      </c>
      <c r="O673" s="1">
        <v>1</v>
      </c>
      <c r="P673" s="1">
        <f>COUNTIF(HR_Data[Employee Number],HR_Data[[#This Row],[Employee Number]])</f>
        <v>1</v>
      </c>
      <c r="Q673" s="1" t="str">
        <f>IF(HR_Data[[#This Row],[Years At Company]]&lt;=HR_Data[[#This Row],[Total Working Years]],"Valid","error")</f>
        <v>Valid</v>
      </c>
      <c r="R673" s="1" t="str" cm="1">
        <f t="array" ref="R673">_xlfn.IFS(HR_Data[[#This Row],[Age]]&lt;=30,"Young", HR_Data[[#This Row],[Age]]&lt;=45,"Mid-Age",HR_Data[[#This Row],[Age]]&gt;45,"Senior")</f>
        <v>Mid-Age</v>
      </c>
      <c r="S673" s="1" t="str" cm="1">
        <f t="array" ref="S673">_xlfn.IFS(HR_Data[[#This Row],[Monthly Income]]&lt;5000,"Low", HR_Data[[#This Row],[Monthly Income]]&lt;10000,"Medium",TRUE,"High")</f>
        <v>Low</v>
      </c>
      <c r="T673" s="1" t="str" cm="1">
        <f t="array" ref="T673">_xlfn.IFS(HR_Data[[#This Row],[Total Working Years]]&lt;=5,"Junior", HR_Data[[#This Row],[Total Working Years]]&lt;=15,"Mid-Level", TRUE, "Senior")</f>
        <v>Junior</v>
      </c>
    </row>
    <row r="674" spans="1:20" x14ac:dyDescent="0.25">
      <c r="A674" s="1">
        <v>936</v>
      </c>
      <c r="B674" s="1">
        <v>42</v>
      </c>
      <c r="C674" t="s">
        <v>9</v>
      </c>
      <c r="D674" t="s">
        <v>5</v>
      </c>
      <c r="E674" t="s">
        <v>15</v>
      </c>
      <c r="F674" t="s">
        <v>7</v>
      </c>
      <c r="G674" t="s">
        <v>8</v>
      </c>
      <c r="H674" s="1">
        <v>3</v>
      </c>
      <c r="I674" s="1">
        <v>6244</v>
      </c>
      <c r="J674" t="s">
        <v>9</v>
      </c>
      <c r="K674" s="1">
        <v>17</v>
      </c>
      <c r="L674" s="1">
        <v>3</v>
      </c>
      <c r="M674" s="1">
        <v>10</v>
      </c>
      <c r="N674" s="1">
        <v>3</v>
      </c>
      <c r="O674" s="1">
        <v>5</v>
      </c>
      <c r="P674" s="1">
        <f>COUNTIF(HR_Data[Employee Number],HR_Data[[#This Row],[Employee Number]])</f>
        <v>1</v>
      </c>
      <c r="Q674" s="1" t="str">
        <f>IF(HR_Data[[#This Row],[Years At Company]]&lt;=HR_Data[[#This Row],[Total Working Years]],"Valid","error")</f>
        <v>Valid</v>
      </c>
      <c r="R674" s="1" t="str" cm="1">
        <f t="array" ref="R674">_xlfn.IFS(HR_Data[[#This Row],[Age]]&lt;=30,"Young", HR_Data[[#This Row],[Age]]&lt;=45,"Mid-Age",HR_Data[[#This Row],[Age]]&gt;45,"Senior")</f>
        <v>Mid-Age</v>
      </c>
      <c r="S674" s="1" t="str" cm="1">
        <f t="array" ref="S674">_xlfn.IFS(HR_Data[[#This Row],[Monthly Income]]&lt;5000,"Low", HR_Data[[#This Row],[Monthly Income]]&lt;10000,"Medium",TRUE,"High")</f>
        <v>Medium</v>
      </c>
      <c r="T674" s="1" t="str" cm="1">
        <f t="array" ref="T674">_xlfn.IFS(HR_Data[[#This Row],[Total Working Years]]&lt;=5,"Junior", HR_Data[[#This Row],[Total Working Years]]&lt;=15,"Mid-Level", TRUE, "Senior")</f>
        <v>Mid-Level</v>
      </c>
    </row>
    <row r="675" spans="1:20" x14ac:dyDescent="0.25">
      <c r="A675" s="1">
        <v>939</v>
      </c>
      <c r="B675" s="1">
        <v>33</v>
      </c>
      <c r="C675" t="s">
        <v>9</v>
      </c>
      <c r="D675" t="s">
        <v>10</v>
      </c>
      <c r="E675" t="s">
        <v>13</v>
      </c>
      <c r="F675" t="s">
        <v>11</v>
      </c>
      <c r="G675" t="s">
        <v>12</v>
      </c>
      <c r="H675" s="1">
        <v>1</v>
      </c>
      <c r="I675" s="1">
        <v>2799</v>
      </c>
      <c r="J675" t="s">
        <v>4</v>
      </c>
      <c r="K675" s="1">
        <v>11</v>
      </c>
      <c r="L675" s="1">
        <v>3</v>
      </c>
      <c r="M675" s="1">
        <v>6</v>
      </c>
      <c r="N675" s="1">
        <v>3</v>
      </c>
      <c r="O675" s="1">
        <v>3</v>
      </c>
      <c r="P675" s="1">
        <f>COUNTIF(HR_Data[Employee Number],HR_Data[[#This Row],[Employee Number]])</f>
        <v>1</v>
      </c>
      <c r="Q675" s="1" t="str">
        <f>IF(HR_Data[[#This Row],[Years At Company]]&lt;=HR_Data[[#This Row],[Total Working Years]],"Valid","error")</f>
        <v>Valid</v>
      </c>
      <c r="R675" s="1" t="str" cm="1">
        <f t="array" ref="R675">_xlfn.IFS(HR_Data[[#This Row],[Age]]&lt;=30,"Young", HR_Data[[#This Row],[Age]]&lt;=45,"Mid-Age",HR_Data[[#This Row],[Age]]&gt;45,"Senior")</f>
        <v>Mid-Age</v>
      </c>
      <c r="S675" s="1" t="str" cm="1">
        <f t="array" ref="S675">_xlfn.IFS(HR_Data[[#This Row],[Monthly Income]]&lt;5000,"Low", HR_Data[[#This Row],[Monthly Income]]&lt;10000,"Medium",TRUE,"High")</f>
        <v>Low</v>
      </c>
      <c r="T675" s="1" t="str" cm="1">
        <f t="array" ref="T675">_xlfn.IFS(HR_Data[[#This Row],[Total Working Years]]&lt;=5,"Junior", HR_Data[[#This Row],[Total Working Years]]&lt;=15,"Mid-Level", TRUE, "Senior")</f>
        <v>Mid-Level</v>
      </c>
    </row>
    <row r="676" spans="1:20" x14ac:dyDescent="0.25">
      <c r="A676" s="1">
        <v>940</v>
      </c>
      <c r="B676" s="1">
        <v>58</v>
      </c>
      <c r="C676" t="s">
        <v>9</v>
      </c>
      <c r="D676" t="s">
        <v>10</v>
      </c>
      <c r="E676" t="s">
        <v>22</v>
      </c>
      <c r="F676" t="s">
        <v>7</v>
      </c>
      <c r="G676" t="s">
        <v>17</v>
      </c>
      <c r="H676" s="1">
        <v>2</v>
      </c>
      <c r="I676" s="1">
        <v>10552</v>
      </c>
      <c r="J676" t="s">
        <v>4</v>
      </c>
      <c r="K676" s="1">
        <v>13</v>
      </c>
      <c r="L676" s="1">
        <v>3</v>
      </c>
      <c r="M676" s="1">
        <v>24</v>
      </c>
      <c r="N676" s="1">
        <v>3</v>
      </c>
      <c r="O676" s="1">
        <v>6</v>
      </c>
      <c r="P676" s="1">
        <f>COUNTIF(HR_Data[Employee Number],HR_Data[[#This Row],[Employee Number]])</f>
        <v>1</v>
      </c>
      <c r="Q676" s="1" t="str">
        <f>IF(HR_Data[[#This Row],[Years At Company]]&lt;=HR_Data[[#This Row],[Total Working Years]],"Valid","error")</f>
        <v>Valid</v>
      </c>
      <c r="R676" s="1" t="str" cm="1">
        <f t="array" ref="R676">_xlfn.IFS(HR_Data[[#This Row],[Age]]&lt;=30,"Young", HR_Data[[#This Row],[Age]]&lt;=45,"Mid-Age",HR_Data[[#This Row],[Age]]&gt;45,"Senior")</f>
        <v>Senior</v>
      </c>
      <c r="S676" s="1" t="str" cm="1">
        <f t="array" ref="S676">_xlfn.IFS(HR_Data[[#This Row],[Monthly Income]]&lt;5000,"Low", HR_Data[[#This Row],[Monthly Income]]&lt;10000,"Medium",TRUE,"High")</f>
        <v>High</v>
      </c>
      <c r="T676" s="1" t="str" cm="1">
        <f t="array" ref="T676">_xlfn.IFS(HR_Data[[#This Row],[Total Working Years]]&lt;=5,"Junior", HR_Data[[#This Row],[Total Working Years]]&lt;=15,"Mid-Level", TRUE, "Senior")</f>
        <v>Senior</v>
      </c>
    </row>
    <row r="677" spans="1:20" x14ac:dyDescent="0.25">
      <c r="A677" s="1">
        <v>941</v>
      </c>
      <c r="B677" s="1">
        <v>31</v>
      </c>
      <c r="C677" t="s">
        <v>9</v>
      </c>
      <c r="D677" t="s">
        <v>5</v>
      </c>
      <c r="E677" t="s">
        <v>6</v>
      </c>
      <c r="F677" t="s">
        <v>11</v>
      </c>
      <c r="G677" t="s">
        <v>19</v>
      </c>
      <c r="H677" s="1">
        <v>3</v>
      </c>
      <c r="I677" s="1">
        <v>2329</v>
      </c>
      <c r="J677" t="s">
        <v>9</v>
      </c>
      <c r="K677" s="1">
        <v>15</v>
      </c>
      <c r="L677" s="1">
        <v>3</v>
      </c>
      <c r="M677" s="1">
        <v>13</v>
      </c>
      <c r="N677" s="1">
        <v>4</v>
      </c>
      <c r="O677" s="1">
        <v>7</v>
      </c>
      <c r="P677" s="1">
        <f>COUNTIF(HR_Data[Employee Number],HR_Data[[#This Row],[Employee Number]])</f>
        <v>1</v>
      </c>
      <c r="Q677" s="1" t="str">
        <f>IF(HR_Data[[#This Row],[Years At Company]]&lt;=HR_Data[[#This Row],[Total Working Years]],"Valid","error")</f>
        <v>Valid</v>
      </c>
      <c r="R677" s="1" t="str" cm="1">
        <f t="array" ref="R677">_xlfn.IFS(HR_Data[[#This Row],[Age]]&lt;=30,"Young", HR_Data[[#This Row],[Age]]&lt;=45,"Mid-Age",HR_Data[[#This Row],[Age]]&gt;45,"Senior")</f>
        <v>Mid-Age</v>
      </c>
      <c r="S677" s="1" t="str" cm="1">
        <f t="array" ref="S677">_xlfn.IFS(HR_Data[[#This Row],[Monthly Income]]&lt;5000,"Low", HR_Data[[#This Row],[Monthly Income]]&lt;10000,"Medium",TRUE,"High")</f>
        <v>Low</v>
      </c>
      <c r="T677" s="1" t="str" cm="1">
        <f t="array" ref="T677">_xlfn.IFS(HR_Data[[#This Row],[Total Working Years]]&lt;=5,"Junior", HR_Data[[#This Row],[Total Working Years]]&lt;=15,"Mid-Level", TRUE, "Senior")</f>
        <v>Mid-Level</v>
      </c>
    </row>
    <row r="678" spans="1:20" x14ac:dyDescent="0.25">
      <c r="A678" s="1">
        <v>942</v>
      </c>
      <c r="B678" s="1">
        <v>35</v>
      </c>
      <c r="C678" t="s">
        <v>9</v>
      </c>
      <c r="D678" t="s">
        <v>10</v>
      </c>
      <c r="E678" t="s">
        <v>6</v>
      </c>
      <c r="F678" t="s">
        <v>7</v>
      </c>
      <c r="G678" t="s">
        <v>17</v>
      </c>
      <c r="H678" s="1">
        <v>4</v>
      </c>
      <c r="I678" s="1">
        <v>4014</v>
      </c>
      <c r="J678" t="s">
        <v>4</v>
      </c>
      <c r="K678" s="1">
        <v>25</v>
      </c>
      <c r="L678" s="1">
        <v>4</v>
      </c>
      <c r="M678" s="1">
        <v>10</v>
      </c>
      <c r="N678" s="1">
        <v>1</v>
      </c>
      <c r="O678" s="1">
        <v>10</v>
      </c>
      <c r="P678" s="1">
        <f>COUNTIF(HR_Data[Employee Number],HR_Data[[#This Row],[Employee Number]])</f>
        <v>1</v>
      </c>
      <c r="Q678" s="1" t="str">
        <f>IF(HR_Data[[#This Row],[Years At Company]]&lt;=HR_Data[[#This Row],[Total Working Years]],"Valid","error")</f>
        <v>Valid</v>
      </c>
      <c r="R678" s="1" t="str" cm="1">
        <f t="array" ref="R678">_xlfn.IFS(HR_Data[[#This Row],[Age]]&lt;=30,"Young", HR_Data[[#This Row],[Age]]&lt;=45,"Mid-Age",HR_Data[[#This Row],[Age]]&gt;45,"Senior")</f>
        <v>Mid-Age</v>
      </c>
      <c r="S678" s="1" t="str" cm="1">
        <f t="array" ref="S678">_xlfn.IFS(HR_Data[[#This Row],[Monthly Income]]&lt;5000,"Low", HR_Data[[#This Row],[Monthly Income]]&lt;10000,"Medium",TRUE,"High")</f>
        <v>Low</v>
      </c>
      <c r="T678" s="1" t="str" cm="1">
        <f t="array" ref="T678">_xlfn.IFS(HR_Data[[#This Row],[Total Working Years]]&lt;=5,"Junior", HR_Data[[#This Row],[Total Working Years]]&lt;=15,"Mid-Level", TRUE, "Senior")</f>
        <v>Mid-Level</v>
      </c>
    </row>
    <row r="679" spans="1:20" x14ac:dyDescent="0.25">
      <c r="A679" s="1">
        <v>944</v>
      </c>
      <c r="B679" s="1">
        <v>49</v>
      </c>
      <c r="C679" t="s">
        <v>9</v>
      </c>
      <c r="D679" t="s">
        <v>10</v>
      </c>
      <c r="E679" t="s">
        <v>13</v>
      </c>
      <c r="F679" t="s">
        <v>7</v>
      </c>
      <c r="G679" t="s">
        <v>14</v>
      </c>
      <c r="H679" s="1">
        <v>2</v>
      </c>
      <c r="I679" s="1">
        <v>7403</v>
      </c>
      <c r="J679" t="s">
        <v>9</v>
      </c>
      <c r="K679" s="1">
        <v>11</v>
      </c>
      <c r="L679" s="1">
        <v>3</v>
      </c>
      <c r="M679" s="1">
        <v>29</v>
      </c>
      <c r="N679" s="1">
        <v>2</v>
      </c>
      <c r="O679" s="1">
        <v>26</v>
      </c>
      <c r="P679" s="1">
        <f>COUNTIF(HR_Data[Employee Number],HR_Data[[#This Row],[Employee Number]])</f>
        <v>1</v>
      </c>
      <c r="Q679" s="1" t="str">
        <f>IF(HR_Data[[#This Row],[Years At Company]]&lt;=HR_Data[[#This Row],[Total Working Years]],"Valid","error")</f>
        <v>Valid</v>
      </c>
      <c r="R679" s="1" t="str" cm="1">
        <f t="array" ref="R679">_xlfn.IFS(HR_Data[[#This Row],[Age]]&lt;=30,"Young", HR_Data[[#This Row],[Age]]&lt;=45,"Mid-Age",HR_Data[[#This Row],[Age]]&gt;45,"Senior")</f>
        <v>Senior</v>
      </c>
      <c r="S679" s="1" t="str" cm="1">
        <f t="array" ref="S679">_xlfn.IFS(HR_Data[[#This Row],[Monthly Income]]&lt;5000,"Low", HR_Data[[#This Row],[Monthly Income]]&lt;10000,"Medium",TRUE,"High")</f>
        <v>Medium</v>
      </c>
      <c r="T679" s="1" t="str" cm="1">
        <f t="array" ref="T679">_xlfn.IFS(HR_Data[[#This Row],[Total Working Years]]&lt;=5,"Junior", HR_Data[[#This Row],[Total Working Years]]&lt;=15,"Mid-Level", TRUE, "Senior")</f>
        <v>Senior</v>
      </c>
    </row>
    <row r="680" spans="1:20" x14ac:dyDescent="0.25">
      <c r="A680" s="1">
        <v>945</v>
      </c>
      <c r="B680" s="1">
        <v>48</v>
      </c>
      <c r="C680" t="s">
        <v>9</v>
      </c>
      <c r="D680" t="s">
        <v>10</v>
      </c>
      <c r="E680" t="s">
        <v>15</v>
      </c>
      <c r="F680" t="s">
        <v>11</v>
      </c>
      <c r="G680" t="s">
        <v>12</v>
      </c>
      <c r="H680" s="1">
        <v>3</v>
      </c>
      <c r="I680" s="1">
        <v>2259</v>
      </c>
      <c r="J680" t="s">
        <v>9</v>
      </c>
      <c r="K680" s="1">
        <v>17</v>
      </c>
      <c r="L680" s="1">
        <v>3</v>
      </c>
      <c r="M680" s="1">
        <v>13</v>
      </c>
      <c r="N680" s="1">
        <v>2</v>
      </c>
      <c r="O680" s="1">
        <v>0</v>
      </c>
      <c r="P680" s="1">
        <f>COUNTIF(HR_Data[Employee Number],HR_Data[[#This Row],[Employee Number]])</f>
        <v>1</v>
      </c>
      <c r="Q680" s="1" t="str">
        <f>IF(HR_Data[[#This Row],[Years At Company]]&lt;=HR_Data[[#This Row],[Total Working Years]],"Valid","error")</f>
        <v>Valid</v>
      </c>
      <c r="R680" s="1" t="str" cm="1">
        <f t="array" ref="R680">_xlfn.IFS(HR_Data[[#This Row],[Age]]&lt;=30,"Young", HR_Data[[#This Row],[Age]]&lt;=45,"Mid-Age",HR_Data[[#This Row],[Age]]&gt;45,"Senior")</f>
        <v>Senior</v>
      </c>
      <c r="S680" s="1" t="str" cm="1">
        <f t="array" ref="S680">_xlfn.IFS(HR_Data[[#This Row],[Monthly Income]]&lt;5000,"Low", HR_Data[[#This Row],[Monthly Income]]&lt;10000,"Medium",TRUE,"High")</f>
        <v>Low</v>
      </c>
      <c r="T680" s="1" t="str" cm="1">
        <f t="array" ref="T680">_xlfn.IFS(HR_Data[[#This Row],[Total Working Years]]&lt;=5,"Junior", HR_Data[[#This Row],[Total Working Years]]&lt;=15,"Mid-Level", TRUE, "Senior")</f>
        <v>Mid-Level</v>
      </c>
    </row>
    <row r="681" spans="1:20" x14ac:dyDescent="0.25">
      <c r="A681" s="1">
        <v>947</v>
      </c>
      <c r="B681" s="1">
        <v>31</v>
      </c>
      <c r="C681" t="s">
        <v>9</v>
      </c>
      <c r="D681" t="s">
        <v>5</v>
      </c>
      <c r="E681" t="s">
        <v>21</v>
      </c>
      <c r="F681" t="s">
        <v>7</v>
      </c>
      <c r="G681" t="s">
        <v>8</v>
      </c>
      <c r="H681" s="1">
        <v>3</v>
      </c>
      <c r="I681" s="1">
        <v>6932</v>
      </c>
      <c r="J681" t="s">
        <v>9</v>
      </c>
      <c r="K681" s="1">
        <v>13</v>
      </c>
      <c r="L681" s="1">
        <v>3</v>
      </c>
      <c r="M681" s="1">
        <v>9</v>
      </c>
      <c r="N681" s="1">
        <v>2</v>
      </c>
      <c r="O681" s="1">
        <v>9</v>
      </c>
      <c r="P681" s="1">
        <f>COUNTIF(HR_Data[Employee Number],HR_Data[[#This Row],[Employee Number]])</f>
        <v>1</v>
      </c>
      <c r="Q681" s="1" t="str">
        <f>IF(HR_Data[[#This Row],[Years At Company]]&lt;=HR_Data[[#This Row],[Total Working Years]],"Valid","error")</f>
        <v>Valid</v>
      </c>
      <c r="R681" s="1" t="str" cm="1">
        <f t="array" ref="R681">_xlfn.IFS(HR_Data[[#This Row],[Age]]&lt;=30,"Young", HR_Data[[#This Row],[Age]]&lt;=45,"Mid-Age",HR_Data[[#This Row],[Age]]&gt;45,"Senior")</f>
        <v>Mid-Age</v>
      </c>
      <c r="S681" s="1" t="str" cm="1">
        <f t="array" ref="S681">_xlfn.IFS(HR_Data[[#This Row],[Monthly Income]]&lt;5000,"Low", HR_Data[[#This Row],[Monthly Income]]&lt;10000,"Medium",TRUE,"High")</f>
        <v>Medium</v>
      </c>
      <c r="T681" s="1" t="str" cm="1">
        <f t="array" ref="T681">_xlfn.IFS(HR_Data[[#This Row],[Total Working Years]]&lt;=5,"Junior", HR_Data[[#This Row],[Total Working Years]]&lt;=15,"Mid-Level", TRUE, "Senior")</f>
        <v>Mid-Level</v>
      </c>
    </row>
    <row r="682" spans="1:20" x14ac:dyDescent="0.25">
      <c r="A682" s="1">
        <v>949</v>
      </c>
      <c r="B682" s="1">
        <v>36</v>
      </c>
      <c r="C682" t="s">
        <v>9</v>
      </c>
      <c r="D682" t="s">
        <v>10</v>
      </c>
      <c r="E682" t="s">
        <v>13</v>
      </c>
      <c r="F682" t="s">
        <v>11</v>
      </c>
      <c r="G682" t="s">
        <v>12</v>
      </c>
      <c r="H682" s="1">
        <v>4</v>
      </c>
      <c r="I682" s="1">
        <v>4678</v>
      </c>
      <c r="J682" t="s">
        <v>9</v>
      </c>
      <c r="K682" s="1">
        <v>18</v>
      </c>
      <c r="L682" s="1">
        <v>3</v>
      </c>
      <c r="M682" s="1">
        <v>8</v>
      </c>
      <c r="N682" s="1">
        <v>3</v>
      </c>
      <c r="O682" s="1">
        <v>6</v>
      </c>
      <c r="P682" s="1">
        <f>COUNTIF(HR_Data[Employee Number],HR_Data[[#This Row],[Employee Number]])</f>
        <v>1</v>
      </c>
      <c r="Q682" s="1" t="str">
        <f>IF(HR_Data[[#This Row],[Years At Company]]&lt;=HR_Data[[#This Row],[Total Working Years]],"Valid","error")</f>
        <v>Valid</v>
      </c>
      <c r="R682" s="1" t="str" cm="1">
        <f t="array" ref="R682">_xlfn.IFS(HR_Data[[#This Row],[Age]]&lt;=30,"Young", HR_Data[[#This Row],[Age]]&lt;=45,"Mid-Age",HR_Data[[#This Row],[Age]]&gt;45,"Senior")</f>
        <v>Mid-Age</v>
      </c>
      <c r="S682" s="1" t="str" cm="1">
        <f t="array" ref="S682">_xlfn.IFS(HR_Data[[#This Row],[Monthly Income]]&lt;5000,"Low", HR_Data[[#This Row],[Monthly Income]]&lt;10000,"Medium",TRUE,"High")</f>
        <v>Low</v>
      </c>
      <c r="T682" s="1" t="str" cm="1">
        <f t="array" ref="T682">_xlfn.IFS(HR_Data[[#This Row],[Total Working Years]]&lt;=5,"Junior", HR_Data[[#This Row],[Total Working Years]]&lt;=15,"Mid-Level", TRUE, "Senior")</f>
        <v>Mid-Level</v>
      </c>
    </row>
    <row r="683" spans="1:20" x14ac:dyDescent="0.25">
      <c r="A683" s="1">
        <v>950</v>
      </c>
      <c r="B683" s="1">
        <v>38</v>
      </c>
      <c r="C683" t="s">
        <v>9</v>
      </c>
      <c r="D683" t="s">
        <v>10</v>
      </c>
      <c r="E683" t="s">
        <v>22</v>
      </c>
      <c r="F683" t="s">
        <v>7</v>
      </c>
      <c r="G683" t="s">
        <v>20</v>
      </c>
      <c r="H683" s="1">
        <v>1</v>
      </c>
      <c r="I683" s="1">
        <v>13582</v>
      </c>
      <c r="J683" t="s">
        <v>9</v>
      </c>
      <c r="K683" s="1">
        <v>13</v>
      </c>
      <c r="L683" s="1">
        <v>3</v>
      </c>
      <c r="M683" s="1">
        <v>15</v>
      </c>
      <c r="N683" s="1">
        <v>3</v>
      </c>
      <c r="O683" s="1">
        <v>15</v>
      </c>
      <c r="P683" s="1">
        <f>COUNTIF(HR_Data[Employee Number],HR_Data[[#This Row],[Employee Number]])</f>
        <v>1</v>
      </c>
      <c r="Q683" s="1" t="str">
        <f>IF(HR_Data[[#This Row],[Years At Company]]&lt;=HR_Data[[#This Row],[Total Working Years]],"Valid","error")</f>
        <v>Valid</v>
      </c>
      <c r="R683" s="1" t="str" cm="1">
        <f t="array" ref="R683">_xlfn.IFS(HR_Data[[#This Row],[Age]]&lt;=30,"Young", HR_Data[[#This Row],[Age]]&lt;=45,"Mid-Age",HR_Data[[#This Row],[Age]]&gt;45,"Senior")</f>
        <v>Mid-Age</v>
      </c>
      <c r="S683" s="1" t="str" cm="1">
        <f t="array" ref="S683">_xlfn.IFS(HR_Data[[#This Row],[Monthly Income]]&lt;5000,"Low", HR_Data[[#This Row],[Monthly Income]]&lt;10000,"Medium",TRUE,"High")</f>
        <v>High</v>
      </c>
      <c r="T683" s="1" t="str" cm="1">
        <f t="array" ref="T683">_xlfn.IFS(HR_Data[[#This Row],[Total Working Years]]&lt;=5,"Junior", HR_Data[[#This Row],[Total Working Years]]&lt;=15,"Mid-Level", TRUE, "Senior")</f>
        <v>Mid-Level</v>
      </c>
    </row>
    <row r="684" spans="1:20" x14ac:dyDescent="0.25">
      <c r="A684" s="1">
        <v>951</v>
      </c>
      <c r="B684" s="1">
        <v>32</v>
      </c>
      <c r="C684" t="s">
        <v>9</v>
      </c>
      <c r="D684" t="s">
        <v>10</v>
      </c>
      <c r="E684" t="s">
        <v>6</v>
      </c>
      <c r="F684" t="s">
        <v>7</v>
      </c>
      <c r="G684" t="s">
        <v>14</v>
      </c>
      <c r="H684" s="1">
        <v>2</v>
      </c>
      <c r="I684" s="1">
        <v>2332</v>
      </c>
      <c r="J684" t="s">
        <v>9</v>
      </c>
      <c r="K684" s="1">
        <v>20</v>
      </c>
      <c r="L684" s="1">
        <v>4</v>
      </c>
      <c r="M684" s="1">
        <v>5</v>
      </c>
      <c r="N684" s="1">
        <v>3</v>
      </c>
      <c r="O684" s="1">
        <v>3</v>
      </c>
      <c r="P684" s="1">
        <f>COUNTIF(HR_Data[Employee Number],HR_Data[[#This Row],[Employee Number]])</f>
        <v>1</v>
      </c>
      <c r="Q684" s="1" t="str">
        <f>IF(HR_Data[[#This Row],[Years At Company]]&lt;=HR_Data[[#This Row],[Total Working Years]],"Valid","error")</f>
        <v>Valid</v>
      </c>
      <c r="R684" s="1" t="str" cm="1">
        <f t="array" ref="R684">_xlfn.IFS(HR_Data[[#This Row],[Age]]&lt;=30,"Young", HR_Data[[#This Row],[Age]]&lt;=45,"Mid-Age",HR_Data[[#This Row],[Age]]&gt;45,"Senior")</f>
        <v>Mid-Age</v>
      </c>
      <c r="S684" s="1" t="str" cm="1">
        <f t="array" ref="S684">_xlfn.IFS(HR_Data[[#This Row],[Monthly Income]]&lt;5000,"Low", HR_Data[[#This Row],[Monthly Income]]&lt;10000,"Medium",TRUE,"High")</f>
        <v>Low</v>
      </c>
      <c r="T684" s="1" t="str" cm="1">
        <f t="array" ref="T684">_xlfn.IFS(HR_Data[[#This Row],[Total Working Years]]&lt;=5,"Junior", HR_Data[[#This Row],[Total Working Years]]&lt;=15,"Mid-Level", TRUE, "Senior")</f>
        <v>Junior</v>
      </c>
    </row>
    <row r="685" spans="1:20" x14ac:dyDescent="0.25">
      <c r="A685" s="1">
        <v>952</v>
      </c>
      <c r="B685" s="1">
        <v>25</v>
      </c>
      <c r="C685" t="s">
        <v>4</v>
      </c>
      <c r="D685" t="s">
        <v>5</v>
      </c>
      <c r="E685" t="s">
        <v>21</v>
      </c>
      <c r="F685" t="s">
        <v>11</v>
      </c>
      <c r="G685" t="s">
        <v>19</v>
      </c>
      <c r="H685" s="1">
        <v>2</v>
      </c>
      <c r="I685" s="1">
        <v>2413</v>
      </c>
      <c r="J685" t="s">
        <v>4</v>
      </c>
      <c r="K685" s="1">
        <v>18</v>
      </c>
      <c r="L685" s="1">
        <v>3</v>
      </c>
      <c r="M685" s="1">
        <v>1</v>
      </c>
      <c r="N685" s="1">
        <v>3</v>
      </c>
      <c r="O685" s="1">
        <v>1</v>
      </c>
      <c r="P685" s="1">
        <f>COUNTIF(HR_Data[Employee Number],HR_Data[[#This Row],[Employee Number]])</f>
        <v>1</v>
      </c>
      <c r="Q685" s="1" t="str">
        <f>IF(HR_Data[[#This Row],[Years At Company]]&lt;=HR_Data[[#This Row],[Total Working Years]],"Valid","error")</f>
        <v>Valid</v>
      </c>
      <c r="R685" s="1" t="str" cm="1">
        <f t="array" ref="R685">_xlfn.IFS(HR_Data[[#This Row],[Age]]&lt;=30,"Young", HR_Data[[#This Row],[Age]]&lt;=45,"Mid-Age",HR_Data[[#This Row],[Age]]&gt;45,"Senior")</f>
        <v>Young</v>
      </c>
      <c r="S685" s="1" t="str" cm="1">
        <f t="array" ref="S685">_xlfn.IFS(HR_Data[[#This Row],[Monthly Income]]&lt;5000,"Low", HR_Data[[#This Row],[Monthly Income]]&lt;10000,"Medium",TRUE,"High")</f>
        <v>Low</v>
      </c>
      <c r="T685" s="1" t="str" cm="1">
        <f t="array" ref="T685">_xlfn.IFS(HR_Data[[#This Row],[Total Working Years]]&lt;=5,"Junior", HR_Data[[#This Row],[Total Working Years]]&lt;=15,"Mid-Level", TRUE, "Senior")</f>
        <v>Junior</v>
      </c>
    </row>
    <row r="686" spans="1:20" x14ac:dyDescent="0.25">
      <c r="A686" s="1">
        <v>954</v>
      </c>
      <c r="B686" s="1">
        <v>40</v>
      </c>
      <c r="C686" t="s">
        <v>9</v>
      </c>
      <c r="D686" t="s">
        <v>5</v>
      </c>
      <c r="E686" t="s">
        <v>21</v>
      </c>
      <c r="F686" t="s">
        <v>11</v>
      </c>
      <c r="G686" t="s">
        <v>8</v>
      </c>
      <c r="H686" s="1">
        <v>2</v>
      </c>
      <c r="I686" s="1">
        <v>9705</v>
      </c>
      <c r="J686" t="s">
        <v>9</v>
      </c>
      <c r="K686" s="1">
        <v>12</v>
      </c>
      <c r="L686" s="1">
        <v>3</v>
      </c>
      <c r="M686" s="1">
        <v>11</v>
      </c>
      <c r="N686" s="1">
        <v>2</v>
      </c>
      <c r="O686" s="1">
        <v>1</v>
      </c>
      <c r="P686" s="1">
        <f>COUNTIF(HR_Data[Employee Number],HR_Data[[#This Row],[Employee Number]])</f>
        <v>1</v>
      </c>
      <c r="Q686" s="1" t="str">
        <f>IF(HR_Data[[#This Row],[Years At Company]]&lt;=HR_Data[[#This Row],[Total Working Years]],"Valid","error")</f>
        <v>Valid</v>
      </c>
      <c r="R686" s="1" t="str" cm="1">
        <f t="array" ref="R686">_xlfn.IFS(HR_Data[[#This Row],[Age]]&lt;=30,"Young", HR_Data[[#This Row],[Age]]&lt;=45,"Mid-Age",HR_Data[[#This Row],[Age]]&gt;45,"Senior")</f>
        <v>Mid-Age</v>
      </c>
      <c r="S686" s="1" t="str" cm="1">
        <f t="array" ref="S686">_xlfn.IFS(HR_Data[[#This Row],[Monthly Income]]&lt;5000,"Low", HR_Data[[#This Row],[Monthly Income]]&lt;10000,"Medium",TRUE,"High")</f>
        <v>Medium</v>
      </c>
      <c r="T686" s="1" t="str" cm="1">
        <f t="array" ref="T686">_xlfn.IFS(HR_Data[[#This Row],[Total Working Years]]&lt;=5,"Junior", HR_Data[[#This Row],[Total Working Years]]&lt;=15,"Mid-Level", TRUE, "Senior")</f>
        <v>Mid-Level</v>
      </c>
    </row>
    <row r="687" spans="1:20" x14ac:dyDescent="0.25">
      <c r="A687" s="1">
        <v>956</v>
      </c>
      <c r="B687" s="1">
        <v>26</v>
      </c>
      <c r="C687" t="s">
        <v>9</v>
      </c>
      <c r="D687" t="s">
        <v>5</v>
      </c>
      <c r="E687" t="s">
        <v>15</v>
      </c>
      <c r="F687" t="s">
        <v>11</v>
      </c>
      <c r="G687" t="s">
        <v>8</v>
      </c>
      <c r="H687" s="1">
        <v>1</v>
      </c>
      <c r="I687" s="1">
        <v>4294</v>
      </c>
      <c r="J687" t="s">
        <v>9</v>
      </c>
      <c r="K687" s="1">
        <v>12</v>
      </c>
      <c r="L687" s="1">
        <v>3</v>
      </c>
      <c r="M687" s="1">
        <v>7</v>
      </c>
      <c r="N687" s="1">
        <v>3</v>
      </c>
      <c r="O687" s="1">
        <v>7</v>
      </c>
      <c r="P687" s="1">
        <f>COUNTIF(HR_Data[Employee Number],HR_Data[[#This Row],[Employee Number]])</f>
        <v>1</v>
      </c>
      <c r="Q687" s="1" t="str">
        <f>IF(HR_Data[[#This Row],[Years At Company]]&lt;=HR_Data[[#This Row],[Total Working Years]],"Valid","error")</f>
        <v>Valid</v>
      </c>
      <c r="R687" s="1" t="str" cm="1">
        <f t="array" ref="R687">_xlfn.IFS(HR_Data[[#This Row],[Age]]&lt;=30,"Young", HR_Data[[#This Row],[Age]]&lt;=45,"Mid-Age",HR_Data[[#This Row],[Age]]&gt;45,"Senior")</f>
        <v>Young</v>
      </c>
      <c r="S687" s="1" t="str" cm="1">
        <f t="array" ref="S687">_xlfn.IFS(HR_Data[[#This Row],[Monthly Income]]&lt;5000,"Low", HR_Data[[#This Row],[Monthly Income]]&lt;10000,"Medium",TRUE,"High")</f>
        <v>Low</v>
      </c>
      <c r="T687" s="1" t="str" cm="1">
        <f t="array" ref="T687">_xlfn.IFS(HR_Data[[#This Row],[Total Working Years]]&lt;=5,"Junior", HR_Data[[#This Row],[Total Working Years]]&lt;=15,"Mid-Level", TRUE, "Senior")</f>
        <v>Mid-Level</v>
      </c>
    </row>
    <row r="688" spans="1:20" x14ac:dyDescent="0.25">
      <c r="A688" s="1">
        <v>957</v>
      </c>
      <c r="B688" s="1">
        <v>41</v>
      </c>
      <c r="C688" t="s">
        <v>9</v>
      </c>
      <c r="D688" t="s">
        <v>10</v>
      </c>
      <c r="E688" t="s">
        <v>15</v>
      </c>
      <c r="F688" t="s">
        <v>11</v>
      </c>
      <c r="G688" t="s">
        <v>14</v>
      </c>
      <c r="H688" s="1">
        <v>1</v>
      </c>
      <c r="I688" s="1">
        <v>4721</v>
      </c>
      <c r="J688" t="s">
        <v>4</v>
      </c>
      <c r="K688" s="1">
        <v>13</v>
      </c>
      <c r="L688" s="1">
        <v>3</v>
      </c>
      <c r="M688" s="1">
        <v>20</v>
      </c>
      <c r="N688" s="1">
        <v>3</v>
      </c>
      <c r="O688" s="1">
        <v>18</v>
      </c>
      <c r="P688" s="1">
        <f>COUNTIF(HR_Data[Employee Number],HR_Data[[#This Row],[Employee Number]])</f>
        <v>1</v>
      </c>
      <c r="Q688" s="1" t="str">
        <f>IF(HR_Data[[#This Row],[Years At Company]]&lt;=HR_Data[[#This Row],[Total Working Years]],"Valid","error")</f>
        <v>Valid</v>
      </c>
      <c r="R688" s="1" t="str" cm="1">
        <f t="array" ref="R688">_xlfn.IFS(HR_Data[[#This Row],[Age]]&lt;=30,"Young", HR_Data[[#This Row],[Age]]&lt;=45,"Mid-Age",HR_Data[[#This Row],[Age]]&gt;45,"Senior")</f>
        <v>Mid-Age</v>
      </c>
      <c r="S688" s="1" t="str" cm="1">
        <f t="array" ref="S688">_xlfn.IFS(HR_Data[[#This Row],[Monthly Income]]&lt;5000,"Low", HR_Data[[#This Row],[Monthly Income]]&lt;10000,"Medium",TRUE,"High")</f>
        <v>Low</v>
      </c>
      <c r="T688" s="1" t="str" cm="1">
        <f t="array" ref="T688">_xlfn.IFS(HR_Data[[#This Row],[Total Working Years]]&lt;=5,"Junior", HR_Data[[#This Row],[Total Working Years]]&lt;=15,"Mid-Level", TRUE, "Senior")</f>
        <v>Senior</v>
      </c>
    </row>
    <row r="689" spans="1:20" x14ac:dyDescent="0.25">
      <c r="A689" s="1">
        <v>958</v>
      </c>
      <c r="B689" s="1">
        <v>36</v>
      </c>
      <c r="C689" t="s">
        <v>9</v>
      </c>
      <c r="D689" t="s">
        <v>10</v>
      </c>
      <c r="E689" t="s">
        <v>15</v>
      </c>
      <c r="F689" t="s">
        <v>11</v>
      </c>
      <c r="G689" t="s">
        <v>14</v>
      </c>
      <c r="H689" s="1">
        <v>3</v>
      </c>
      <c r="I689" s="1">
        <v>2519</v>
      </c>
      <c r="J689" t="s">
        <v>9</v>
      </c>
      <c r="K689" s="1">
        <v>21</v>
      </c>
      <c r="L689" s="1">
        <v>4</v>
      </c>
      <c r="M689" s="1">
        <v>16</v>
      </c>
      <c r="N689" s="1">
        <v>3</v>
      </c>
      <c r="O689" s="1">
        <v>11</v>
      </c>
      <c r="P689" s="1">
        <f>COUNTIF(HR_Data[Employee Number],HR_Data[[#This Row],[Employee Number]])</f>
        <v>1</v>
      </c>
      <c r="Q689" s="1" t="str">
        <f>IF(HR_Data[[#This Row],[Years At Company]]&lt;=HR_Data[[#This Row],[Total Working Years]],"Valid","error")</f>
        <v>Valid</v>
      </c>
      <c r="R689" s="1" t="str" cm="1">
        <f t="array" ref="R689">_xlfn.IFS(HR_Data[[#This Row],[Age]]&lt;=30,"Young", HR_Data[[#This Row],[Age]]&lt;=45,"Mid-Age",HR_Data[[#This Row],[Age]]&gt;45,"Senior")</f>
        <v>Mid-Age</v>
      </c>
      <c r="S689" s="1" t="str" cm="1">
        <f t="array" ref="S689">_xlfn.IFS(HR_Data[[#This Row],[Monthly Income]]&lt;5000,"Low", HR_Data[[#This Row],[Monthly Income]]&lt;10000,"Medium",TRUE,"High")</f>
        <v>Low</v>
      </c>
      <c r="T689" s="1" t="str" cm="1">
        <f t="array" ref="T689">_xlfn.IFS(HR_Data[[#This Row],[Total Working Years]]&lt;=5,"Junior", HR_Data[[#This Row],[Total Working Years]]&lt;=15,"Mid-Level", TRUE, "Senior")</f>
        <v>Senior</v>
      </c>
    </row>
    <row r="690" spans="1:20" x14ac:dyDescent="0.25">
      <c r="A690" s="1">
        <v>959</v>
      </c>
      <c r="B690" s="1">
        <v>19</v>
      </c>
      <c r="C690" t="s">
        <v>4</v>
      </c>
      <c r="D690" t="s">
        <v>5</v>
      </c>
      <c r="E690" t="s">
        <v>13</v>
      </c>
      <c r="F690" t="s">
        <v>11</v>
      </c>
      <c r="G690" t="s">
        <v>19</v>
      </c>
      <c r="H690" s="1">
        <v>2</v>
      </c>
      <c r="I690" s="1">
        <v>2121</v>
      </c>
      <c r="J690" t="s">
        <v>4</v>
      </c>
      <c r="K690" s="1">
        <v>13</v>
      </c>
      <c r="L690" s="1">
        <v>3</v>
      </c>
      <c r="M690" s="1">
        <v>1</v>
      </c>
      <c r="N690" s="1">
        <v>4</v>
      </c>
      <c r="O690" s="1">
        <v>1</v>
      </c>
      <c r="P690" s="1">
        <f>COUNTIF(HR_Data[Employee Number],HR_Data[[#This Row],[Employee Number]])</f>
        <v>1</v>
      </c>
      <c r="Q690" s="1" t="str">
        <f>IF(HR_Data[[#This Row],[Years At Company]]&lt;=HR_Data[[#This Row],[Total Working Years]],"Valid","error")</f>
        <v>Valid</v>
      </c>
      <c r="R690" s="1" t="str" cm="1">
        <f t="array" ref="R690">_xlfn.IFS(HR_Data[[#This Row],[Age]]&lt;=30,"Young", HR_Data[[#This Row],[Age]]&lt;=45,"Mid-Age",HR_Data[[#This Row],[Age]]&gt;45,"Senior")</f>
        <v>Young</v>
      </c>
      <c r="S690" s="1" t="str" cm="1">
        <f t="array" ref="S690">_xlfn.IFS(HR_Data[[#This Row],[Monthly Income]]&lt;5000,"Low", HR_Data[[#This Row],[Monthly Income]]&lt;10000,"Medium",TRUE,"High")</f>
        <v>Low</v>
      </c>
      <c r="T690" s="1" t="str" cm="1">
        <f t="array" ref="T690">_xlfn.IFS(HR_Data[[#This Row],[Total Working Years]]&lt;=5,"Junior", HR_Data[[#This Row],[Total Working Years]]&lt;=15,"Mid-Level", TRUE, "Senior")</f>
        <v>Junior</v>
      </c>
    </row>
    <row r="691" spans="1:20" x14ac:dyDescent="0.25">
      <c r="A691" s="1">
        <v>960</v>
      </c>
      <c r="B691" s="1">
        <v>20</v>
      </c>
      <c r="C691" t="s">
        <v>4</v>
      </c>
      <c r="D691" t="s">
        <v>10</v>
      </c>
      <c r="E691" t="s">
        <v>22</v>
      </c>
      <c r="F691" t="s">
        <v>11</v>
      </c>
      <c r="G691" t="s">
        <v>14</v>
      </c>
      <c r="H691" s="1">
        <v>1</v>
      </c>
      <c r="I691" s="1">
        <v>2973</v>
      </c>
      <c r="J691" t="s">
        <v>9</v>
      </c>
      <c r="K691" s="1">
        <v>19</v>
      </c>
      <c r="L691" s="1">
        <v>3</v>
      </c>
      <c r="M691" s="1">
        <v>1</v>
      </c>
      <c r="N691" s="1">
        <v>3</v>
      </c>
      <c r="O691" s="1">
        <v>1</v>
      </c>
      <c r="P691" s="1">
        <f>COUNTIF(HR_Data[Employee Number],HR_Data[[#This Row],[Employee Number]])</f>
        <v>1</v>
      </c>
      <c r="Q691" s="1" t="str">
        <f>IF(HR_Data[[#This Row],[Years At Company]]&lt;=HR_Data[[#This Row],[Total Working Years]],"Valid","error")</f>
        <v>Valid</v>
      </c>
      <c r="R691" s="1" t="str" cm="1">
        <f t="array" ref="R691">_xlfn.IFS(HR_Data[[#This Row],[Age]]&lt;=30,"Young", HR_Data[[#This Row],[Age]]&lt;=45,"Mid-Age",HR_Data[[#This Row],[Age]]&gt;45,"Senior")</f>
        <v>Young</v>
      </c>
      <c r="S691" s="1" t="str" cm="1">
        <f t="array" ref="S691">_xlfn.IFS(HR_Data[[#This Row],[Monthly Income]]&lt;5000,"Low", HR_Data[[#This Row],[Monthly Income]]&lt;10000,"Medium",TRUE,"High")</f>
        <v>Low</v>
      </c>
      <c r="T691" s="1" t="str" cm="1">
        <f t="array" ref="T691">_xlfn.IFS(HR_Data[[#This Row],[Total Working Years]]&lt;=5,"Junior", HR_Data[[#This Row],[Total Working Years]]&lt;=15,"Mid-Level", TRUE, "Senior")</f>
        <v>Junior</v>
      </c>
    </row>
    <row r="692" spans="1:20" x14ac:dyDescent="0.25">
      <c r="A692" s="1">
        <v>961</v>
      </c>
      <c r="B692" s="1">
        <v>31</v>
      </c>
      <c r="C692" t="s">
        <v>9</v>
      </c>
      <c r="D692" t="s">
        <v>10</v>
      </c>
      <c r="E692" t="s">
        <v>15</v>
      </c>
      <c r="F692" t="s">
        <v>7</v>
      </c>
      <c r="G692" t="s">
        <v>17</v>
      </c>
      <c r="H692" s="1">
        <v>4</v>
      </c>
      <c r="I692" s="1">
        <v>5855</v>
      </c>
      <c r="J692" t="s">
        <v>4</v>
      </c>
      <c r="K692" s="1">
        <v>11</v>
      </c>
      <c r="L692" s="1">
        <v>3</v>
      </c>
      <c r="M692" s="1">
        <v>10</v>
      </c>
      <c r="N692" s="1">
        <v>1</v>
      </c>
      <c r="O692" s="1">
        <v>9</v>
      </c>
      <c r="P692" s="1">
        <f>COUNTIF(HR_Data[Employee Number],HR_Data[[#This Row],[Employee Number]])</f>
        <v>1</v>
      </c>
      <c r="Q692" s="1" t="str">
        <f>IF(HR_Data[[#This Row],[Years At Company]]&lt;=HR_Data[[#This Row],[Total Working Years]],"Valid","error")</f>
        <v>Valid</v>
      </c>
      <c r="R692" s="1" t="str" cm="1">
        <f t="array" ref="R692">_xlfn.IFS(HR_Data[[#This Row],[Age]]&lt;=30,"Young", HR_Data[[#This Row],[Age]]&lt;=45,"Mid-Age",HR_Data[[#This Row],[Age]]&gt;45,"Senior")</f>
        <v>Mid-Age</v>
      </c>
      <c r="S692" s="1" t="str" cm="1">
        <f t="array" ref="S692">_xlfn.IFS(HR_Data[[#This Row],[Monthly Income]]&lt;5000,"Low", HR_Data[[#This Row],[Monthly Income]]&lt;10000,"Medium",TRUE,"High")</f>
        <v>Medium</v>
      </c>
      <c r="T692" s="1" t="str" cm="1">
        <f t="array" ref="T692">_xlfn.IFS(HR_Data[[#This Row],[Total Working Years]]&lt;=5,"Junior", HR_Data[[#This Row],[Total Working Years]]&lt;=15,"Mid-Level", TRUE, "Senior")</f>
        <v>Mid-Level</v>
      </c>
    </row>
    <row r="693" spans="1:20" x14ac:dyDescent="0.25">
      <c r="A693" s="1">
        <v>964</v>
      </c>
      <c r="B693" s="1">
        <v>40</v>
      </c>
      <c r="C693" t="s">
        <v>9</v>
      </c>
      <c r="D693" t="s">
        <v>10</v>
      </c>
      <c r="E693" t="s">
        <v>15</v>
      </c>
      <c r="F693" t="s">
        <v>11</v>
      </c>
      <c r="G693" t="s">
        <v>12</v>
      </c>
      <c r="H693" s="1">
        <v>2</v>
      </c>
      <c r="I693" s="1">
        <v>3617</v>
      </c>
      <c r="J693" t="s">
        <v>4</v>
      </c>
      <c r="K693" s="1">
        <v>14</v>
      </c>
      <c r="L693" s="1">
        <v>3</v>
      </c>
      <c r="M693" s="1">
        <v>3</v>
      </c>
      <c r="N693" s="1">
        <v>3</v>
      </c>
      <c r="O693" s="1">
        <v>1</v>
      </c>
      <c r="P693" s="1">
        <f>COUNTIF(HR_Data[Employee Number],HR_Data[[#This Row],[Employee Number]])</f>
        <v>1</v>
      </c>
      <c r="Q693" s="1" t="str">
        <f>IF(HR_Data[[#This Row],[Years At Company]]&lt;=HR_Data[[#This Row],[Total Working Years]],"Valid","error")</f>
        <v>Valid</v>
      </c>
      <c r="R693" s="1" t="str" cm="1">
        <f t="array" ref="R693">_xlfn.IFS(HR_Data[[#This Row],[Age]]&lt;=30,"Young", HR_Data[[#This Row],[Age]]&lt;=45,"Mid-Age",HR_Data[[#This Row],[Age]]&gt;45,"Senior")</f>
        <v>Mid-Age</v>
      </c>
      <c r="S693" s="1" t="str" cm="1">
        <f t="array" ref="S693">_xlfn.IFS(HR_Data[[#This Row],[Monthly Income]]&lt;5000,"Low", HR_Data[[#This Row],[Monthly Income]]&lt;10000,"Medium",TRUE,"High")</f>
        <v>Low</v>
      </c>
      <c r="T693" s="1" t="str" cm="1">
        <f t="array" ref="T693">_xlfn.IFS(HR_Data[[#This Row],[Total Working Years]]&lt;=5,"Junior", HR_Data[[#This Row],[Total Working Years]]&lt;=15,"Mid-Level", TRUE, "Senior")</f>
        <v>Junior</v>
      </c>
    </row>
    <row r="694" spans="1:20" x14ac:dyDescent="0.25">
      <c r="A694" s="1">
        <v>966</v>
      </c>
      <c r="B694" s="1">
        <v>32</v>
      </c>
      <c r="C694" t="s">
        <v>9</v>
      </c>
      <c r="D694" t="s">
        <v>10</v>
      </c>
      <c r="E694" t="s">
        <v>15</v>
      </c>
      <c r="F694" t="s">
        <v>7</v>
      </c>
      <c r="G694" t="s">
        <v>16</v>
      </c>
      <c r="H694" s="1">
        <v>1</v>
      </c>
      <c r="I694" s="1">
        <v>6725</v>
      </c>
      <c r="J694" t="s">
        <v>9</v>
      </c>
      <c r="K694" s="1">
        <v>12</v>
      </c>
      <c r="L694" s="1">
        <v>3</v>
      </c>
      <c r="M694" s="1">
        <v>8</v>
      </c>
      <c r="N694" s="1">
        <v>4</v>
      </c>
      <c r="O694" s="1">
        <v>8</v>
      </c>
      <c r="P694" s="1">
        <f>COUNTIF(HR_Data[Employee Number],HR_Data[[#This Row],[Employee Number]])</f>
        <v>1</v>
      </c>
      <c r="Q694" s="1" t="str">
        <f>IF(HR_Data[[#This Row],[Years At Company]]&lt;=HR_Data[[#This Row],[Total Working Years]],"Valid","error")</f>
        <v>Valid</v>
      </c>
      <c r="R694" s="1" t="str" cm="1">
        <f t="array" ref="R694">_xlfn.IFS(HR_Data[[#This Row],[Age]]&lt;=30,"Young", HR_Data[[#This Row],[Age]]&lt;=45,"Mid-Age",HR_Data[[#This Row],[Age]]&gt;45,"Senior")</f>
        <v>Mid-Age</v>
      </c>
      <c r="S694" s="1" t="str" cm="1">
        <f t="array" ref="S694">_xlfn.IFS(HR_Data[[#This Row],[Monthly Income]]&lt;5000,"Low", HR_Data[[#This Row],[Monthly Income]]&lt;10000,"Medium",TRUE,"High")</f>
        <v>Medium</v>
      </c>
      <c r="T694" s="1" t="str" cm="1">
        <f t="array" ref="T694">_xlfn.IFS(HR_Data[[#This Row],[Total Working Years]]&lt;=5,"Junior", HR_Data[[#This Row],[Total Working Years]]&lt;=15,"Mid-Level", TRUE, "Senior")</f>
        <v>Mid-Level</v>
      </c>
    </row>
    <row r="695" spans="1:20" x14ac:dyDescent="0.25">
      <c r="A695" s="1">
        <v>967</v>
      </c>
      <c r="B695" s="1">
        <v>36</v>
      </c>
      <c r="C695" t="s">
        <v>4</v>
      </c>
      <c r="D695" t="s">
        <v>5</v>
      </c>
      <c r="E695" t="s">
        <v>6</v>
      </c>
      <c r="F695" t="s">
        <v>11</v>
      </c>
      <c r="G695" t="s">
        <v>8</v>
      </c>
      <c r="H695" s="1">
        <v>4</v>
      </c>
      <c r="I695" s="1">
        <v>10325</v>
      </c>
      <c r="J695" t="s">
        <v>4</v>
      </c>
      <c r="K695" s="1">
        <v>11</v>
      </c>
      <c r="L695" s="1">
        <v>3</v>
      </c>
      <c r="M695" s="1">
        <v>16</v>
      </c>
      <c r="N695" s="1">
        <v>3</v>
      </c>
      <c r="O695" s="1">
        <v>16</v>
      </c>
      <c r="P695" s="1">
        <f>COUNTIF(HR_Data[Employee Number],HR_Data[[#This Row],[Employee Number]])</f>
        <v>1</v>
      </c>
      <c r="Q695" s="1" t="str">
        <f>IF(HR_Data[[#This Row],[Years At Company]]&lt;=HR_Data[[#This Row],[Total Working Years]],"Valid","error")</f>
        <v>Valid</v>
      </c>
      <c r="R695" s="1" t="str" cm="1">
        <f t="array" ref="R695">_xlfn.IFS(HR_Data[[#This Row],[Age]]&lt;=30,"Young", HR_Data[[#This Row],[Age]]&lt;=45,"Mid-Age",HR_Data[[#This Row],[Age]]&gt;45,"Senior")</f>
        <v>Mid-Age</v>
      </c>
      <c r="S695" s="1" t="str" cm="1">
        <f t="array" ref="S695">_xlfn.IFS(HR_Data[[#This Row],[Monthly Income]]&lt;5000,"Low", HR_Data[[#This Row],[Monthly Income]]&lt;10000,"Medium",TRUE,"High")</f>
        <v>High</v>
      </c>
      <c r="T695" s="1" t="str" cm="1">
        <f t="array" ref="T695">_xlfn.IFS(HR_Data[[#This Row],[Total Working Years]]&lt;=5,"Junior", HR_Data[[#This Row],[Total Working Years]]&lt;=15,"Mid-Level", TRUE, "Senior")</f>
        <v>Senior</v>
      </c>
    </row>
    <row r="696" spans="1:20" x14ac:dyDescent="0.25">
      <c r="A696" s="1">
        <v>969</v>
      </c>
      <c r="B696" s="1">
        <v>33</v>
      </c>
      <c r="C696" t="s">
        <v>9</v>
      </c>
      <c r="D696" t="s">
        <v>10</v>
      </c>
      <c r="E696" t="s">
        <v>6</v>
      </c>
      <c r="F696" t="s">
        <v>7</v>
      </c>
      <c r="G696" t="s">
        <v>17</v>
      </c>
      <c r="H696" s="1">
        <v>4</v>
      </c>
      <c r="I696" s="1">
        <v>6949</v>
      </c>
      <c r="J696" t="s">
        <v>9</v>
      </c>
      <c r="K696" s="1">
        <v>14</v>
      </c>
      <c r="L696" s="1">
        <v>3</v>
      </c>
      <c r="M696" s="1">
        <v>6</v>
      </c>
      <c r="N696" s="1">
        <v>3</v>
      </c>
      <c r="O696" s="1">
        <v>5</v>
      </c>
      <c r="P696" s="1">
        <f>COUNTIF(HR_Data[Employee Number],HR_Data[[#This Row],[Employee Number]])</f>
        <v>1</v>
      </c>
      <c r="Q696" s="1" t="str">
        <f>IF(HR_Data[[#This Row],[Years At Company]]&lt;=HR_Data[[#This Row],[Total Working Years]],"Valid","error")</f>
        <v>Valid</v>
      </c>
      <c r="R696" s="1" t="str" cm="1">
        <f t="array" ref="R696">_xlfn.IFS(HR_Data[[#This Row],[Age]]&lt;=30,"Young", HR_Data[[#This Row],[Age]]&lt;=45,"Mid-Age",HR_Data[[#This Row],[Age]]&gt;45,"Senior")</f>
        <v>Mid-Age</v>
      </c>
      <c r="S696" s="1" t="str" cm="1">
        <f t="array" ref="S696">_xlfn.IFS(HR_Data[[#This Row],[Monthly Income]]&lt;5000,"Low", HR_Data[[#This Row],[Monthly Income]]&lt;10000,"Medium",TRUE,"High")</f>
        <v>Medium</v>
      </c>
      <c r="T696" s="1" t="str" cm="1">
        <f t="array" ref="T696">_xlfn.IFS(HR_Data[[#This Row],[Total Working Years]]&lt;=5,"Junior", HR_Data[[#This Row],[Total Working Years]]&lt;=15,"Mid-Level", TRUE, "Senior")</f>
        <v>Mid-Level</v>
      </c>
    </row>
    <row r="697" spans="1:20" x14ac:dyDescent="0.25">
      <c r="A697" s="1">
        <v>970</v>
      </c>
      <c r="B697" s="1">
        <v>37</v>
      </c>
      <c r="C697" t="s">
        <v>4</v>
      </c>
      <c r="D697" t="s">
        <v>5</v>
      </c>
      <c r="E697" t="s">
        <v>6</v>
      </c>
      <c r="F697" t="s">
        <v>11</v>
      </c>
      <c r="G697" t="s">
        <v>8</v>
      </c>
      <c r="H697" s="1">
        <v>3</v>
      </c>
      <c r="I697" s="1">
        <v>10609</v>
      </c>
      <c r="J697" t="s">
        <v>9</v>
      </c>
      <c r="K697" s="1">
        <v>11</v>
      </c>
      <c r="L697" s="1">
        <v>3</v>
      </c>
      <c r="M697" s="1">
        <v>17</v>
      </c>
      <c r="N697" s="1">
        <v>1</v>
      </c>
      <c r="O697" s="1">
        <v>14</v>
      </c>
      <c r="P697" s="1">
        <f>COUNTIF(HR_Data[Employee Number],HR_Data[[#This Row],[Employee Number]])</f>
        <v>1</v>
      </c>
      <c r="Q697" s="1" t="str">
        <f>IF(HR_Data[[#This Row],[Years At Company]]&lt;=HR_Data[[#This Row],[Total Working Years]],"Valid","error")</f>
        <v>Valid</v>
      </c>
      <c r="R697" s="1" t="str" cm="1">
        <f t="array" ref="R697">_xlfn.IFS(HR_Data[[#This Row],[Age]]&lt;=30,"Young", HR_Data[[#This Row],[Age]]&lt;=45,"Mid-Age",HR_Data[[#This Row],[Age]]&gt;45,"Senior")</f>
        <v>Mid-Age</v>
      </c>
      <c r="S697" s="1" t="str" cm="1">
        <f t="array" ref="S697">_xlfn.IFS(HR_Data[[#This Row],[Monthly Income]]&lt;5000,"Low", HR_Data[[#This Row],[Monthly Income]]&lt;10000,"Medium",TRUE,"High")</f>
        <v>High</v>
      </c>
      <c r="T697" s="1" t="str" cm="1">
        <f t="array" ref="T697">_xlfn.IFS(HR_Data[[#This Row],[Total Working Years]]&lt;=5,"Junior", HR_Data[[#This Row],[Total Working Years]]&lt;=15,"Mid-Level", TRUE, "Senior")</f>
        <v>Senior</v>
      </c>
    </row>
    <row r="698" spans="1:20" x14ac:dyDescent="0.25">
      <c r="A698" s="1">
        <v>972</v>
      </c>
      <c r="B698" s="1">
        <v>45</v>
      </c>
      <c r="C698" t="s">
        <v>9</v>
      </c>
      <c r="D698" t="s">
        <v>10</v>
      </c>
      <c r="E698" t="s">
        <v>6</v>
      </c>
      <c r="F698" t="s">
        <v>11</v>
      </c>
      <c r="G698" t="s">
        <v>14</v>
      </c>
      <c r="H698" s="1">
        <v>2</v>
      </c>
      <c r="I698" s="1">
        <v>4447</v>
      </c>
      <c r="J698" t="s">
        <v>9</v>
      </c>
      <c r="K698" s="1">
        <v>12</v>
      </c>
      <c r="L698" s="1">
        <v>3</v>
      </c>
      <c r="M698" s="1">
        <v>9</v>
      </c>
      <c r="N698" s="1">
        <v>2</v>
      </c>
      <c r="O698" s="1">
        <v>9</v>
      </c>
      <c r="P698" s="1">
        <f>COUNTIF(HR_Data[Employee Number],HR_Data[[#This Row],[Employee Number]])</f>
        <v>1</v>
      </c>
      <c r="Q698" s="1" t="str">
        <f>IF(HR_Data[[#This Row],[Years At Company]]&lt;=HR_Data[[#This Row],[Total Working Years]],"Valid","error")</f>
        <v>Valid</v>
      </c>
      <c r="R698" s="1" t="str" cm="1">
        <f t="array" ref="R698">_xlfn.IFS(HR_Data[[#This Row],[Age]]&lt;=30,"Young", HR_Data[[#This Row],[Age]]&lt;=45,"Mid-Age",HR_Data[[#This Row],[Age]]&gt;45,"Senior")</f>
        <v>Mid-Age</v>
      </c>
      <c r="S698" s="1" t="str" cm="1">
        <f t="array" ref="S698">_xlfn.IFS(HR_Data[[#This Row],[Monthly Income]]&lt;5000,"Low", HR_Data[[#This Row],[Monthly Income]]&lt;10000,"Medium",TRUE,"High")</f>
        <v>Low</v>
      </c>
      <c r="T698" s="1" t="str" cm="1">
        <f t="array" ref="T698">_xlfn.IFS(HR_Data[[#This Row],[Total Working Years]]&lt;=5,"Junior", HR_Data[[#This Row],[Total Working Years]]&lt;=15,"Mid-Level", TRUE, "Senior")</f>
        <v>Mid-Level</v>
      </c>
    </row>
    <row r="699" spans="1:20" x14ac:dyDescent="0.25">
      <c r="A699" s="1">
        <v>974</v>
      </c>
      <c r="B699" s="1">
        <v>29</v>
      </c>
      <c r="C699" t="s">
        <v>9</v>
      </c>
      <c r="D699" t="s">
        <v>5</v>
      </c>
      <c r="E699" t="s">
        <v>22</v>
      </c>
      <c r="F699" t="s">
        <v>7</v>
      </c>
      <c r="G699" t="s">
        <v>19</v>
      </c>
      <c r="H699" s="1">
        <v>4</v>
      </c>
      <c r="I699" s="1">
        <v>2157</v>
      </c>
      <c r="J699" t="s">
        <v>9</v>
      </c>
      <c r="K699" s="1">
        <v>15</v>
      </c>
      <c r="L699" s="1">
        <v>3</v>
      </c>
      <c r="M699" s="1">
        <v>3</v>
      </c>
      <c r="N699" s="1">
        <v>3</v>
      </c>
      <c r="O699" s="1">
        <v>3</v>
      </c>
      <c r="P699" s="1">
        <f>COUNTIF(HR_Data[Employee Number],HR_Data[[#This Row],[Employee Number]])</f>
        <v>1</v>
      </c>
      <c r="Q699" s="1" t="str">
        <f>IF(HR_Data[[#This Row],[Years At Company]]&lt;=HR_Data[[#This Row],[Total Working Years]],"Valid","error")</f>
        <v>Valid</v>
      </c>
      <c r="R699" s="1" t="str" cm="1">
        <f t="array" ref="R699">_xlfn.IFS(HR_Data[[#This Row],[Age]]&lt;=30,"Young", HR_Data[[#This Row],[Age]]&lt;=45,"Mid-Age",HR_Data[[#This Row],[Age]]&gt;45,"Senior")</f>
        <v>Young</v>
      </c>
      <c r="S699" s="1" t="str" cm="1">
        <f t="array" ref="S699">_xlfn.IFS(HR_Data[[#This Row],[Monthly Income]]&lt;5000,"Low", HR_Data[[#This Row],[Monthly Income]]&lt;10000,"Medium",TRUE,"High")</f>
        <v>Low</v>
      </c>
      <c r="T699" s="1" t="str" cm="1">
        <f t="array" ref="T699">_xlfn.IFS(HR_Data[[#This Row],[Total Working Years]]&lt;=5,"Junior", HR_Data[[#This Row],[Total Working Years]]&lt;=15,"Mid-Level", TRUE, "Senior")</f>
        <v>Junior</v>
      </c>
    </row>
    <row r="700" spans="1:20" x14ac:dyDescent="0.25">
      <c r="A700" s="1">
        <v>975</v>
      </c>
      <c r="B700" s="1">
        <v>35</v>
      </c>
      <c r="C700" t="s">
        <v>9</v>
      </c>
      <c r="D700" t="s">
        <v>5</v>
      </c>
      <c r="E700" t="s">
        <v>15</v>
      </c>
      <c r="F700" t="s">
        <v>7</v>
      </c>
      <c r="G700" t="s">
        <v>8</v>
      </c>
      <c r="H700" s="1">
        <v>3</v>
      </c>
      <c r="I700" s="1">
        <v>4601</v>
      </c>
      <c r="J700" t="s">
        <v>9</v>
      </c>
      <c r="K700" s="1">
        <v>16</v>
      </c>
      <c r="L700" s="1">
        <v>3</v>
      </c>
      <c r="M700" s="1">
        <v>5</v>
      </c>
      <c r="N700" s="1">
        <v>3</v>
      </c>
      <c r="O700" s="1">
        <v>5</v>
      </c>
      <c r="P700" s="1">
        <f>COUNTIF(HR_Data[Employee Number],HR_Data[[#This Row],[Employee Number]])</f>
        <v>1</v>
      </c>
      <c r="Q700" s="1" t="str">
        <f>IF(HR_Data[[#This Row],[Years At Company]]&lt;=HR_Data[[#This Row],[Total Working Years]],"Valid","error")</f>
        <v>Valid</v>
      </c>
      <c r="R700" s="1" t="str" cm="1">
        <f t="array" ref="R700">_xlfn.IFS(HR_Data[[#This Row],[Age]]&lt;=30,"Young", HR_Data[[#This Row],[Age]]&lt;=45,"Mid-Age",HR_Data[[#This Row],[Age]]&gt;45,"Senior")</f>
        <v>Mid-Age</v>
      </c>
      <c r="S700" s="1" t="str" cm="1">
        <f t="array" ref="S700">_xlfn.IFS(HR_Data[[#This Row],[Monthly Income]]&lt;5000,"Low", HR_Data[[#This Row],[Monthly Income]]&lt;10000,"Medium",TRUE,"High")</f>
        <v>Low</v>
      </c>
      <c r="T700" s="1" t="str" cm="1">
        <f t="array" ref="T700">_xlfn.IFS(HR_Data[[#This Row],[Total Working Years]]&lt;=5,"Junior", HR_Data[[#This Row],[Total Working Years]]&lt;=15,"Mid-Level", TRUE, "Senior")</f>
        <v>Junior</v>
      </c>
    </row>
    <row r="701" spans="1:20" x14ac:dyDescent="0.25">
      <c r="A701" s="1">
        <v>976</v>
      </c>
      <c r="B701" s="1">
        <v>52</v>
      </c>
      <c r="C701" t="s">
        <v>9</v>
      </c>
      <c r="D701" t="s">
        <v>10</v>
      </c>
      <c r="E701" t="s">
        <v>6</v>
      </c>
      <c r="F701" t="s">
        <v>11</v>
      </c>
      <c r="G701" t="s">
        <v>18</v>
      </c>
      <c r="H701" s="1">
        <v>4</v>
      </c>
      <c r="I701" s="1">
        <v>17099</v>
      </c>
      <c r="J701" t="s">
        <v>9</v>
      </c>
      <c r="K701" s="1">
        <v>15</v>
      </c>
      <c r="L701" s="1">
        <v>3</v>
      </c>
      <c r="M701" s="1">
        <v>26</v>
      </c>
      <c r="N701" s="1">
        <v>2</v>
      </c>
      <c r="O701" s="1">
        <v>9</v>
      </c>
      <c r="P701" s="1">
        <f>COUNTIF(HR_Data[Employee Number],HR_Data[[#This Row],[Employee Number]])</f>
        <v>1</v>
      </c>
      <c r="Q701" s="1" t="str">
        <f>IF(HR_Data[[#This Row],[Years At Company]]&lt;=HR_Data[[#This Row],[Total Working Years]],"Valid","error")</f>
        <v>Valid</v>
      </c>
      <c r="R701" s="1" t="str" cm="1">
        <f t="array" ref="R701">_xlfn.IFS(HR_Data[[#This Row],[Age]]&lt;=30,"Young", HR_Data[[#This Row],[Age]]&lt;=45,"Mid-Age",HR_Data[[#This Row],[Age]]&gt;45,"Senior")</f>
        <v>Senior</v>
      </c>
      <c r="S701" s="1" t="str" cm="1">
        <f t="array" ref="S701">_xlfn.IFS(HR_Data[[#This Row],[Monthly Income]]&lt;5000,"Low", HR_Data[[#This Row],[Monthly Income]]&lt;10000,"Medium",TRUE,"High")</f>
        <v>High</v>
      </c>
      <c r="T701" s="1" t="str" cm="1">
        <f t="array" ref="T701">_xlfn.IFS(HR_Data[[#This Row],[Total Working Years]]&lt;=5,"Junior", HR_Data[[#This Row],[Total Working Years]]&lt;=15,"Mid-Level", TRUE, "Senior")</f>
        <v>Senior</v>
      </c>
    </row>
    <row r="702" spans="1:20" x14ac:dyDescent="0.25">
      <c r="A702" s="1">
        <v>977</v>
      </c>
      <c r="B702" s="1">
        <v>58</v>
      </c>
      <c r="C702" t="s">
        <v>4</v>
      </c>
      <c r="D702" t="s">
        <v>10</v>
      </c>
      <c r="E702" t="s">
        <v>22</v>
      </c>
      <c r="F702" t="s">
        <v>11</v>
      </c>
      <c r="G702" t="s">
        <v>12</v>
      </c>
      <c r="H702" s="1">
        <v>3</v>
      </c>
      <c r="I702" s="1">
        <v>2479</v>
      </c>
      <c r="J702" t="s">
        <v>9</v>
      </c>
      <c r="K702" s="1">
        <v>24</v>
      </c>
      <c r="L702" s="1">
        <v>4</v>
      </c>
      <c r="M702" s="1">
        <v>7</v>
      </c>
      <c r="N702" s="1">
        <v>3</v>
      </c>
      <c r="O702" s="1">
        <v>1</v>
      </c>
      <c r="P702" s="1">
        <f>COUNTIF(HR_Data[Employee Number],HR_Data[[#This Row],[Employee Number]])</f>
        <v>1</v>
      </c>
      <c r="Q702" s="1" t="str">
        <f>IF(HR_Data[[#This Row],[Years At Company]]&lt;=HR_Data[[#This Row],[Total Working Years]],"Valid","error")</f>
        <v>Valid</v>
      </c>
      <c r="R702" s="1" t="str" cm="1">
        <f t="array" ref="R702">_xlfn.IFS(HR_Data[[#This Row],[Age]]&lt;=30,"Young", HR_Data[[#This Row],[Age]]&lt;=45,"Mid-Age",HR_Data[[#This Row],[Age]]&gt;45,"Senior")</f>
        <v>Senior</v>
      </c>
      <c r="S702" s="1" t="str" cm="1">
        <f t="array" ref="S702">_xlfn.IFS(HR_Data[[#This Row],[Monthly Income]]&lt;5000,"Low", HR_Data[[#This Row],[Monthly Income]]&lt;10000,"Medium",TRUE,"High")</f>
        <v>Low</v>
      </c>
      <c r="T702" s="1" t="str" cm="1">
        <f t="array" ref="T702">_xlfn.IFS(HR_Data[[#This Row],[Total Working Years]]&lt;=5,"Junior", HR_Data[[#This Row],[Total Working Years]]&lt;=15,"Mid-Level", TRUE, "Senior")</f>
        <v>Mid-Level</v>
      </c>
    </row>
    <row r="703" spans="1:20" x14ac:dyDescent="0.25">
      <c r="A703" s="1">
        <v>981</v>
      </c>
      <c r="B703" s="1">
        <v>53</v>
      </c>
      <c r="C703" t="s">
        <v>9</v>
      </c>
      <c r="D703" t="s">
        <v>5</v>
      </c>
      <c r="E703" t="s">
        <v>15</v>
      </c>
      <c r="F703" t="s">
        <v>11</v>
      </c>
      <c r="G703" t="s">
        <v>18</v>
      </c>
      <c r="H703" s="1">
        <v>3</v>
      </c>
      <c r="I703" s="1">
        <v>14852</v>
      </c>
      <c r="J703" t="s">
        <v>9</v>
      </c>
      <c r="K703" s="1">
        <v>13</v>
      </c>
      <c r="L703" s="1">
        <v>3</v>
      </c>
      <c r="M703" s="1">
        <v>22</v>
      </c>
      <c r="N703" s="1">
        <v>4</v>
      </c>
      <c r="O703" s="1">
        <v>17</v>
      </c>
      <c r="P703" s="1">
        <f>COUNTIF(HR_Data[Employee Number],HR_Data[[#This Row],[Employee Number]])</f>
        <v>1</v>
      </c>
      <c r="Q703" s="1" t="str">
        <f>IF(HR_Data[[#This Row],[Years At Company]]&lt;=HR_Data[[#This Row],[Total Working Years]],"Valid","error")</f>
        <v>Valid</v>
      </c>
      <c r="R703" s="1" t="str" cm="1">
        <f t="array" ref="R703">_xlfn.IFS(HR_Data[[#This Row],[Age]]&lt;=30,"Young", HR_Data[[#This Row],[Age]]&lt;=45,"Mid-Age",HR_Data[[#This Row],[Age]]&gt;45,"Senior")</f>
        <v>Senior</v>
      </c>
      <c r="S703" s="1" t="str" cm="1">
        <f t="array" ref="S703">_xlfn.IFS(HR_Data[[#This Row],[Monthly Income]]&lt;5000,"Low", HR_Data[[#This Row],[Monthly Income]]&lt;10000,"Medium",TRUE,"High")</f>
        <v>High</v>
      </c>
      <c r="T703" s="1" t="str" cm="1">
        <f t="array" ref="T703">_xlfn.IFS(HR_Data[[#This Row],[Total Working Years]]&lt;=5,"Junior", HR_Data[[#This Row],[Total Working Years]]&lt;=15,"Mid-Level", TRUE, "Senior")</f>
        <v>Senior</v>
      </c>
    </row>
    <row r="704" spans="1:20" x14ac:dyDescent="0.25">
      <c r="A704" s="1">
        <v>982</v>
      </c>
      <c r="B704" s="1">
        <v>30</v>
      </c>
      <c r="C704" t="s">
        <v>9</v>
      </c>
      <c r="D704" t="s">
        <v>5</v>
      </c>
      <c r="E704" t="s">
        <v>13</v>
      </c>
      <c r="F704" t="s">
        <v>11</v>
      </c>
      <c r="G704" t="s">
        <v>8</v>
      </c>
      <c r="H704" s="1">
        <v>3</v>
      </c>
      <c r="I704" s="1">
        <v>7264</v>
      </c>
      <c r="J704" t="s">
        <v>9</v>
      </c>
      <c r="K704" s="1">
        <v>11</v>
      </c>
      <c r="L704" s="1">
        <v>3</v>
      </c>
      <c r="M704" s="1">
        <v>10</v>
      </c>
      <c r="N704" s="1">
        <v>4</v>
      </c>
      <c r="O704" s="1">
        <v>8</v>
      </c>
      <c r="P704" s="1">
        <f>COUNTIF(HR_Data[Employee Number],HR_Data[[#This Row],[Employee Number]])</f>
        <v>1</v>
      </c>
      <c r="Q704" s="1" t="str">
        <f>IF(HR_Data[[#This Row],[Years At Company]]&lt;=HR_Data[[#This Row],[Total Working Years]],"Valid","error")</f>
        <v>Valid</v>
      </c>
      <c r="R704" s="1" t="str" cm="1">
        <f t="array" ref="R704">_xlfn.IFS(HR_Data[[#This Row],[Age]]&lt;=30,"Young", HR_Data[[#This Row],[Age]]&lt;=45,"Mid-Age",HR_Data[[#This Row],[Age]]&gt;45,"Senior")</f>
        <v>Young</v>
      </c>
      <c r="S704" s="1" t="str" cm="1">
        <f t="array" ref="S704">_xlfn.IFS(HR_Data[[#This Row],[Monthly Income]]&lt;5000,"Low", HR_Data[[#This Row],[Monthly Income]]&lt;10000,"Medium",TRUE,"High")</f>
        <v>Medium</v>
      </c>
      <c r="T704" s="1" t="str" cm="1">
        <f t="array" ref="T704">_xlfn.IFS(HR_Data[[#This Row],[Total Working Years]]&lt;=5,"Junior", HR_Data[[#This Row],[Total Working Years]]&lt;=15,"Mid-Level", TRUE, "Senior")</f>
        <v>Mid-Level</v>
      </c>
    </row>
    <row r="705" spans="1:20" x14ac:dyDescent="0.25">
      <c r="A705" s="1">
        <v>983</v>
      </c>
      <c r="B705" s="1">
        <v>38</v>
      </c>
      <c r="C705" t="s">
        <v>9</v>
      </c>
      <c r="D705" t="s">
        <v>5</v>
      </c>
      <c r="E705" t="s">
        <v>22</v>
      </c>
      <c r="F705" t="s">
        <v>7</v>
      </c>
      <c r="G705" t="s">
        <v>8</v>
      </c>
      <c r="H705" s="1">
        <v>4</v>
      </c>
      <c r="I705" s="1">
        <v>5666</v>
      </c>
      <c r="J705" t="s">
        <v>4</v>
      </c>
      <c r="K705" s="1">
        <v>13</v>
      </c>
      <c r="L705" s="1">
        <v>3</v>
      </c>
      <c r="M705" s="1">
        <v>6</v>
      </c>
      <c r="N705" s="1">
        <v>3</v>
      </c>
      <c r="O705" s="1">
        <v>5</v>
      </c>
      <c r="P705" s="1">
        <f>COUNTIF(HR_Data[Employee Number],HR_Data[[#This Row],[Employee Number]])</f>
        <v>1</v>
      </c>
      <c r="Q705" s="1" t="str">
        <f>IF(HR_Data[[#This Row],[Years At Company]]&lt;=HR_Data[[#This Row],[Total Working Years]],"Valid","error")</f>
        <v>Valid</v>
      </c>
      <c r="R705" s="1" t="str" cm="1">
        <f t="array" ref="R705">_xlfn.IFS(HR_Data[[#This Row],[Age]]&lt;=30,"Young", HR_Data[[#This Row],[Age]]&lt;=45,"Mid-Age",HR_Data[[#This Row],[Age]]&gt;45,"Senior")</f>
        <v>Mid-Age</v>
      </c>
      <c r="S705" s="1" t="str" cm="1">
        <f t="array" ref="S705">_xlfn.IFS(HR_Data[[#This Row],[Monthly Income]]&lt;5000,"Low", HR_Data[[#This Row],[Monthly Income]]&lt;10000,"Medium",TRUE,"High")</f>
        <v>Medium</v>
      </c>
      <c r="T705" s="1" t="str" cm="1">
        <f t="array" ref="T705">_xlfn.IFS(HR_Data[[#This Row],[Total Working Years]]&lt;=5,"Junior", HR_Data[[#This Row],[Total Working Years]]&lt;=15,"Mid-Level", TRUE, "Senior")</f>
        <v>Mid-Level</v>
      </c>
    </row>
    <row r="706" spans="1:20" x14ac:dyDescent="0.25">
      <c r="A706" s="1">
        <v>984</v>
      </c>
      <c r="B706" s="1">
        <v>35</v>
      </c>
      <c r="C706" t="s">
        <v>9</v>
      </c>
      <c r="D706" t="s">
        <v>5</v>
      </c>
      <c r="E706" t="s">
        <v>6</v>
      </c>
      <c r="F706" t="s">
        <v>11</v>
      </c>
      <c r="G706" t="s">
        <v>8</v>
      </c>
      <c r="H706" s="1">
        <v>4</v>
      </c>
      <c r="I706" s="1">
        <v>7823</v>
      </c>
      <c r="J706" t="s">
        <v>9</v>
      </c>
      <c r="K706" s="1">
        <v>13</v>
      </c>
      <c r="L706" s="1">
        <v>3</v>
      </c>
      <c r="M706" s="1">
        <v>12</v>
      </c>
      <c r="N706" s="1">
        <v>3</v>
      </c>
      <c r="O706" s="1">
        <v>10</v>
      </c>
      <c r="P706" s="1">
        <f>COUNTIF(HR_Data[Employee Number],HR_Data[[#This Row],[Employee Number]])</f>
        <v>1</v>
      </c>
      <c r="Q706" s="1" t="str">
        <f>IF(HR_Data[[#This Row],[Years At Company]]&lt;=HR_Data[[#This Row],[Total Working Years]],"Valid","error")</f>
        <v>Valid</v>
      </c>
      <c r="R706" s="1" t="str" cm="1">
        <f t="array" ref="R706">_xlfn.IFS(HR_Data[[#This Row],[Age]]&lt;=30,"Young", HR_Data[[#This Row],[Age]]&lt;=45,"Mid-Age",HR_Data[[#This Row],[Age]]&gt;45,"Senior")</f>
        <v>Mid-Age</v>
      </c>
      <c r="S706" s="1" t="str" cm="1">
        <f t="array" ref="S706">_xlfn.IFS(HR_Data[[#This Row],[Monthly Income]]&lt;5000,"Low", HR_Data[[#This Row],[Monthly Income]]&lt;10000,"Medium",TRUE,"High")</f>
        <v>Medium</v>
      </c>
      <c r="T706" s="1" t="str" cm="1">
        <f t="array" ref="T706">_xlfn.IFS(HR_Data[[#This Row],[Total Working Years]]&lt;=5,"Junior", HR_Data[[#This Row],[Total Working Years]]&lt;=15,"Mid-Level", TRUE, "Senior")</f>
        <v>Mid-Level</v>
      </c>
    </row>
    <row r="707" spans="1:20" x14ac:dyDescent="0.25">
      <c r="A707" s="1">
        <v>985</v>
      </c>
      <c r="B707" s="1">
        <v>39</v>
      </c>
      <c r="C707" t="s">
        <v>9</v>
      </c>
      <c r="D707" t="s">
        <v>5</v>
      </c>
      <c r="E707" t="s">
        <v>6</v>
      </c>
      <c r="F707" t="s">
        <v>11</v>
      </c>
      <c r="G707" t="s">
        <v>8</v>
      </c>
      <c r="H707" s="1">
        <v>3</v>
      </c>
      <c r="I707" s="1">
        <v>7880</v>
      </c>
      <c r="J707" t="s">
        <v>9</v>
      </c>
      <c r="K707" s="1">
        <v>18</v>
      </c>
      <c r="L707" s="1">
        <v>3</v>
      </c>
      <c r="M707" s="1">
        <v>9</v>
      </c>
      <c r="N707" s="1">
        <v>3</v>
      </c>
      <c r="O707" s="1">
        <v>8</v>
      </c>
      <c r="P707" s="1">
        <f>COUNTIF(HR_Data[Employee Number],HR_Data[[#This Row],[Employee Number]])</f>
        <v>1</v>
      </c>
      <c r="Q707" s="1" t="str">
        <f>IF(HR_Data[[#This Row],[Years At Company]]&lt;=HR_Data[[#This Row],[Total Working Years]],"Valid","error")</f>
        <v>Valid</v>
      </c>
      <c r="R707" s="1" t="str" cm="1">
        <f t="array" ref="R707">_xlfn.IFS(HR_Data[[#This Row],[Age]]&lt;=30,"Young", HR_Data[[#This Row],[Age]]&lt;=45,"Mid-Age",HR_Data[[#This Row],[Age]]&gt;45,"Senior")</f>
        <v>Mid-Age</v>
      </c>
      <c r="S707" s="1" t="str" cm="1">
        <f t="array" ref="S707">_xlfn.IFS(HR_Data[[#This Row],[Monthly Income]]&lt;5000,"Low", HR_Data[[#This Row],[Monthly Income]]&lt;10000,"Medium",TRUE,"High")</f>
        <v>Medium</v>
      </c>
      <c r="T707" s="1" t="str" cm="1">
        <f t="array" ref="T707">_xlfn.IFS(HR_Data[[#This Row],[Total Working Years]]&lt;=5,"Junior", HR_Data[[#This Row],[Total Working Years]]&lt;=15,"Mid-Level", TRUE, "Senior")</f>
        <v>Mid-Level</v>
      </c>
    </row>
    <row r="708" spans="1:20" x14ac:dyDescent="0.25">
      <c r="A708" s="1">
        <v>986</v>
      </c>
      <c r="B708" s="1">
        <v>40</v>
      </c>
      <c r="C708" t="s">
        <v>4</v>
      </c>
      <c r="D708" t="s">
        <v>5</v>
      </c>
      <c r="E708" t="s">
        <v>6</v>
      </c>
      <c r="F708" t="s">
        <v>7</v>
      </c>
      <c r="G708" t="s">
        <v>8</v>
      </c>
      <c r="H708" s="1">
        <v>2</v>
      </c>
      <c r="I708" s="1">
        <v>13194</v>
      </c>
      <c r="J708" t="s">
        <v>4</v>
      </c>
      <c r="K708" s="1">
        <v>16</v>
      </c>
      <c r="L708" s="1">
        <v>3</v>
      </c>
      <c r="M708" s="1">
        <v>22</v>
      </c>
      <c r="N708" s="1">
        <v>2</v>
      </c>
      <c r="O708" s="1">
        <v>1</v>
      </c>
      <c r="P708" s="1">
        <f>COUNTIF(HR_Data[Employee Number],HR_Data[[#This Row],[Employee Number]])</f>
        <v>1</v>
      </c>
      <c r="Q708" s="1" t="str">
        <f>IF(HR_Data[[#This Row],[Years At Company]]&lt;=HR_Data[[#This Row],[Total Working Years]],"Valid","error")</f>
        <v>Valid</v>
      </c>
      <c r="R708" s="1" t="str" cm="1">
        <f t="array" ref="R708">_xlfn.IFS(HR_Data[[#This Row],[Age]]&lt;=30,"Young", HR_Data[[#This Row],[Age]]&lt;=45,"Mid-Age",HR_Data[[#This Row],[Age]]&gt;45,"Senior")</f>
        <v>Mid-Age</v>
      </c>
      <c r="S708" s="1" t="str" cm="1">
        <f t="array" ref="S708">_xlfn.IFS(HR_Data[[#This Row],[Monthly Income]]&lt;5000,"Low", HR_Data[[#This Row],[Monthly Income]]&lt;10000,"Medium",TRUE,"High")</f>
        <v>High</v>
      </c>
      <c r="T708" s="1" t="str" cm="1">
        <f t="array" ref="T708">_xlfn.IFS(HR_Data[[#This Row],[Total Working Years]]&lt;=5,"Junior", HR_Data[[#This Row],[Total Working Years]]&lt;=15,"Mid-Level", TRUE, "Senior")</f>
        <v>Senior</v>
      </c>
    </row>
    <row r="709" spans="1:20" x14ac:dyDescent="0.25">
      <c r="A709" s="1">
        <v>987</v>
      </c>
      <c r="B709" s="1">
        <v>47</v>
      </c>
      <c r="C709" t="s">
        <v>9</v>
      </c>
      <c r="D709" t="s">
        <v>10</v>
      </c>
      <c r="E709" t="s">
        <v>15</v>
      </c>
      <c r="F709" t="s">
        <v>11</v>
      </c>
      <c r="G709" t="s">
        <v>16</v>
      </c>
      <c r="H709" s="1">
        <v>3</v>
      </c>
      <c r="I709" s="1">
        <v>5067</v>
      </c>
      <c r="J709" t="s">
        <v>4</v>
      </c>
      <c r="K709" s="1">
        <v>19</v>
      </c>
      <c r="L709" s="1">
        <v>3</v>
      </c>
      <c r="M709" s="1">
        <v>20</v>
      </c>
      <c r="N709" s="1">
        <v>4</v>
      </c>
      <c r="O709" s="1">
        <v>19</v>
      </c>
      <c r="P709" s="1">
        <f>COUNTIF(HR_Data[Employee Number],HR_Data[[#This Row],[Employee Number]])</f>
        <v>1</v>
      </c>
      <c r="Q709" s="1" t="str">
        <f>IF(HR_Data[[#This Row],[Years At Company]]&lt;=HR_Data[[#This Row],[Total Working Years]],"Valid","error")</f>
        <v>Valid</v>
      </c>
      <c r="R709" s="1" t="str" cm="1">
        <f t="array" ref="R709">_xlfn.IFS(HR_Data[[#This Row],[Age]]&lt;=30,"Young", HR_Data[[#This Row],[Age]]&lt;=45,"Mid-Age",HR_Data[[#This Row],[Age]]&gt;45,"Senior")</f>
        <v>Senior</v>
      </c>
      <c r="S709" s="1" t="str" cm="1">
        <f t="array" ref="S709">_xlfn.IFS(HR_Data[[#This Row],[Monthly Income]]&lt;5000,"Low", HR_Data[[#This Row],[Monthly Income]]&lt;10000,"Medium",TRUE,"High")</f>
        <v>Medium</v>
      </c>
      <c r="T709" s="1" t="str" cm="1">
        <f t="array" ref="T709">_xlfn.IFS(HR_Data[[#This Row],[Total Working Years]]&lt;=5,"Junior", HR_Data[[#This Row],[Total Working Years]]&lt;=15,"Mid-Level", TRUE, "Senior")</f>
        <v>Senior</v>
      </c>
    </row>
    <row r="710" spans="1:20" x14ac:dyDescent="0.25">
      <c r="A710" s="1">
        <v>990</v>
      </c>
      <c r="B710" s="1">
        <v>36</v>
      </c>
      <c r="C710" t="s">
        <v>9</v>
      </c>
      <c r="D710" t="s">
        <v>5</v>
      </c>
      <c r="E710" t="s">
        <v>22</v>
      </c>
      <c r="F710" t="s">
        <v>11</v>
      </c>
      <c r="G710" t="s">
        <v>8</v>
      </c>
      <c r="H710" s="1">
        <v>4</v>
      </c>
      <c r="I710" s="1">
        <v>5079</v>
      </c>
      <c r="J710" t="s">
        <v>9</v>
      </c>
      <c r="K710" s="1">
        <v>13</v>
      </c>
      <c r="L710" s="1">
        <v>3</v>
      </c>
      <c r="M710" s="1">
        <v>12</v>
      </c>
      <c r="N710" s="1">
        <v>3</v>
      </c>
      <c r="O710" s="1">
        <v>7</v>
      </c>
      <c r="P710" s="1">
        <f>COUNTIF(HR_Data[Employee Number],HR_Data[[#This Row],[Employee Number]])</f>
        <v>1</v>
      </c>
      <c r="Q710" s="1" t="str">
        <f>IF(HR_Data[[#This Row],[Years At Company]]&lt;=HR_Data[[#This Row],[Total Working Years]],"Valid","error")</f>
        <v>Valid</v>
      </c>
      <c r="R710" s="1" t="str" cm="1">
        <f t="array" ref="R710">_xlfn.IFS(HR_Data[[#This Row],[Age]]&lt;=30,"Young", HR_Data[[#This Row],[Age]]&lt;=45,"Mid-Age",HR_Data[[#This Row],[Age]]&gt;45,"Senior")</f>
        <v>Mid-Age</v>
      </c>
      <c r="S710" s="1" t="str" cm="1">
        <f t="array" ref="S710">_xlfn.IFS(HR_Data[[#This Row],[Monthly Income]]&lt;5000,"Low", HR_Data[[#This Row],[Monthly Income]]&lt;10000,"Medium",TRUE,"High")</f>
        <v>Medium</v>
      </c>
      <c r="T710" s="1" t="str" cm="1">
        <f t="array" ref="T710">_xlfn.IFS(HR_Data[[#This Row],[Total Working Years]]&lt;=5,"Junior", HR_Data[[#This Row],[Total Working Years]]&lt;=15,"Mid-Level", TRUE, "Senior")</f>
        <v>Mid-Level</v>
      </c>
    </row>
    <row r="711" spans="1:20" x14ac:dyDescent="0.25">
      <c r="A711" s="1">
        <v>991</v>
      </c>
      <c r="B711" s="1">
        <v>31</v>
      </c>
      <c r="C711" t="s">
        <v>4</v>
      </c>
      <c r="D711" t="s">
        <v>10</v>
      </c>
      <c r="E711" t="s">
        <v>15</v>
      </c>
      <c r="F711" t="s">
        <v>11</v>
      </c>
      <c r="G711" t="s">
        <v>12</v>
      </c>
      <c r="H711" s="1">
        <v>1</v>
      </c>
      <c r="I711" s="1">
        <v>2321</v>
      </c>
      <c r="J711" t="s">
        <v>4</v>
      </c>
      <c r="K711" s="1">
        <v>22</v>
      </c>
      <c r="L711" s="1">
        <v>4</v>
      </c>
      <c r="M711" s="1">
        <v>4</v>
      </c>
      <c r="N711" s="1">
        <v>3</v>
      </c>
      <c r="O711" s="1">
        <v>3</v>
      </c>
      <c r="P711" s="1">
        <f>COUNTIF(HR_Data[Employee Number],HR_Data[[#This Row],[Employee Number]])</f>
        <v>1</v>
      </c>
      <c r="Q711" s="1" t="str">
        <f>IF(HR_Data[[#This Row],[Years At Company]]&lt;=HR_Data[[#This Row],[Total Working Years]],"Valid","error")</f>
        <v>Valid</v>
      </c>
      <c r="R711" s="1" t="str" cm="1">
        <f t="array" ref="R711">_xlfn.IFS(HR_Data[[#This Row],[Age]]&lt;=30,"Young", HR_Data[[#This Row],[Age]]&lt;=45,"Mid-Age",HR_Data[[#This Row],[Age]]&gt;45,"Senior")</f>
        <v>Mid-Age</v>
      </c>
      <c r="S711" s="1" t="str" cm="1">
        <f t="array" ref="S711">_xlfn.IFS(HR_Data[[#This Row],[Monthly Income]]&lt;5000,"Low", HR_Data[[#This Row],[Monthly Income]]&lt;10000,"Medium",TRUE,"High")</f>
        <v>Low</v>
      </c>
      <c r="T711" s="1" t="str" cm="1">
        <f t="array" ref="T711">_xlfn.IFS(HR_Data[[#This Row],[Total Working Years]]&lt;=5,"Junior", HR_Data[[#This Row],[Total Working Years]]&lt;=15,"Mid-Level", TRUE, "Senior")</f>
        <v>Junior</v>
      </c>
    </row>
    <row r="712" spans="1:20" x14ac:dyDescent="0.25">
      <c r="A712" s="1">
        <v>992</v>
      </c>
      <c r="B712" s="1">
        <v>33</v>
      </c>
      <c r="C712" t="s">
        <v>9</v>
      </c>
      <c r="D712" t="s">
        <v>5</v>
      </c>
      <c r="E712" t="s">
        <v>6</v>
      </c>
      <c r="F712" t="s">
        <v>11</v>
      </c>
      <c r="G712" t="s">
        <v>18</v>
      </c>
      <c r="H712" s="1">
        <v>3</v>
      </c>
      <c r="I712" s="1">
        <v>17444</v>
      </c>
      <c r="J712" t="s">
        <v>9</v>
      </c>
      <c r="K712" s="1">
        <v>11</v>
      </c>
      <c r="L712" s="1">
        <v>3</v>
      </c>
      <c r="M712" s="1">
        <v>10</v>
      </c>
      <c r="N712" s="1">
        <v>3</v>
      </c>
      <c r="O712" s="1">
        <v>10</v>
      </c>
      <c r="P712" s="1">
        <f>COUNTIF(HR_Data[Employee Number],HR_Data[[#This Row],[Employee Number]])</f>
        <v>1</v>
      </c>
      <c r="Q712" s="1" t="str">
        <f>IF(HR_Data[[#This Row],[Years At Company]]&lt;=HR_Data[[#This Row],[Total Working Years]],"Valid","error")</f>
        <v>Valid</v>
      </c>
      <c r="R712" s="1" t="str" cm="1">
        <f t="array" ref="R712">_xlfn.IFS(HR_Data[[#This Row],[Age]]&lt;=30,"Young", HR_Data[[#This Row],[Age]]&lt;=45,"Mid-Age",HR_Data[[#This Row],[Age]]&gt;45,"Senior")</f>
        <v>Mid-Age</v>
      </c>
      <c r="S712" s="1" t="str" cm="1">
        <f t="array" ref="S712">_xlfn.IFS(HR_Data[[#This Row],[Monthly Income]]&lt;5000,"Low", HR_Data[[#This Row],[Monthly Income]]&lt;10000,"Medium",TRUE,"High")</f>
        <v>High</v>
      </c>
      <c r="T712" s="1" t="str" cm="1">
        <f t="array" ref="T712">_xlfn.IFS(HR_Data[[#This Row],[Total Working Years]]&lt;=5,"Junior", HR_Data[[#This Row],[Total Working Years]]&lt;=15,"Mid-Level", TRUE, "Senior")</f>
        <v>Mid-Level</v>
      </c>
    </row>
    <row r="713" spans="1:20" x14ac:dyDescent="0.25">
      <c r="A713" s="1">
        <v>994</v>
      </c>
      <c r="B713" s="1">
        <v>29</v>
      </c>
      <c r="C713" t="s">
        <v>4</v>
      </c>
      <c r="D713" t="s">
        <v>10</v>
      </c>
      <c r="E713" t="s">
        <v>6</v>
      </c>
      <c r="F713" t="s">
        <v>7</v>
      </c>
      <c r="G713" t="s">
        <v>12</v>
      </c>
      <c r="H713" s="1">
        <v>1</v>
      </c>
      <c r="I713" s="1">
        <v>2404</v>
      </c>
      <c r="J713" t="s">
        <v>4</v>
      </c>
      <c r="K713" s="1">
        <v>20</v>
      </c>
      <c r="L713" s="1">
        <v>4</v>
      </c>
      <c r="M713" s="1">
        <v>3</v>
      </c>
      <c r="N713" s="1">
        <v>3</v>
      </c>
      <c r="O713" s="1">
        <v>0</v>
      </c>
      <c r="P713" s="1">
        <f>COUNTIF(HR_Data[Employee Number],HR_Data[[#This Row],[Employee Number]])</f>
        <v>1</v>
      </c>
      <c r="Q713" s="1" t="str">
        <f>IF(HR_Data[[#This Row],[Years At Company]]&lt;=HR_Data[[#This Row],[Total Working Years]],"Valid","error")</f>
        <v>Valid</v>
      </c>
      <c r="R713" s="1" t="str" cm="1">
        <f t="array" ref="R713">_xlfn.IFS(HR_Data[[#This Row],[Age]]&lt;=30,"Young", HR_Data[[#This Row],[Age]]&lt;=45,"Mid-Age",HR_Data[[#This Row],[Age]]&gt;45,"Senior")</f>
        <v>Young</v>
      </c>
      <c r="S713" s="1" t="str" cm="1">
        <f t="array" ref="S713">_xlfn.IFS(HR_Data[[#This Row],[Monthly Income]]&lt;5000,"Low", HR_Data[[#This Row],[Monthly Income]]&lt;10000,"Medium",TRUE,"High")</f>
        <v>Low</v>
      </c>
      <c r="T713" s="1" t="str" cm="1">
        <f t="array" ref="T713">_xlfn.IFS(HR_Data[[#This Row],[Total Working Years]]&lt;=5,"Junior", HR_Data[[#This Row],[Total Working Years]]&lt;=15,"Mid-Level", TRUE, "Senior")</f>
        <v>Junior</v>
      </c>
    </row>
    <row r="714" spans="1:20" x14ac:dyDescent="0.25">
      <c r="A714" s="1">
        <v>995</v>
      </c>
      <c r="B714" s="1">
        <v>33</v>
      </c>
      <c r="C714" t="s">
        <v>9</v>
      </c>
      <c r="D714" t="s">
        <v>10</v>
      </c>
      <c r="E714" t="s">
        <v>6</v>
      </c>
      <c r="F714" t="s">
        <v>7</v>
      </c>
      <c r="G714" t="s">
        <v>12</v>
      </c>
      <c r="H714" s="1">
        <v>4</v>
      </c>
      <c r="I714" s="1">
        <v>3452</v>
      </c>
      <c r="J714" t="s">
        <v>9</v>
      </c>
      <c r="K714" s="1">
        <v>18</v>
      </c>
      <c r="L714" s="1">
        <v>3</v>
      </c>
      <c r="M714" s="1">
        <v>5</v>
      </c>
      <c r="N714" s="1">
        <v>3</v>
      </c>
      <c r="O714" s="1">
        <v>3</v>
      </c>
      <c r="P714" s="1">
        <f>COUNTIF(HR_Data[Employee Number],HR_Data[[#This Row],[Employee Number]])</f>
        <v>1</v>
      </c>
      <c r="Q714" s="1" t="str">
        <f>IF(HR_Data[[#This Row],[Years At Company]]&lt;=HR_Data[[#This Row],[Total Working Years]],"Valid","error")</f>
        <v>Valid</v>
      </c>
      <c r="R714" s="1" t="str" cm="1">
        <f t="array" ref="R714">_xlfn.IFS(HR_Data[[#This Row],[Age]]&lt;=30,"Young", HR_Data[[#This Row],[Age]]&lt;=45,"Mid-Age",HR_Data[[#This Row],[Age]]&gt;45,"Senior")</f>
        <v>Mid-Age</v>
      </c>
      <c r="S714" s="1" t="str" cm="1">
        <f t="array" ref="S714">_xlfn.IFS(HR_Data[[#This Row],[Monthly Income]]&lt;5000,"Low", HR_Data[[#This Row],[Monthly Income]]&lt;10000,"Medium",TRUE,"High")</f>
        <v>Low</v>
      </c>
      <c r="T714" s="1" t="str" cm="1">
        <f t="array" ref="T714">_xlfn.IFS(HR_Data[[#This Row],[Total Working Years]]&lt;=5,"Junior", HR_Data[[#This Row],[Total Working Years]]&lt;=15,"Mid-Level", TRUE, "Senior")</f>
        <v>Junior</v>
      </c>
    </row>
    <row r="715" spans="1:20" x14ac:dyDescent="0.25">
      <c r="A715" s="1">
        <v>996</v>
      </c>
      <c r="B715" s="1">
        <v>45</v>
      </c>
      <c r="C715" t="s">
        <v>9</v>
      </c>
      <c r="D715" t="s">
        <v>10</v>
      </c>
      <c r="E715" t="s">
        <v>15</v>
      </c>
      <c r="F715" t="s">
        <v>7</v>
      </c>
      <c r="G715" t="s">
        <v>14</v>
      </c>
      <c r="H715" s="1">
        <v>4</v>
      </c>
      <c r="I715" s="1">
        <v>2270</v>
      </c>
      <c r="J715" t="s">
        <v>9</v>
      </c>
      <c r="K715" s="1">
        <v>14</v>
      </c>
      <c r="L715" s="1">
        <v>3</v>
      </c>
      <c r="M715" s="1">
        <v>8</v>
      </c>
      <c r="N715" s="1">
        <v>3</v>
      </c>
      <c r="O715" s="1">
        <v>5</v>
      </c>
      <c r="P715" s="1">
        <f>COUNTIF(HR_Data[Employee Number],HR_Data[[#This Row],[Employee Number]])</f>
        <v>1</v>
      </c>
      <c r="Q715" s="1" t="str">
        <f>IF(HR_Data[[#This Row],[Years At Company]]&lt;=HR_Data[[#This Row],[Total Working Years]],"Valid","error")</f>
        <v>Valid</v>
      </c>
      <c r="R715" s="1" t="str" cm="1">
        <f t="array" ref="R715">_xlfn.IFS(HR_Data[[#This Row],[Age]]&lt;=30,"Young", HR_Data[[#This Row],[Age]]&lt;=45,"Mid-Age",HR_Data[[#This Row],[Age]]&gt;45,"Senior")</f>
        <v>Mid-Age</v>
      </c>
      <c r="S715" s="1" t="str" cm="1">
        <f t="array" ref="S715">_xlfn.IFS(HR_Data[[#This Row],[Monthly Income]]&lt;5000,"Low", HR_Data[[#This Row],[Monthly Income]]&lt;10000,"Medium",TRUE,"High")</f>
        <v>Low</v>
      </c>
      <c r="T715" s="1" t="str" cm="1">
        <f t="array" ref="T715">_xlfn.IFS(HR_Data[[#This Row],[Total Working Years]]&lt;=5,"Junior", HR_Data[[#This Row],[Total Working Years]]&lt;=15,"Mid-Level", TRUE, "Senior")</f>
        <v>Mid-Level</v>
      </c>
    </row>
    <row r="716" spans="1:20" x14ac:dyDescent="0.25">
      <c r="A716" s="1">
        <v>997</v>
      </c>
      <c r="B716" s="1">
        <v>50</v>
      </c>
      <c r="C716" t="s">
        <v>9</v>
      </c>
      <c r="D716" t="s">
        <v>10</v>
      </c>
      <c r="E716" t="s">
        <v>15</v>
      </c>
      <c r="F716" t="s">
        <v>11</v>
      </c>
      <c r="G716" t="s">
        <v>20</v>
      </c>
      <c r="H716" s="1">
        <v>4</v>
      </c>
      <c r="I716" s="1">
        <v>17399</v>
      </c>
      <c r="J716" t="s">
        <v>9</v>
      </c>
      <c r="K716" s="1">
        <v>22</v>
      </c>
      <c r="L716" s="1">
        <v>4</v>
      </c>
      <c r="M716" s="1">
        <v>32</v>
      </c>
      <c r="N716" s="1">
        <v>2</v>
      </c>
      <c r="O716" s="1">
        <v>5</v>
      </c>
      <c r="P716" s="1">
        <f>COUNTIF(HR_Data[Employee Number],HR_Data[[#This Row],[Employee Number]])</f>
        <v>1</v>
      </c>
      <c r="Q716" s="1" t="str">
        <f>IF(HR_Data[[#This Row],[Years At Company]]&lt;=HR_Data[[#This Row],[Total Working Years]],"Valid","error")</f>
        <v>Valid</v>
      </c>
      <c r="R716" s="1" t="str" cm="1">
        <f t="array" ref="R716">_xlfn.IFS(HR_Data[[#This Row],[Age]]&lt;=30,"Young", HR_Data[[#This Row],[Age]]&lt;=45,"Mid-Age",HR_Data[[#This Row],[Age]]&gt;45,"Senior")</f>
        <v>Senior</v>
      </c>
      <c r="S716" s="1" t="str" cm="1">
        <f t="array" ref="S716">_xlfn.IFS(HR_Data[[#This Row],[Monthly Income]]&lt;5000,"Low", HR_Data[[#This Row],[Monthly Income]]&lt;10000,"Medium",TRUE,"High")</f>
        <v>High</v>
      </c>
      <c r="T716" s="1" t="str" cm="1">
        <f t="array" ref="T716">_xlfn.IFS(HR_Data[[#This Row],[Total Working Years]]&lt;=5,"Junior", HR_Data[[#This Row],[Total Working Years]]&lt;=15,"Mid-Level", TRUE, "Senior")</f>
        <v>Senior</v>
      </c>
    </row>
    <row r="717" spans="1:20" x14ac:dyDescent="0.25">
      <c r="A717" s="1">
        <v>998</v>
      </c>
      <c r="B717" s="1">
        <v>33</v>
      </c>
      <c r="C717" t="s">
        <v>9</v>
      </c>
      <c r="D717" t="s">
        <v>10</v>
      </c>
      <c r="E717" t="s">
        <v>13</v>
      </c>
      <c r="F717" t="s">
        <v>7</v>
      </c>
      <c r="G717" t="s">
        <v>17</v>
      </c>
      <c r="H717" s="1">
        <v>2</v>
      </c>
      <c r="I717" s="1">
        <v>5488</v>
      </c>
      <c r="J717" t="s">
        <v>4</v>
      </c>
      <c r="K717" s="1">
        <v>13</v>
      </c>
      <c r="L717" s="1">
        <v>3</v>
      </c>
      <c r="M717" s="1">
        <v>6</v>
      </c>
      <c r="N717" s="1">
        <v>3</v>
      </c>
      <c r="O717" s="1">
        <v>6</v>
      </c>
      <c r="P717" s="1">
        <f>COUNTIF(HR_Data[Employee Number],HR_Data[[#This Row],[Employee Number]])</f>
        <v>1</v>
      </c>
      <c r="Q717" s="1" t="str">
        <f>IF(HR_Data[[#This Row],[Years At Company]]&lt;=HR_Data[[#This Row],[Total Working Years]],"Valid","error")</f>
        <v>Valid</v>
      </c>
      <c r="R717" s="1" t="str" cm="1">
        <f t="array" ref="R717">_xlfn.IFS(HR_Data[[#This Row],[Age]]&lt;=30,"Young", HR_Data[[#This Row],[Age]]&lt;=45,"Mid-Age",HR_Data[[#This Row],[Age]]&gt;45,"Senior")</f>
        <v>Mid-Age</v>
      </c>
      <c r="S717" s="1" t="str" cm="1">
        <f t="array" ref="S717">_xlfn.IFS(HR_Data[[#This Row],[Monthly Income]]&lt;5000,"Low", HR_Data[[#This Row],[Monthly Income]]&lt;10000,"Medium",TRUE,"High")</f>
        <v>Medium</v>
      </c>
      <c r="T717" s="1" t="str" cm="1">
        <f t="array" ref="T717">_xlfn.IFS(HR_Data[[#This Row],[Total Working Years]]&lt;=5,"Junior", HR_Data[[#This Row],[Total Working Years]]&lt;=15,"Mid-Level", TRUE, "Senior")</f>
        <v>Mid-Level</v>
      </c>
    </row>
    <row r="718" spans="1:20" x14ac:dyDescent="0.25">
      <c r="A718" s="1">
        <v>999</v>
      </c>
      <c r="B718" s="1">
        <v>41</v>
      </c>
      <c r="C718" t="s">
        <v>9</v>
      </c>
      <c r="D718" t="s">
        <v>10</v>
      </c>
      <c r="E718" t="s">
        <v>15</v>
      </c>
      <c r="F718" t="s">
        <v>11</v>
      </c>
      <c r="G718" t="s">
        <v>20</v>
      </c>
      <c r="H718" s="1">
        <v>3</v>
      </c>
      <c r="I718" s="1">
        <v>19419</v>
      </c>
      <c r="J718" t="s">
        <v>9</v>
      </c>
      <c r="K718" s="1">
        <v>17</v>
      </c>
      <c r="L718" s="1">
        <v>3</v>
      </c>
      <c r="M718" s="1">
        <v>21</v>
      </c>
      <c r="N718" s="1">
        <v>4</v>
      </c>
      <c r="O718" s="1">
        <v>18</v>
      </c>
      <c r="P718" s="1">
        <f>COUNTIF(HR_Data[Employee Number],HR_Data[[#This Row],[Employee Number]])</f>
        <v>1</v>
      </c>
      <c r="Q718" s="1" t="str">
        <f>IF(HR_Data[[#This Row],[Years At Company]]&lt;=HR_Data[[#This Row],[Total Working Years]],"Valid","error")</f>
        <v>Valid</v>
      </c>
      <c r="R718" s="1" t="str" cm="1">
        <f t="array" ref="R718">_xlfn.IFS(HR_Data[[#This Row],[Age]]&lt;=30,"Young", HR_Data[[#This Row],[Age]]&lt;=45,"Mid-Age",HR_Data[[#This Row],[Age]]&gt;45,"Senior")</f>
        <v>Mid-Age</v>
      </c>
      <c r="S718" s="1" t="str" cm="1">
        <f t="array" ref="S718">_xlfn.IFS(HR_Data[[#This Row],[Monthly Income]]&lt;5000,"Low", HR_Data[[#This Row],[Monthly Income]]&lt;10000,"Medium",TRUE,"High")</f>
        <v>High</v>
      </c>
      <c r="T718" s="1" t="str" cm="1">
        <f t="array" ref="T718">_xlfn.IFS(HR_Data[[#This Row],[Total Working Years]]&lt;=5,"Junior", HR_Data[[#This Row],[Total Working Years]]&lt;=15,"Mid-Level", TRUE, "Senior")</f>
        <v>Senior</v>
      </c>
    </row>
    <row r="719" spans="1:20" x14ac:dyDescent="0.25">
      <c r="A719" s="1">
        <v>1001</v>
      </c>
      <c r="B719" s="1">
        <v>27</v>
      </c>
      <c r="C719" t="s">
        <v>9</v>
      </c>
      <c r="D719" t="s">
        <v>10</v>
      </c>
      <c r="E719" t="s">
        <v>22</v>
      </c>
      <c r="F719" t="s">
        <v>7</v>
      </c>
      <c r="G719" t="s">
        <v>14</v>
      </c>
      <c r="H719" s="1">
        <v>2</v>
      </c>
      <c r="I719" s="1">
        <v>2811</v>
      </c>
      <c r="J719" t="s">
        <v>9</v>
      </c>
      <c r="K719" s="1">
        <v>14</v>
      </c>
      <c r="L719" s="1">
        <v>3</v>
      </c>
      <c r="M719" s="1">
        <v>4</v>
      </c>
      <c r="N719" s="1">
        <v>3</v>
      </c>
      <c r="O719" s="1">
        <v>2</v>
      </c>
      <c r="P719" s="1">
        <f>COUNTIF(HR_Data[Employee Number],HR_Data[[#This Row],[Employee Number]])</f>
        <v>1</v>
      </c>
      <c r="Q719" s="1" t="str">
        <f>IF(HR_Data[[#This Row],[Years At Company]]&lt;=HR_Data[[#This Row],[Total Working Years]],"Valid","error")</f>
        <v>Valid</v>
      </c>
      <c r="R719" s="1" t="str" cm="1">
        <f t="array" ref="R719">_xlfn.IFS(HR_Data[[#This Row],[Age]]&lt;=30,"Young", HR_Data[[#This Row],[Age]]&lt;=45,"Mid-Age",HR_Data[[#This Row],[Age]]&gt;45,"Senior")</f>
        <v>Young</v>
      </c>
      <c r="S719" s="1" t="str" cm="1">
        <f t="array" ref="S719">_xlfn.IFS(HR_Data[[#This Row],[Monthly Income]]&lt;5000,"Low", HR_Data[[#This Row],[Monthly Income]]&lt;10000,"Medium",TRUE,"High")</f>
        <v>Low</v>
      </c>
      <c r="T719" s="1" t="str" cm="1">
        <f t="array" ref="T719">_xlfn.IFS(HR_Data[[#This Row],[Total Working Years]]&lt;=5,"Junior", HR_Data[[#This Row],[Total Working Years]]&lt;=15,"Mid-Level", TRUE, "Senior")</f>
        <v>Junior</v>
      </c>
    </row>
    <row r="720" spans="1:20" x14ac:dyDescent="0.25">
      <c r="A720" s="1">
        <v>1002</v>
      </c>
      <c r="B720" s="1">
        <v>45</v>
      </c>
      <c r="C720" t="s">
        <v>9</v>
      </c>
      <c r="D720" t="s">
        <v>10</v>
      </c>
      <c r="E720" t="s">
        <v>6</v>
      </c>
      <c r="F720" t="s">
        <v>11</v>
      </c>
      <c r="G720" t="s">
        <v>14</v>
      </c>
      <c r="H720" s="1">
        <v>1</v>
      </c>
      <c r="I720" s="1">
        <v>3633</v>
      </c>
      <c r="J720" t="s">
        <v>4</v>
      </c>
      <c r="K720" s="1">
        <v>15</v>
      </c>
      <c r="L720" s="1">
        <v>3</v>
      </c>
      <c r="M720" s="1">
        <v>9</v>
      </c>
      <c r="N720" s="1">
        <v>3</v>
      </c>
      <c r="O720" s="1">
        <v>9</v>
      </c>
      <c r="P720" s="1">
        <f>COUNTIF(HR_Data[Employee Number],HR_Data[[#This Row],[Employee Number]])</f>
        <v>1</v>
      </c>
      <c r="Q720" s="1" t="str">
        <f>IF(HR_Data[[#This Row],[Years At Company]]&lt;=HR_Data[[#This Row],[Total Working Years]],"Valid","error")</f>
        <v>Valid</v>
      </c>
      <c r="R720" s="1" t="str" cm="1">
        <f t="array" ref="R720">_xlfn.IFS(HR_Data[[#This Row],[Age]]&lt;=30,"Young", HR_Data[[#This Row],[Age]]&lt;=45,"Mid-Age",HR_Data[[#This Row],[Age]]&gt;45,"Senior")</f>
        <v>Mid-Age</v>
      </c>
      <c r="S720" s="1" t="str" cm="1">
        <f t="array" ref="S720">_xlfn.IFS(HR_Data[[#This Row],[Monthly Income]]&lt;5000,"Low", HR_Data[[#This Row],[Monthly Income]]&lt;10000,"Medium",TRUE,"High")</f>
        <v>Low</v>
      </c>
      <c r="T720" s="1" t="str" cm="1">
        <f t="array" ref="T720">_xlfn.IFS(HR_Data[[#This Row],[Total Working Years]]&lt;=5,"Junior", HR_Data[[#This Row],[Total Working Years]]&lt;=15,"Mid-Level", TRUE, "Senior")</f>
        <v>Mid-Level</v>
      </c>
    </row>
    <row r="721" spans="1:20" x14ac:dyDescent="0.25">
      <c r="A721" s="1">
        <v>1003</v>
      </c>
      <c r="B721" s="1">
        <v>47</v>
      </c>
      <c r="C721" t="s">
        <v>9</v>
      </c>
      <c r="D721" t="s">
        <v>5</v>
      </c>
      <c r="E721" t="s">
        <v>6</v>
      </c>
      <c r="F721" t="s">
        <v>7</v>
      </c>
      <c r="G721" t="s">
        <v>8</v>
      </c>
      <c r="H721" s="1">
        <v>4</v>
      </c>
      <c r="I721" s="1">
        <v>4163</v>
      </c>
      <c r="J721" t="s">
        <v>4</v>
      </c>
      <c r="K721" s="1">
        <v>17</v>
      </c>
      <c r="L721" s="1">
        <v>3</v>
      </c>
      <c r="M721" s="1">
        <v>9</v>
      </c>
      <c r="N721" s="1">
        <v>3</v>
      </c>
      <c r="O721" s="1">
        <v>9</v>
      </c>
      <c r="P721" s="1">
        <f>COUNTIF(HR_Data[Employee Number],HR_Data[[#This Row],[Employee Number]])</f>
        <v>1</v>
      </c>
      <c r="Q721" s="1" t="str">
        <f>IF(HR_Data[[#This Row],[Years At Company]]&lt;=HR_Data[[#This Row],[Total Working Years]],"Valid","error")</f>
        <v>Valid</v>
      </c>
      <c r="R721" s="1" t="str" cm="1">
        <f t="array" ref="R721">_xlfn.IFS(HR_Data[[#This Row],[Age]]&lt;=30,"Young", HR_Data[[#This Row],[Age]]&lt;=45,"Mid-Age",HR_Data[[#This Row],[Age]]&gt;45,"Senior")</f>
        <v>Senior</v>
      </c>
      <c r="S721" s="1" t="str" cm="1">
        <f t="array" ref="S721">_xlfn.IFS(HR_Data[[#This Row],[Monthly Income]]&lt;5000,"Low", HR_Data[[#This Row],[Monthly Income]]&lt;10000,"Medium",TRUE,"High")</f>
        <v>Low</v>
      </c>
      <c r="T721" s="1" t="str" cm="1">
        <f t="array" ref="T721">_xlfn.IFS(HR_Data[[#This Row],[Total Working Years]]&lt;=5,"Junior", HR_Data[[#This Row],[Total Working Years]]&lt;=15,"Mid-Level", TRUE, "Senior")</f>
        <v>Mid-Level</v>
      </c>
    </row>
    <row r="722" spans="1:20" x14ac:dyDescent="0.25">
      <c r="A722" s="1">
        <v>1004</v>
      </c>
      <c r="B722" s="1">
        <v>30</v>
      </c>
      <c r="C722" t="s">
        <v>4</v>
      </c>
      <c r="D722" t="s">
        <v>10</v>
      </c>
      <c r="E722" t="s">
        <v>6</v>
      </c>
      <c r="F722" t="s">
        <v>7</v>
      </c>
      <c r="G722" t="s">
        <v>12</v>
      </c>
      <c r="H722" s="1">
        <v>3</v>
      </c>
      <c r="I722" s="1">
        <v>2132</v>
      </c>
      <c r="J722" t="s">
        <v>4</v>
      </c>
      <c r="K722" s="1">
        <v>11</v>
      </c>
      <c r="L722" s="1">
        <v>3</v>
      </c>
      <c r="M722" s="1">
        <v>7</v>
      </c>
      <c r="N722" s="1">
        <v>3</v>
      </c>
      <c r="O722" s="1">
        <v>5</v>
      </c>
      <c r="P722" s="1">
        <f>COUNTIF(HR_Data[Employee Number],HR_Data[[#This Row],[Employee Number]])</f>
        <v>1</v>
      </c>
      <c r="Q722" s="1" t="str">
        <f>IF(HR_Data[[#This Row],[Years At Company]]&lt;=HR_Data[[#This Row],[Total Working Years]],"Valid","error")</f>
        <v>Valid</v>
      </c>
      <c r="R722" s="1" t="str" cm="1">
        <f t="array" ref="R722">_xlfn.IFS(HR_Data[[#This Row],[Age]]&lt;=30,"Young", HR_Data[[#This Row],[Age]]&lt;=45,"Mid-Age",HR_Data[[#This Row],[Age]]&gt;45,"Senior")</f>
        <v>Young</v>
      </c>
      <c r="S722" s="1" t="str" cm="1">
        <f t="array" ref="S722">_xlfn.IFS(HR_Data[[#This Row],[Monthly Income]]&lt;5000,"Low", HR_Data[[#This Row],[Monthly Income]]&lt;10000,"Medium",TRUE,"High")</f>
        <v>Low</v>
      </c>
      <c r="T722" s="1" t="str" cm="1">
        <f t="array" ref="T722">_xlfn.IFS(HR_Data[[#This Row],[Total Working Years]]&lt;=5,"Junior", HR_Data[[#This Row],[Total Working Years]]&lt;=15,"Mid-Level", TRUE, "Senior")</f>
        <v>Mid-Level</v>
      </c>
    </row>
    <row r="723" spans="1:20" x14ac:dyDescent="0.25">
      <c r="A723" s="1">
        <v>1005</v>
      </c>
      <c r="B723" s="1">
        <v>50</v>
      </c>
      <c r="C723" t="s">
        <v>9</v>
      </c>
      <c r="D723" t="s">
        <v>10</v>
      </c>
      <c r="E723" t="s">
        <v>6</v>
      </c>
      <c r="F723" t="s">
        <v>11</v>
      </c>
      <c r="G723" t="s">
        <v>16</v>
      </c>
      <c r="H723" s="1">
        <v>3</v>
      </c>
      <c r="I723" s="1">
        <v>13973</v>
      </c>
      <c r="J723" t="s">
        <v>4</v>
      </c>
      <c r="K723" s="1">
        <v>18</v>
      </c>
      <c r="L723" s="1">
        <v>3</v>
      </c>
      <c r="M723" s="1">
        <v>22</v>
      </c>
      <c r="N723" s="1">
        <v>3</v>
      </c>
      <c r="O723" s="1">
        <v>12</v>
      </c>
      <c r="P723" s="1">
        <f>COUNTIF(HR_Data[Employee Number],HR_Data[[#This Row],[Employee Number]])</f>
        <v>1</v>
      </c>
      <c r="Q723" s="1" t="str">
        <f>IF(HR_Data[[#This Row],[Years At Company]]&lt;=HR_Data[[#This Row],[Total Working Years]],"Valid","error")</f>
        <v>Valid</v>
      </c>
      <c r="R723" s="1" t="str" cm="1">
        <f t="array" ref="R723">_xlfn.IFS(HR_Data[[#This Row],[Age]]&lt;=30,"Young", HR_Data[[#This Row],[Age]]&lt;=45,"Mid-Age",HR_Data[[#This Row],[Age]]&gt;45,"Senior")</f>
        <v>Senior</v>
      </c>
      <c r="S723" s="1" t="str" cm="1">
        <f t="array" ref="S723">_xlfn.IFS(HR_Data[[#This Row],[Monthly Income]]&lt;5000,"Low", HR_Data[[#This Row],[Monthly Income]]&lt;10000,"Medium",TRUE,"High")</f>
        <v>High</v>
      </c>
      <c r="T723" s="1" t="str" cm="1">
        <f t="array" ref="T723">_xlfn.IFS(HR_Data[[#This Row],[Total Working Years]]&lt;=5,"Junior", HR_Data[[#This Row],[Total Working Years]]&lt;=15,"Mid-Level", TRUE, "Senior")</f>
        <v>Senior</v>
      </c>
    </row>
    <row r="724" spans="1:20" x14ac:dyDescent="0.25">
      <c r="A724" s="1">
        <v>1006</v>
      </c>
      <c r="B724" s="1">
        <v>38</v>
      </c>
      <c r="C724" t="s">
        <v>9</v>
      </c>
      <c r="D724" t="s">
        <v>10</v>
      </c>
      <c r="E724" t="s">
        <v>15</v>
      </c>
      <c r="F724" t="s">
        <v>11</v>
      </c>
      <c r="G724" t="s">
        <v>12</v>
      </c>
      <c r="H724" s="1">
        <v>3</v>
      </c>
      <c r="I724" s="1">
        <v>2684</v>
      </c>
      <c r="J724" t="s">
        <v>9</v>
      </c>
      <c r="K724" s="1">
        <v>17</v>
      </c>
      <c r="L724" s="1">
        <v>3</v>
      </c>
      <c r="M724" s="1">
        <v>3</v>
      </c>
      <c r="N724" s="1">
        <v>2</v>
      </c>
      <c r="O724" s="1">
        <v>2</v>
      </c>
      <c r="P724" s="1">
        <f>COUNTIF(HR_Data[Employee Number],HR_Data[[#This Row],[Employee Number]])</f>
        <v>1</v>
      </c>
      <c r="Q724" s="1" t="str">
        <f>IF(HR_Data[[#This Row],[Years At Company]]&lt;=HR_Data[[#This Row],[Total Working Years]],"Valid","error")</f>
        <v>Valid</v>
      </c>
      <c r="R724" s="1" t="str" cm="1">
        <f t="array" ref="R724">_xlfn.IFS(HR_Data[[#This Row],[Age]]&lt;=30,"Young", HR_Data[[#This Row],[Age]]&lt;=45,"Mid-Age",HR_Data[[#This Row],[Age]]&gt;45,"Senior")</f>
        <v>Mid-Age</v>
      </c>
      <c r="S724" s="1" t="str" cm="1">
        <f t="array" ref="S724">_xlfn.IFS(HR_Data[[#This Row],[Monthly Income]]&lt;5000,"Low", HR_Data[[#This Row],[Monthly Income]]&lt;10000,"Medium",TRUE,"High")</f>
        <v>Low</v>
      </c>
      <c r="T724" s="1" t="str" cm="1">
        <f t="array" ref="T724">_xlfn.IFS(HR_Data[[#This Row],[Total Working Years]]&lt;=5,"Junior", HR_Data[[#This Row],[Total Working Years]]&lt;=15,"Mid-Level", TRUE, "Senior")</f>
        <v>Junior</v>
      </c>
    </row>
    <row r="725" spans="1:20" x14ac:dyDescent="0.25">
      <c r="A725" s="1">
        <v>1007</v>
      </c>
      <c r="B725" s="1">
        <v>46</v>
      </c>
      <c r="C725" t="s">
        <v>9</v>
      </c>
      <c r="D725" t="s">
        <v>10</v>
      </c>
      <c r="E725" t="s">
        <v>15</v>
      </c>
      <c r="F725" t="s">
        <v>11</v>
      </c>
      <c r="G725" t="s">
        <v>16</v>
      </c>
      <c r="H725" s="1">
        <v>3</v>
      </c>
      <c r="I725" s="1">
        <v>10845</v>
      </c>
      <c r="J725" t="s">
        <v>9</v>
      </c>
      <c r="K725" s="1">
        <v>13</v>
      </c>
      <c r="L725" s="1">
        <v>3</v>
      </c>
      <c r="M725" s="1">
        <v>13</v>
      </c>
      <c r="N725" s="1">
        <v>3</v>
      </c>
      <c r="O725" s="1">
        <v>8</v>
      </c>
      <c r="P725" s="1">
        <f>COUNTIF(HR_Data[Employee Number],HR_Data[[#This Row],[Employee Number]])</f>
        <v>1</v>
      </c>
      <c r="Q725" s="1" t="str">
        <f>IF(HR_Data[[#This Row],[Years At Company]]&lt;=HR_Data[[#This Row],[Total Working Years]],"Valid","error")</f>
        <v>Valid</v>
      </c>
      <c r="R725" s="1" t="str" cm="1">
        <f t="array" ref="R725">_xlfn.IFS(HR_Data[[#This Row],[Age]]&lt;=30,"Young", HR_Data[[#This Row],[Age]]&lt;=45,"Mid-Age",HR_Data[[#This Row],[Age]]&gt;45,"Senior")</f>
        <v>Senior</v>
      </c>
      <c r="S725" s="1" t="str" cm="1">
        <f t="array" ref="S725">_xlfn.IFS(HR_Data[[#This Row],[Monthly Income]]&lt;5000,"Low", HR_Data[[#This Row],[Monthly Income]]&lt;10000,"Medium",TRUE,"High")</f>
        <v>High</v>
      </c>
      <c r="T725" s="1" t="str" cm="1">
        <f t="array" ref="T725">_xlfn.IFS(HR_Data[[#This Row],[Total Working Years]]&lt;=5,"Junior", HR_Data[[#This Row],[Total Working Years]]&lt;=15,"Mid-Level", TRUE, "Senior")</f>
        <v>Mid-Level</v>
      </c>
    </row>
    <row r="726" spans="1:20" x14ac:dyDescent="0.25">
      <c r="A726" s="1">
        <v>1009</v>
      </c>
      <c r="B726" s="1">
        <v>24</v>
      </c>
      <c r="C726" t="s">
        <v>9</v>
      </c>
      <c r="D726" t="s">
        <v>10</v>
      </c>
      <c r="E726" t="s">
        <v>15</v>
      </c>
      <c r="F726" t="s">
        <v>7</v>
      </c>
      <c r="G726" t="s">
        <v>16</v>
      </c>
      <c r="H726" s="1">
        <v>3</v>
      </c>
      <c r="I726" s="1">
        <v>4377</v>
      </c>
      <c r="J726" t="s">
        <v>9</v>
      </c>
      <c r="K726" s="1">
        <v>15</v>
      </c>
      <c r="L726" s="1">
        <v>3</v>
      </c>
      <c r="M726" s="1">
        <v>5</v>
      </c>
      <c r="N726" s="1">
        <v>3</v>
      </c>
      <c r="O726" s="1">
        <v>4</v>
      </c>
      <c r="P726" s="1">
        <f>COUNTIF(HR_Data[Employee Number],HR_Data[[#This Row],[Employee Number]])</f>
        <v>1</v>
      </c>
      <c r="Q726" s="1" t="str">
        <f>IF(HR_Data[[#This Row],[Years At Company]]&lt;=HR_Data[[#This Row],[Total Working Years]],"Valid","error")</f>
        <v>Valid</v>
      </c>
      <c r="R726" s="1" t="str" cm="1">
        <f t="array" ref="R726">_xlfn.IFS(HR_Data[[#This Row],[Age]]&lt;=30,"Young", HR_Data[[#This Row],[Age]]&lt;=45,"Mid-Age",HR_Data[[#This Row],[Age]]&gt;45,"Senior")</f>
        <v>Young</v>
      </c>
      <c r="S726" s="1" t="str" cm="1">
        <f t="array" ref="S726">_xlfn.IFS(HR_Data[[#This Row],[Monthly Income]]&lt;5000,"Low", HR_Data[[#This Row],[Monthly Income]]&lt;10000,"Medium",TRUE,"High")</f>
        <v>Low</v>
      </c>
      <c r="T726" s="1" t="str" cm="1">
        <f t="array" ref="T726">_xlfn.IFS(HR_Data[[#This Row],[Total Working Years]]&lt;=5,"Junior", HR_Data[[#This Row],[Total Working Years]]&lt;=15,"Mid-Level", TRUE, "Senior")</f>
        <v>Junior</v>
      </c>
    </row>
    <row r="727" spans="1:20" x14ac:dyDescent="0.25">
      <c r="A727" s="1">
        <v>1010</v>
      </c>
      <c r="B727" s="1">
        <v>35</v>
      </c>
      <c r="C727" t="s">
        <v>4</v>
      </c>
      <c r="D727" t="s">
        <v>10</v>
      </c>
      <c r="E727" t="s">
        <v>13</v>
      </c>
      <c r="F727" t="s">
        <v>11</v>
      </c>
      <c r="G727" t="s">
        <v>14</v>
      </c>
      <c r="H727" s="1">
        <v>2</v>
      </c>
      <c r="I727" s="1">
        <v>3743</v>
      </c>
      <c r="J727" t="s">
        <v>4</v>
      </c>
      <c r="K727" s="1">
        <v>24</v>
      </c>
      <c r="L727" s="1">
        <v>4</v>
      </c>
      <c r="M727" s="1">
        <v>5</v>
      </c>
      <c r="N727" s="1">
        <v>1</v>
      </c>
      <c r="O727" s="1">
        <v>4</v>
      </c>
      <c r="P727" s="1">
        <f>COUNTIF(HR_Data[Employee Number],HR_Data[[#This Row],[Employee Number]])</f>
        <v>1</v>
      </c>
      <c r="Q727" s="1" t="str">
        <f>IF(HR_Data[[#This Row],[Years At Company]]&lt;=HR_Data[[#This Row],[Total Working Years]],"Valid","error")</f>
        <v>Valid</v>
      </c>
      <c r="R727" s="1" t="str" cm="1">
        <f t="array" ref="R727">_xlfn.IFS(HR_Data[[#This Row],[Age]]&lt;=30,"Young", HR_Data[[#This Row],[Age]]&lt;=45,"Mid-Age",HR_Data[[#This Row],[Age]]&gt;45,"Senior")</f>
        <v>Mid-Age</v>
      </c>
      <c r="S727" s="1" t="str" cm="1">
        <f t="array" ref="S727">_xlfn.IFS(HR_Data[[#This Row],[Monthly Income]]&lt;5000,"Low", HR_Data[[#This Row],[Monthly Income]]&lt;10000,"Medium",TRUE,"High")</f>
        <v>Low</v>
      </c>
      <c r="T727" s="1" t="str" cm="1">
        <f t="array" ref="T727">_xlfn.IFS(HR_Data[[#This Row],[Total Working Years]]&lt;=5,"Junior", HR_Data[[#This Row],[Total Working Years]]&lt;=15,"Mid-Level", TRUE, "Senior")</f>
        <v>Junior</v>
      </c>
    </row>
    <row r="728" spans="1:20" x14ac:dyDescent="0.25">
      <c r="A728" s="1">
        <v>1011</v>
      </c>
      <c r="B728" s="1">
        <v>31</v>
      </c>
      <c r="C728" t="s">
        <v>9</v>
      </c>
      <c r="D728" t="s">
        <v>10</v>
      </c>
      <c r="E728" t="s">
        <v>6</v>
      </c>
      <c r="F728" t="s">
        <v>7</v>
      </c>
      <c r="G728" t="s">
        <v>16</v>
      </c>
      <c r="H728" s="1">
        <v>1</v>
      </c>
      <c r="I728" s="1">
        <v>4148</v>
      </c>
      <c r="J728" t="s">
        <v>9</v>
      </c>
      <c r="K728" s="1">
        <v>12</v>
      </c>
      <c r="L728" s="1">
        <v>3</v>
      </c>
      <c r="M728" s="1">
        <v>4</v>
      </c>
      <c r="N728" s="1">
        <v>3</v>
      </c>
      <c r="O728" s="1">
        <v>4</v>
      </c>
      <c r="P728" s="1">
        <f>COUNTIF(HR_Data[Employee Number],HR_Data[[#This Row],[Employee Number]])</f>
        <v>1</v>
      </c>
      <c r="Q728" s="1" t="str">
        <f>IF(HR_Data[[#This Row],[Years At Company]]&lt;=HR_Data[[#This Row],[Total Working Years]],"Valid","error")</f>
        <v>Valid</v>
      </c>
      <c r="R728" s="1" t="str" cm="1">
        <f t="array" ref="R728">_xlfn.IFS(HR_Data[[#This Row],[Age]]&lt;=30,"Young", HR_Data[[#This Row],[Age]]&lt;=45,"Mid-Age",HR_Data[[#This Row],[Age]]&gt;45,"Senior")</f>
        <v>Mid-Age</v>
      </c>
      <c r="S728" s="1" t="str" cm="1">
        <f t="array" ref="S728">_xlfn.IFS(HR_Data[[#This Row],[Monthly Income]]&lt;5000,"Low", HR_Data[[#This Row],[Monthly Income]]&lt;10000,"Medium",TRUE,"High")</f>
        <v>Low</v>
      </c>
      <c r="T728" s="1" t="str" cm="1">
        <f t="array" ref="T728">_xlfn.IFS(HR_Data[[#This Row],[Total Working Years]]&lt;=5,"Junior", HR_Data[[#This Row],[Total Working Years]]&lt;=15,"Mid-Level", TRUE, "Senior")</f>
        <v>Junior</v>
      </c>
    </row>
    <row r="729" spans="1:20" x14ac:dyDescent="0.25">
      <c r="A729" s="1">
        <v>1012</v>
      </c>
      <c r="B729" s="1">
        <v>18</v>
      </c>
      <c r="C729" t="s">
        <v>9</v>
      </c>
      <c r="D729" t="s">
        <v>10</v>
      </c>
      <c r="E729" t="s">
        <v>6</v>
      </c>
      <c r="F729" t="s">
        <v>11</v>
      </c>
      <c r="G729" t="s">
        <v>12</v>
      </c>
      <c r="H729" s="1">
        <v>4</v>
      </c>
      <c r="I729" s="1">
        <v>1051</v>
      </c>
      <c r="J729" t="s">
        <v>9</v>
      </c>
      <c r="K729" s="1">
        <v>15</v>
      </c>
      <c r="L729" s="1">
        <v>3</v>
      </c>
      <c r="M729" s="1">
        <v>0</v>
      </c>
      <c r="N729" s="1">
        <v>3</v>
      </c>
      <c r="O729" s="1">
        <v>0</v>
      </c>
      <c r="P729" s="1">
        <f>COUNTIF(HR_Data[Employee Number],HR_Data[[#This Row],[Employee Number]])</f>
        <v>1</v>
      </c>
      <c r="Q729" s="1" t="str">
        <f>IF(HR_Data[[#This Row],[Years At Company]]&lt;=HR_Data[[#This Row],[Total Working Years]],"Valid","error")</f>
        <v>Valid</v>
      </c>
      <c r="R729" s="1" t="str" cm="1">
        <f t="array" ref="R729">_xlfn.IFS(HR_Data[[#This Row],[Age]]&lt;=30,"Young", HR_Data[[#This Row],[Age]]&lt;=45,"Mid-Age",HR_Data[[#This Row],[Age]]&gt;45,"Senior")</f>
        <v>Young</v>
      </c>
      <c r="S729" s="1" t="str" cm="1">
        <f t="array" ref="S729">_xlfn.IFS(HR_Data[[#This Row],[Monthly Income]]&lt;5000,"Low", HR_Data[[#This Row],[Monthly Income]]&lt;10000,"Medium",TRUE,"High")</f>
        <v>Low</v>
      </c>
      <c r="T729" s="1" t="str" cm="1">
        <f t="array" ref="T729">_xlfn.IFS(HR_Data[[#This Row],[Total Working Years]]&lt;=5,"Junior", HR_Data[[#This Row],[Total Working Years]]&lt;=15,"Mid-Level", TRUE, "Senior")</f>
        <v>Junior</v>
      </c>
    </row>
    <row r="730" spans="1:20" x14ac:dyDescent="0.25">
      <c r="A730" s="1">
        <v>1013</v>
      </c>
      <c r="B730" s="1">
        <v>54</v>
      </c>
      <c r="C730" t="s">
        <v>9</v>
      </c>
      <c r="D730" t="s">
        <v>10</v>
      </c>
      <c r="E730" t="s">
        <v>22</v>
      </c>
      <c r="F730" t="s">
        <v>7</v>
      </c>
      <c r="G730" t="s">
        <v>16</v>
      </c>
      <c r="H730" s="1">
        <v>3</v>
      </c>
      <c r="I730" s="1">
        <v>10739</v>
      </c>
      <c r="J730" t="s">
        <v>9</v>
      </c>
      <c r="K730" s="1">
        <v>11</v>
      </c>
      <c r="L730" s="1">
        <v>3</v>
      </c>
      <c r="M730" s="1">
        <v>22</v>
      </c>
      <c r="N730" s="1">
        <v>3</v>
      </c>
      <c r="O730" s="1">
        <v>10</v>
      </c>
      <c r="P730" s="1">
        <f>COUNTIF(HR_Data[Employee Number],HR_Data[[#This Row],[Employee Number]])</f>
        <v>1</v>
      </c>
      <c r="Q730" s="1" t="str">
        <f>IF(HR_Data[[#This Row],[Years At Company]]&lt;=HR_Data[[#This Row],[Total Working Years]],"Valid","error")</f>
        <v>Valid</v>
      </c>
      <c r="R730" s="1" t="str" cm="1">
        <f t="array" ref="R730">_xlfn.IFS(HR_Data[[#This Row],[Age]]&lt;=30,"Young", HR_Data[[#This Row],[Age]]&lt;=45,"Mid-Age",HR_Data[[#This Row],[Age]]&gt;45,"Senior")</f>
        <v>Senior</v>
      </c>
      <c r="S730" s="1" t="str" cm="1">
        <f t="array" ref="S730">_xlfn.IFS(HR_Data[[#This Row],[Monthly Income]]&lt;5000,"Low", HR_Data[[#This Row],[Monthly Income]]&lt;10000,"Medium",TRUE,"High")</f>
        <v>High</v>
      </c>
      <c r="T730" s="1" t="str" cm="1">
        <f t="array" ref="T730">_xlfn.IFS(HR_Data[[#This Row],[Total Working Years]]&lt;=5,"Junior", HR_Data[[#This Row],[Total Working Years]]&lt;=15,"Mid-Level", TRUE, "Senior")</f>
        <v>Senior</v>
      </c>
    </row>
    <row r="731" spans="1:20" x14ac:dyDescent="0.25">
      <c r="A731" s="1">
        <v>1014</v>
      </c>
      <c r="B731" s="1">
        <v>35</v>
      </c>
      <c r="C731" t="s">
        <v>9</v>
      </c>
      <c r="D731" t="s">
        <v>10</v>
      </c>
      <c r="E731" t="s">
        <v>15</v>
      </c>
      <c r="F731" t="s">
        <v>7</v>
      </c>
      <c r="G731" t="s">
        <v>17</v>
      </c>
      <c r="H731" s="1">
        <v>3</v>
      </c>
      <c r="I731" s="1">
        <v>10388</v>
      </c>
      <c r="J731" t="s">
        <v>4</v>
      </c>
      <c r="K731" s="1">
        <v>11</v>
      </c>
      <c r="L731" s="1">
        <v>3</v>
      </c>
      <c r="M731" s="1">
        <v>16</v>
      </c>
      <c r="N731" s="1">
        <v>2</v>
      </c>
      <c r="O731" s="1">
        <v>16</v>
      </c>
      <c r="P731" s="1">
        <f>COUNTIF(HR_Data[Employee Number],HR_Data[[#This Row],[Employee Number]])</f>
        <v>1</v>
      </c>
      <c r="Q731" s="1" t="str">
        <f>IF(HR_Data[[#This Row],[Years At Company]]&lt;=HR_Data[[#This Row],[Total Working Years]],"Valid","error")</f>
        <v>Valid</v>
      </c>
      <c r="R731" s="1" t="str" cm="1">
        <f t="array" ref="R731">_xlfn.IFS(HR_Data[[#This Row],[Age]]&lt;=30,"Young", HR_Data[[#This Row],[Age]]&lt;=45,"Mid-Age",HR_Data[[#This Row],[Age]]&gt;45,"Senior")</f>
        <v>Mid-Age</v>
      </c>
      <c r="S731" s="1" t="str" cm="1">
        <f t="array" ref="S731">_xlfn.IFS(HR_Data[[#This Row],[Monthly Income]]&lt;5000,"Low", HR_Data[[#This Row],[Monthly Income]]&lt;10000,"Medium",TRUE,"High")</f>
        <v>High</v>
      </c>
      <c r="T731" s="1" t="str" cm="1">
        <f t="array" ref="T731">_xlfn.IFS(HR_Data[[#This Row],[Total Working Years]]&lt;=5,"Junior", HR_Data[[#This Row],[Total Working Years]]&lt;=15,"Mid-Level", TRUE, "Senior")</f>
        <v>Senior</v>
      </c>
    </row>
    <row r="732" spans="1:20" x14ac:dyDescent="0.25">
      <c r="A732" s="1">
        <v>1015</v>
      </c>
      <c r="B732" s="1">
        <v>30</v>
      </c>
      <c r="C732" t="s">
        <v>9</v>
      </c>
      <c r="D732" t="s">
        <v>10</v>
      </c>
      <c r="E732" t="s">
        <v>6</v>
      </c>
      <c r="F732" t="s">
        <v>7</v>
      </c>
      <c r="G732" t="s">
        <v>20</v>
      </c>
      <c r="H732" s="1">
        <v>1</v>
      </c>
      <c r="I732" s="1">
        <v>11416</v>
      </c>
      <c r="J732" t="s">
        <v>4</v>
      </c>
      <c r="K732" s="1">
        <v>12</v>
      </c>
      <c r="L732" s="1">
        <v>3</v>
      </c>
      <c r="M732" s="1">
        <v>9</v>
      </c>
      <c r="N732" s="1">
        <v>2</v>
      </c>
      <c r="O732" s="1">
        <v>8</v>
      </c>
      <c r="P732" s="1">
        <f>COUNTIF(HR_Data[Employee Number],HR_Data[[#This Row],[Employee Number]])</f>
        <v>1</v>
      </c>
      <c r="Q732" s="1" t="str">
        <f>IF(HR_Data[[#This Row],[Years At Company]]&lt;=HR_Data[[#This Row],[Total Working Years]],"Valid","error")</f>
        <v>Valid</v>
      </c>
      <c r="R732" s="1" t="str" cm="1">
        <f t="array" ref="R732">_xlfn.IFS(HR_Data[[#This Row],[Age]]&lt;=30,"Young", HR_Data[[#This Row],[Age]]&lt;=45,"Mid-Age",HR_Data[[#This Row],[Age]]&gt;45,"Senior")</f>
        <v>Young</v>
      </c>
      <c r="S732" s="1" t="str" cm="1">
        <f t="array" ref="S732">_xlfn.IFS(HR_Data[[#This Row],[Monthly Income]]&lt;5000,"Low", HR_Data[[#This Row],[Monthly Income]]&lt;10000,"Medium",TRUE,"High")</f>
        <v>High</v>
      </c>
      <c r="T732" s="1" t="str" cm="1">
        <f t="array" ref="T732">_xlfn.IFS(HR_Data[[#This Row],[Total Working Years]]&lt;=5,"Junior", HR_Data[[#This Row],[Total Working Years]]&lt;=15,"Mid-Level", TRUE, "Senior")</f>
        <v>Mid-Level</v>
      </c>
    </row>
    <row r="733" spans="1:20" x14ac:dyDescent="0.25">
      <c r="A733" s="1">
        <v>1016</v>
      </c>
      <c r="B733" s="1">
        <v>20</v>
      </c>
      <c r="C733" t="s">
        <v>4</v>
      </c>
      <c r="D733" t="s">
        <v>10</v>
      </c>
      <c r="E733" t="s">
        <v>15</v>
      </c>
      <c r="F733" t="s">
        <v>7</v>
      </c>
      <c r="G733" t="s">
        <v>12</v>
      </c>
      <c r="H733" s="1">
        <v>1</v>
      </c>
      <c r="I733" s="1">
        <v>2600</v>
      </c>
      <c r="J733" t="s">
        <v>4</v>
      </c>
      <c r="K733" s="1">
        <v>15</v>
      </c>
      <c r="L733" s="1">
        <v>3</v>
      </c>
      <c r="M733" s="1">
        <v>1</v>
      </c>
      <c r="N733" s="1">
        <v>3</v>
      </c>
      <c r="O733" s="1">
        <v>1</v>
      </c>
      <c r="P733" s="1">
        <f>COUNTIF(HR_Data[Employee Number],HR_Data[[#This Row],[Employee Number]])</f>
        <v>1</v>
      </c>
      <c r="Q733" s="1" t="str">
        <f>IF(HR_Data[[#This Row],[Years At Company]]&lt;=HR_Data[[#This Row],[Total Working Years]],"Valid","error")</f>
        <v>Valid</v>
      </c>
      <c r="R733" s="1" t="str" cm="1">
        <f t="array" ref="R733">_xlfn.IFS(HR_Data[[#This Row],[Age]]&lt;=30,"Young", HR_Data[[#This Row],[Age]]&lt;=45,"Mid-Age",HR_Data[[#This Row],[Age]]&gt;45,"Senior")</f>
        <v>Young</v>
      </c>
      <c r="S733" s="1" t="str" cm="1">
        <f t="array" ref="S733">_xlfn.IFS(HR_Data[[#This Row],[Monthly Income]]&lt;5000,"Low", HR_Data[[#This Row],[Monthly Income]]&lt;10000,"Medium",TRUE,"High")</f>
        <v>Low</v>
      </c>
      <c r="T733" s="1" t="str" cm="1">
        <f t="array" ref="T733">_xlfn.IFS(HR_Data[[#This Row],[Total Working Years]]&lt;=5,"Junior", HR_Data[[#This Row],[Total Working Years]]&lt;=15,"Mid-Level", TRUE, "Senior")</f>
        <v>Junior</v>
      </c>
    </row>
    <row r="734" spans="1:20" x14ac:dyDescent="0.25">
      <c r="A734" s="1">
        <v>1017</v>
      </c>
      <c r="B734" s="1">
        <v>30</v>
      </c>
      <c r="C734" t="s">
        <v>4</v>
      </c>
      <c r="D734" t="s">
        <v>10</v>
      </c>
      <c r="E734" t="s">
        <v>15</v>
      </c>
      <c r="F734" t="s">
        <v>7</v>
      </c>
      <c r="G734" t="s">
        <v>14</v>
      </c>
      <c r="H734" s="1">
        <v>2</v>
      </c>
      <c r="I734" s="1">
        <v>2422</v>
      </c>
      <c r="J734" t="s">
        <v>9</v>
      </c>
      <c r="K734" s="1">
        <v>17</v>
      </c>
      <c r="L734" s="1">
        <v>3</v>
      </c>
      <c r="M734" s="1">
        <v>4</v>
      </c>
      <c r="N734" s="1">
        <v>3</v>
      </c>
      <c r="O734" s="1">
        <v>3</v>
      </c>
      <c r="P734" s="1">
        <f>COUNTIF(HR_Data[Employee Number],HR_Data[[#This Row],[Employee Number]])</f>
        <v>1</v>
      </c>
      <c r="Q734" s="1" t="str">
        <f>IF(HR_Data[[#This Row],[Years At Company]]&lt;=HR_Data[[#This Row],[Total Working Years]],"Valid","error")</f>
        <v>Valid</v>
      </c>
      <c r="R734" s="1" t="str" cm="1">
        <f t="array" ref="R734">_xlfn.IFS(HR_Data[[#This Row],[Age]]&lt;=30,"Young", HR_Data[[#This Row],[Age]]&lt;=45,"Mid-Age",HR_Data[[#This Row],[Age]]&gt;45,"Senior")</f>
        <v>Young</v>
      </c>
      <c r="S734" s="1" t="str" cm="1">
        <f t="array" ref="S734">_xlfn.IFS(HR_Data[[#This Row],[Monthly Income]]&lt;5000,"Low", HR_Data[[#This Row],[Monthly Income]]&lt;10000,"Medium",TRUE,"High")</f>
        <v>Low</v>
      </c>
      <c r="T734" s="1" t="str" cm="1">
        <f t="array" ref="T734">_xlfn.IFS(HR_Data[[#This Row],[Total Working Years]]&lt;=5,"Junior", HR_Data[[#This Row],[Total Working Years]]&lt;=15,"Mid-Level", TRUE, "Senior")</f>
        <v>Junior</v>
      </c>
    </row>
    <row r="735" spans="1:20" x14ac:dyDescent="0.25">
      <c r="A735" s="1">
        <v>1018</v>
      </c>
      <c r="B735" s="1">
        <v>26</v>
      </c>
      <c r="C735" t="s">
        <v>9</v>
      </c>
      <c r="D735" t="s">
        <v>10</v>
      </c>
      <c r="E735" t="s">
        <v>15</v>
      </c>
      <c r="F735" t="s">
        <v>11</v>
      </c>
      <c r="G735" t="s">
        <v>16</v>
      </c>
      <c r="H735" s="1">
        <v>4</v>
      </c>
      <c r="I735" s="1">
        <v>5472</v>
      </c>
      <c r="J735" t="s">
        <v>9</v>
      </c>
      <c r="K735" s="1">
        <v>12</v>
      </c>
      <c r="L735" s="1">
        <v>3</v>
      </c>
      <c r="M735" s="1">
        <v>8</v>
      </c>
      <c r="N735" s="1">
        <v>3</v>
      </c>
      <c r="O735" s="1">
        <v>8</v>
      </c>
      <c r="P735" s="1">
        <f>COUNTIF(HR_Data[Employee Number],HR_Data[[#This Row],[Employee Number]])</f>
        <v>1</v>
      </c>
      <c r="Q735" s="1" t="str">
        <f>IF(HR_Data[[#This Row],[Years At Company]]&lt;=HR_Data[[#This Row],[Total Working Years]],"Valid","error")</f>
        <v>Valid</v>
      </c>
      <c r="R735" s="1" t="str" cm="1">
        <f t="array" ref="R735">_xlfn.IFS(HR_Data[[#This Row],[Age]]&lt;=30,"Young", HR_Data[[#This Row],[Age]]&lt;=45,"Mid-Age",HR_Data[[#This Row],[Age]]&gt;45,"Senior")</f>
        <v>Young</v>
      </c>
      <c r="S735" s="1" t="str" cm="1">
        <f t="array" ref="S735">_xlfn.IFS(HR_Data[[#This Row],[Monthly Income]]&lt;5000,"Low", HR_Data[[#This Row],[Monthly Income]]&lt;10000,"Medium",TRUE,"High")</f>
        <v>Medium</v>
      </c>
      <c r="T735" s="1" t="str" cm="1">
        <f t="array" ref="T735">_xlfn.IFS(HR_Data[[#This Row],[Total Working Years]]&lt;=5,"Junior", HR_Data[[#This Row],[Total Working Years]]&lt;=15,"Mid-Level", TRUE, "Senior")</f>
        <v>Mid-Level</v>
      </c>
    </row>
    <row r="736" spans="1:20" x14ac:dyDescent="0.25">
      <c r="A736" s="1">
        <v>1019</v>
      </c>
      <c r="B736" s="1">
        <v>22</v>
      </c>
      <c r="C736" t="s">
        <v>9</v>
      </c>
      <c r="D736" t="s">
        <v>10</v>
      </c>
      <c r="E736" t="s">
        <v>6</v>
      </c>
      <c r="F736" t="s">
        <v>11</v>
      </c>
      <c r="G736" t="s">
        <v>14</v>
      </c>
      <c r="H736" s="1">
        <v>1</v>
      </c>
      <c r="I736" s="1">
        <v>2451</v>
      </c>
      <c r="J736" t="s">
        <v>9</v>
      </c>
      <c r="K736" s="1">
        <v>15</v>
      </c>
      <c r="L736" s="1">
        <v>3</v>
      </c>
      <c r="M736" s="1">
        <v>4</v>
      </c>
      <c r="N736" s="1">
        <v>2</v>
      </c>
      <c r="O736" s="1">
        <v>4</v>
      </c>
      <c r="P736" s="1">
        <f>COUNTIF(HR_Data[Employee Number],HR_Data[[#This Row],[Employee Number]])</f>
        <v>1</v>
      </c>
      <c r="Q736" s="1" t="str">
        <f>IF(HR_Data[[#This Row],[Years At Company]]&lt;=HR_Data[[#This Row],[Total Working Years]],"Valid","error")</f>
        <v>Valid</v>
      </c>
      <c r="R736" s="1" t="str" cm="1">
        <f t="array" ref="R736">_xlfn.IFS(HR_Data[[#This Row],[Age]]&lt;=30,"Young", HR_Data[[#This Row],[Age]]&lt;=45,"Mid-Age",HR_Data[[#This Row],[Age]]&gt;45,"Senior")</f>
        <v>Young</v>
      </c>
      <c r="S736" s="1" t="str" cm="1">
        <f t="array" ref="S736">_xlfn.IFS(HR_Data[[#This Row],[Monthly Income]]&lt;5000,"Low", HR_Data[[#This Row],[Monthly Income]]&lt;10000,"Medium",TRUE,"High")</f>
        <v>Low</v>
      </c>
      <c r="T736" s="1" t="str" cm="1">
        <f t="array" ref="T736">_xlfn.IFS(HR_Data[[#This Row],[Total Working Years]]&lt;=5,"Junior", HR_Data[[#This Row],[Total Working Years]]&lt;=15,"Mid-Level", TRUE, "Senior")</f>
        <v>Junior</v>
      </c>
    </row>
    <row r="737" spans="1:20" x14ac:dyDescent="0.25">
      <c r="A737" s="1">
        <v>1022</v>
      </c>
      <c r="B737" s="1">
        <v>48</v>
      </c>
      <c r="C737" t="s">
        <v>9</v>
      </c>
      <c r="D737" t="s">
        <v>10</v>
      </c>
      <c r="E737" t="s">
        <v>6</v>
      </c>
      <c r="F737" t="s">
        <v>11</v>
      </c>
      <c r="G737" t="s">
        <v>17</v>
      </c>
      <c r="H737" s="1">
        <v>3</v>
      </c>
      <c r="I737" s="1">
        <v>4240</v>
      </c>
      <c r="J737" t="s">
        <v>9</v>
      </c>
      <c r="K737" s="1">
        <v>13</v>
      </c>
      <c r="L737" s="1">
        <v>3</v>
      </c>
      <c r="M737" s="1">
        <v>19</v>
      </c>
      <c r="N737" s="1">
        <v>3</v>
      </c>
      <c r="O737" s="1">
        <v>2</v>
      </c>
      <c r="P737" s="1">
        <f>COUNTIF(HR_Data[Employee Number],HR_Data[[#This Row],[Employee Number]])</f>
        <v>1</v>
      </c>
      <c r="Q737" s="1" t="str">
        <f>IF(HR_Data[[#This Row],[Years At Company]]&lt;=HR_Data[[#This Row],[Total Working Years]],"Valid","error")</f>
        <v>Valid</v>
      </c>
      <c r="R737" s="1" t="str" cm="1">
        <f t="array" ref="R737">_xlfn.IFS(HR_Data[[#This Row],[Age]]&lt;=30,"Young", HR_Data[[#This Row],[Age]]&lt;=45,"Mid-Age",HR_Data[[#This Row],[Age]]&gt;45,"Senior")</f>
        <v>Senior</v>
      </c>
      <c r="S737" s="1" t="str" cm="1">
        <f t="array" ref="S737">_xlfn.IFS(HR_Data[[#This Row],[Monthly Income]]&lt;5000,"Low", HR_Data[[#This Row],[Monthly Income]]&lt;10000,"Medium",TRUE,"High")</f>
        <v>Low</v>
      </c>
      <c r="T737" s="1" t="str" cm="1">
        <f t="array" ref="T737">_xlfn.IFS(HR_Data[[#This Row],[Total Working Years]]&lt;=5,"Junior", HR_Data[[#This Row],[Total Working Years]]&lt;=15,"Mid-Level", TRUE, "Senior")</f>
        <v>Senior</v>
      </c>
    </row>
    <row r="738" spans="1:20" x14ac:dyDescent="0.25">
      <c r="A738" s="1">
        <v>1024</v>
      </c>
      <c r="B738" s="1">
        <v>48</v>
      </c>
      <c r="C738" t="s">
        <v>9</v>
      </c>
      <c r="D738" t="s">
        <v>10</v>
      </c>
      <c r="E738" t="s">
        <v>6</v>
      </c>
      <c r="F738" t="s">
        <v>11</v>
      </c>
      <c r="G738" t="s">
        <v>17</v>
      </c>
      <c r="H738" s="1">
        <v>3</v>
      </c>
      <c r="I738" s="1">
        <v>10999</v>
      </c>
      <c r="J738" t="s">
        <v>9</v>
      </c>
      <c r="K738" s="1">
        <v>14</v>
      </c>
      <c r="L738" s="1">
        <v>3</v>
      </c>
      <c r="M738" s="1">
        <v>27</v>
      </c>
      <c r="N738" s="1">
        <v>3</v>
      </c>
      <c r="O738" s="1">
        <v>15</v>
      </c>
      <c r="P738" s="1">
        <f>COUNTIF(HR_Data[Employee Number],HR_Data[[#This Row],[Employee Number]])</f>
        <v>1</v>
      </c>
      <c r="Q738" s="1" t="str">
        <f>IF(HR_Data[[#This Row],[Years At Company]]&lt;=HR_Data[[#This Row],[Total Working Years]],"Valid","error")</f>
        <v>Valid</v>
      </c>
      <c r="R738" s="1" t="str" cm="1">
        <f t="array" ref="R738">_xlfn.IFS(HR_Data[[#This Row],[Age]]&lt;=30,"Young", HR_Data[[#This Row],[Age]]&lt;=45,"Mid-Age",HR_Data[[#This Row],[Age]]&gt;45,"Senior")</f>
        <v>Senior</v>
      </c>
      <c r="S738" s="1" t="str" cm="1">
        <f t="array" ref="S738">_xlfn.IFS(HR_Data[[#This Row],[Monthly Income]]&lt;5000,"Low", HR_Data[[#This Row],[Monthly Income]]&lt;10000,"Medium",TRUE,"High")</f>
        <v>High</v>
      </c>
      <c r="T738" s="1" t="str" cm="1">
        <f t="array" ref="T738">_xlfn.IFS(HR_Data[[#This Row],[Total Working Years]]&lt;=5,"Junior", HR_Data[[#This Row],[Total Working Years]]&lt;=15,"Mid-Level", TRUE, "Senior")</f>
        <v>Senior</v>
      </c>
    </row>
    <row r="739" spans="1:20" x14ac:dyDescent="0.25">
      <c r="A739" s="1">
        <v>1025</v>
      </c>
      <c r="B739" s="1">
        <v>41</v>
      </c>
      <c r="C739" t="s">
        <v>9</v>
      </c>
      <c r="D739" t="s">
        <v>10</v>
      </c>
      <c r="E739" t="s">
        <v>15</v>
      </c>
      <c r="F739" t="s">
        <v>7</v>
      </c>
      <c r="G739" t="s">
        <v>16</v>
      </c>
      <c r="H739" s="1">
        <v>3</v>
      </c>
      <c r="I739" s="1">
        <v>5003</v>
      </c>
      <c r="J739" t="s">
        <v>9</v>
      </c>
      <c r="K739" s="1">
        <v>14</v>
      </c>
      <c r="L739" s="1">
        <v>3</v>
      </c>
      <c r="M739" s="1">
        <v>8</v>
      </c>
      <c r="N739" s="1">
        <v>3</v>
      </c>
      <c r="O739" s="1">
        <v>2</v>
      </c>
      <c r="P739" s="1">
        <f>COUNTIF(HR_Data[Employee Number],HR_Data[[#This Row],[Employee Number]])</f>
        <v>1</v>
      </c>
      <c r="Q739" s="1" t="str">
        <f>IF(HR_Data[[#This Row],[Years At Company]]&lt;=HR_Data[[#This Row],[Total Working Years]],"Valid","error")</f>
        <v>Valid</v>
      </c>
      <c r="R739" s="1" t="str" cm="1">
        <f t="array" ref="R739">_xlfn.IFS(HR_Data[[#This Row],[Age]]&lt;=30,"Young", HR_Data[[#This Row],[Age]]&lt;=45,"Mid-Age",HR_Data[[#This Row],[Age]]&gt;45,"Senior")</f>
        <v>Mid-Age</v>
      </c>
      <c r="S739" s="1" t="str" cm="1">
        <f t="array" ref="S739">_xlfn.IFS(HR_Data[[#This Row],[Monthly Income]]&lt;5000,"Low", HR_Data[[#This Row],[Monthly Income]]&lt;10000,"Medium",TRUE,"High")</f>
        <v>Medium</v>
      </c>
      <c r="T739" s="1" t="str" cm="1">
        <f t="array" ref="T739">_xlfn.IFS(HR_Data[[#This Row],[Total Working Years]]&lt;=5,"Junior", HR_Data[[#This Row],[Total Working Years]]&lt;=15,"Mid-Level", TRUE, "Senior")</f>
        <v>Mid-Level</v>
      </c>
    </row>
    <row r="740" spans="1:20" x14ac:dyDescent="0.25">
      <c r="A740" s="1">
        <v>1026</v>
      </c>
      <c r="B740" s="1">
        <v>39</v>
      </c>
      <c r="C740" t="s">
        <v>9</v>
      </c>
      <c r="D740" t="s">
        <v>10</v>
      </c>
      <c r="E740" t="s">
        <v>6</v>
      </c>
      <c r="F740" t="s">
        <v>7</v>
      </c>
      <c r="G740" t="s">
        <v>16</v>
      </c>
      <c r="H740" s="1">
        <v>4</v>
      </c>
      <c r="I740" s="1">
        <v>12742</v>
      </c>
      <c r="J740" t="s">
        <v>9</v>
      </c>
      <c r="K740" s="1">
        <v>16</v>
      </c>
      <c r="L740" s="1">
        <v>3</v>
      </c>
      <c r="M740" s="1">
        <v>21</v>
      </c>
      <c r="N740" s="1">
        <v>3</v>
      </c>
      <c r="O740" s="1">
        <v>21</v>
      </c>
      <c r="P740" s="1">
        <f>COUNTIF(HR_Data[Employee Number],HR_Data[[#This Row],[Employee Number]])</f>
        <v>1</v>
      </c>
      <c r="Q740" s="1" t="str">
        <f>IF(HR_Data[[#This Row],[Years At Company]]&lt;=HR_Data[[#This Row],[Total Working Years]],"Valid","error")</f>
        <v>Valid</v>
      </c>
      <c r="R740" s="1" t="str" cm="1">
        <f t="array" ref="R740">_xlfn.IFS(HR_Data[[#This Row],[Age]]&lt;=30,"Young", HR_Data[[#This Row],[Age]]&lt;=45,"Mid-Age",HR_Data[[#This Row],[Age]]&gt;45,"Senior")</f>
        <v>Mid-Age</v>
      </c>
      <c r="S740" s="1" t="str" cm="1">
        <f t="array" ref="S740">_xlfn.IFS(HR_Data[[#This Row],[Monthly Income]]&lt;5000,"Low", HR_Data[[#This Row],[Monthly Income]]&lt;10000,"Medium",TRUE,"High")</f>
        <v>High</v>
      </c>
      <c r="T740" s="1" t="str" cm="1">
        <f t="array" ref="T740">_xlfn.IFS(HR_Data[[#This Row],[Total Working Years]]&lt;=5,"Junior", HR_Data[[#This Row],[Total Working Years]]&lt;=15,"Mid-Level", TRUE, "Senior")</f>
        <v>Senior</v>
      </c>
    </row>
    <row r="741" spans="1:20" x14ac:dyDescent="0.25">
      <c r="A741" s="1">
        <v>1027</v>
      </c>
      <c r="B741" s="1">
        <v>27</v>
      </c>
      <c r="C741" t="s">
        <v>9</v>
      </c>
      <c r="D741" t="s">
        <v>10</v>
      </c>
      <c r="E741" t="s">
        <v>6</v>
      </c>
      <c r="F741" t="s">
        <v>7</v>
      </c>
      <c r="G741" t="s">
        <v>16</v>
      </c>
      <c r="H741" s="1">
        <v>4</v>
      </c>
      <c r="I741" s="1">
        <v>4227</v>
      </c>
      <c r="J741" t="s">
        <v>9</v>
      </c>
      <c r="K741" s="1">
        <v>18</v>
      </c>
      <c r="L741" s="1">
        <v>3</v>
      </c>
      <c r="M741" s="1">
        <v>4</v>
      </c>
      <c r="N741" s="1">
        <v>3</v>
      </c>
      <c r="O741" s="1">
        <v>3</v>
      </c>
      <c r="P741" s="1">
        <f>COUNTIF(HR_Data[Employee Number],HR_Data[[#This Row],[Employee Number]])</f>
        <v>1</v>
      </c>
      <c r="Q741" s="1" t="str">
        <f>IF(HR_Data[[#This Row],[Years At Company]]&lt;=HR_Data[[#This Row],[Total Working Years]],"Valid","error")</f>
        <v>Valid</v>
      </c>
      <c r="R741" s="1" t="str" cm="1">
        <f t="array" ref="R741">_xlfn.IFS(HR_Data[[#This Row],[Age]]&lt;=30,"Young", HR_Data[[#This Row],[Age]]&lt;=45,"Mid-Age",HR_Data[[#This Row],[Age]]&gt;45,"Senior")</f>
        <v>Young</v>
      </c>
      <c r="S741" s="1" t="str" cm="1">
        <f t="array" ref="S741">_xlfn.IFS(HR_Data[[#This Row],[Monthly Income]]&lt;5000,"Low", HR_Data[[#This Row],[Monthly Income]]&lt;10000,"Medium",TRUE,"High")</f>
        <v>Low</v>
      </c>
      <c r="T741" s="1" t="str" cm="1">
        <f t="array" ref="T741">_xlfn.IFS(HR_Data[[#This Row],[Total Working Years]]&lt;=5,"Junior", HR_Data[[#This Row],[Total Working Years]]&lt;=15,"Mid-Level", TRUE, "Senior")</f>
        <v>Junior</v>
      </c>
    </row>
    <row r="742" spans="1:20" x14ac:dyDescent="0.25">
      <c r="A742" s="1">
        <v>1028</v>
      </c>
      <c r="B742" s="1">
        <v>35</v>
      </c>
      <c r="C742" t="s">
        <v>9</v>
      </c>
      <c r="D742" t="s">
        <v>10</v>
      </c>
      <c r="E742" t="s">
        <v>13</v>
      </c>
      <c r="F742" t="s">
        <v>11</v>
      </c>
      <c r="G742" t="s">
        <v>14</v>
      </c>
      <c r="H742" s="1">
        <v>4</v>
      </c>
      <c r="I742" s="1">
        <v>3917</v>
      </c>
      <c r="J742" t="s">
        <v>9</v>
      </c>
      <c r="K742" s="1">
        <v>20</v>
      </c>
      <c r="L742" s="1">
        <v>4</v>
      </c>
      <c r="M742" s="1">
        <v>3</v>
      </c>
      <c r="N742" s="1">
        <v>2</v>
      </c>
      <c r="O742" s="1">
        <v>3</v>
      </c>
      <c r="P742" s="1">
        <f>COUNTIF(HR_Data[Employee Number],HR_Data[[#This Row],[Employee Number]])</f>
        <v>1</v>
      </c>
      <c r="Q742" s="1" t="str">
        <f>IF(HR_Data[[#This Row],[Years At Company]]&lt;=HR_Data[[#This Row],[Total Working Years]],"Valid","error")</f>
        <v>Valid</v>
      </c>
      <c r="R742" s="1" t="str" cm="1">
        <f t="array" ref="R742">_xlfn.IFS(HR_Data[[#This Row],[Age]]&lt;=30,"Young", HR_Data[[#This Row],[Age]]&lt;=45,"Mid-Age",HR_Data[[#This Row],[Age]]&gt;45,"Senior")</f>
        <v>Mid-Age</v>
      </c>
      <c r="S742" s="1" t="str" cm="1">
        <f t="array" ref="S742">_xlfn.IFS(HR_Data[[#This Row],[Monthly Income]]&lt;5000,"Low", HR_Data[[#This Row],[Monthly Income]]&lt;10000,"Medium",TRUE,"High")</f>
        <v>Low</v>
      </c>
      <c r="T742" s="1" t="str" cm="1">
        <f t="array" ref="T742">_xlfn.IFS(HR_Data[[#This Row],[Total Working Years]]&lt;=5,"Junior", HR_Data[[#This Row],[Total Working Years]]&lt;=15,"Mid-Level", TRUE, "Senior")</f>
        <v>Junior</v>
      </c>
    </row>
    <row r="743" spans="1:20" x14ac:dyDescent="0.25">
      <c r="A743" s="1">
        <v>1029</v>
      </c>
      <c r="B743" s="1">
        <v>42</v>
      </c>
      <c r="C743" t="s">
        <v>9</v>
      </c>
      <c r="D743" t="s">
        <v>5</v>
      </c>
      <c r="E743" t="s">
        <v>21</v>
      </c>
      <c r="F743" t="s">
        <v>11</v>
      </c>
      <c r="G743" t="s">
        <v>18</v>
      </c>
      <c r="H743" s="1">
        <v>3</v>
      </c>
      <c r="I743" s="1">
        <v>18303</v>
      </c>
      <c r="J743" t="s">
        <v>9</v>
      </c>
      <c r="K743" s="1">
        <v>13</v>
      </c>
      <c r="L743" s="1">
        <v>3</v>
      </c>
      <c r="M743" s="1">
        <v>21</v>
      </c>
      <c r="N743" s="1">
        <v>4</v>
      </c>
      <c r="O743" s="1">
        <v>1</v>
      </c>
      <c r="P743" s="1">
        <f>COUNTIF(HR_Data[Employee Number],HR_Data[[#This Row],[Employee Number]])</f>
        <v>1</v>
      </c>
      <c r="Q743" s="1" t="str">
        <f>IF(HR_Data[[#This Row],[Years At Company]]&lt;=HR_Data[[#This Row],[Total Working Years]],"Valid","error")</f>
        <v>Valid</v>
      </c>
      <c r="R743" s="1" t="str" cm="1">
        <f t="array" ref="R743">_xlfn.IFS(HR_Data[[#This Row],[Age]]&lt;=30,"Young", HR_Data[[#This Row],[Age]]&lt;=45,"Mid-Age",HR_Data[[#This Row],[Age]]&gt;45,"Senior")</f>
        <v>Mid-Age</v>
      </c>
      <c r="S743" s="1" t="str" cm="1">
        <f t="array" ref="S743">_xlfn.IFS(HR_Data[[#This Row],[Monthly Income]]&lt;5000,"Low", HR_Data[[#This Row],[Monthly Income]]&lt;10000,"Medium",TRUE,"High")</f>
        <v>High</v>
      </c>
      <c r="T743" s="1" t="str" cm="1">
        <f t="array" ref="T743">_xlfn.IFS(HR_Data[[#This Row],[Total Working Years]]&lt;=5,"Junior", HR_Data[[#This Row],[Total Working Years]]&lt;=15,"Mid-Level", TRUE, "Senior")</f>
        <v>Senior</v>
      </c>
    </row>
    <row r="744" spans="1:20" x14ac:dyDescent="0.25">
      <c r="A744" s="1">
        <v>1030</v>
      </c>
      <c r="B744" s="1">
        <v>50</v>
      </c>
      <c r="C744" t="s">
        <v>9</v>
      </c>
      <c r="D744" t="s">
        <v>10</v>
      </c>
      <c r="E744" t="s">
        <v>6</v>
      </c>
      <c r="F744" t="s">
        <v>11</v>
      </c>
      <c r="G744" t="s">
        <v>14</v>
      </c>
      <c r="H744" s="1">
        <v>4</v>
      </c>
      <c r="I744" s="1">
        <v>2380</v>
      </c>
      <c r="J744" t="s">
        <v>9</v>
      </c>
      <c r="K744" s="1">
        <v>18</v>
      </c>
      <c r="L744" s="1">
        <v>3</v>
      </c>
      <c r="M744" s="1">
        <v>8</v>
      </c>
      <c r="N744" s="1">
        <v>3</v>
      </c>
      <c r="O744" s="1">
        <v>1</v>
      </c>
      <c r="P744" s="1">
        <f>COUNTIF(HR_Data[Employee Number],HR_Data[[#This Row],[Employee Number]])</f>
        <v>1</v>
      </c>
      <c r="Q744" s="1" t="str">
        <f>IF(HR_Data[[#This Row],[Years At Company]]&lt;=HR_Data[[#This Row],[Total Working Years]],"Valid","error")</f>
        <v>Valid</v>
      </c>
      <c r="R744" s="1" t="str" cm="1">
        <f t="array" ref="R744">_xlfn.IFS(HR_Data[[#This Row],[Age]]&lt;=30,"Young", HR_Data[[#This Row],[Age]]&lt;=45,"Mid-Age",HR_Data[[#This Row],[Age]]&gt;45,"Senior")</f>
        <v>Senior</v>
      </c>
      <c r="S744" s="1" t="str" cm="1">
        <f t="array" ref="S744">_xlfn.IFS(HR_Data[[#This Row],[Monthly Income]]&lt;5000,"Low", HR_Data[[#This Row],[Monthly Income]]&lt;10000,"Medium",TRUE,"High")</f>
        <v>Low</v>
      </c>
      <c r="T744" s="1" t="str" cm="1">
        <f t="array" ref="T744">_xlfn.IFS(HR_Data[[#This Row],[Total Working Years]]&lt;=5,"Junior", HR_Data[[#This Row],[Total Working Years]]&lt;=15,"Mid-Level", TRUE, "Senior")</f>
        <v>Mid-Level</v>
      </c>
    </row>
    <row r="745" spans="1:20" x14ac:dyDescent="0.25">
      <c r="A745" s="1">
        <v>1032</v>
      </c>
      <c r="B745" s="1">
        <v>59</v>
      </c>
      <c r="C745" t="s">
        <v>9</v>
      </c>
      <c r="D745" t="s">
        <v>10</v>
      </c>
      <c r="E745" t="s">
        <v>6</v>
      </c>
      <c r="F745" t="s">
        <v>7</v>
      </c>
      <c r="G745" t="s">
        <v>16</v>
      </c>
      <c r="H745" s="1">
        <v>4</v>
      </c>
      <c r="I745" s="1">
        <v>13726</v>
      </c>
      <c r="J745" t="s">
        <v>4</v>
      </c>
      <c r="K745" s="1">
        <v>13</v>
      </c>
      <c r="L745" s="1">
        <v>3</v>
      </c>
      <c r="M745" s="1">
        <v>30</v>
      </c>
      <c r="N745" s="1">
        <v>3</v>
      </c>
      <c r="O745" s="1">
        <v>5</v>
      </c>
      <c r="P745" s="1">
        <f>COUNTIF(HR_Data[Employee Number],HR_Data[[#This Row],[Employee Number]])</f>
        <v>1</v>
      </c>
      <c r="Q745" s="1" t="str">
        <f>IF(HR_Data[[#This Row],[Years At Company]]&lt;=HR_Data[[#This Row],[Total Working Years]],"Valid","error")</f>
        <v>Valid</v>
      </c>
      <c r="R745" s="1" t="str" cm="1">
        <f t="array" ref="R745">_xlfn.IFS(HR_Data[[#This Row],[Age]]&lt;=30,"Young", HR_Data[[#This Row],[Age]]&lt;=45,"Mid-Age",HR_Data[[#This Row],[Age]]&gt;45,"Senior")</f>
        <v>Senior</v>
      </c>
      <c r="S745" s="1" t="str" cm="1">
        <f t="array" ref="S745">_xlfn.IFS(HR_Data[[#This Row],[Monthly Income]]&lt;5000,"Low", HR_Data[[#This Row],[Monthly Income]]&lt;10000,"Medium",TRUE,"High")</f>
        <v>High</v>
      </c>
      <c r="T745" s="1" t="str" cm="1">
        <f t="array" ref="T745">_xlfn.IFS(HR_Data[[#This Row],[Total Working Years]]&lt;=5,"Junior", HR_Data[[#This Row],[Total Working Years]]&lt;=15,"Mid-Level", TRUE, "Senior")</f>
        <v>Senior</v>
      </c>
    </row>
    <row r="746" spans="1:20" x14ac:dyDescent="0.25">
      <c r="A746" s="1">
        <v>1033</v>
      </c>
      <c r="B746" s="1">
        <v>37</v>
      </c>
      <c r="C746" t="s">
        <v>4</v>
      </c>
      <c r="D746" t="s">
        <v>10</v>
      </c>
      <c r="E746" t="s">
        <v>15</v>
      </c>
      <c r="F746" t="s">
        <v>7</v>
      </c>
      <c r="G746" t="s">
        <v>17</v>
      </c>
      <c r="H746" s="1">
        <v>2</v>
      </c>
      <c r="I746" s="1">
        <v>4777</v>
      </c>
      <c r="J746" t="s">
        <v>9</v>
      </c>
      <c r="K746" s="1">
        <v>15</v>
      </c>
      <c r="L746" s="1">
        <v>3</v>
      </c>
      <c r="M746" s="1">
        <v>15</v>
      </c>
      <c r="N746" s="1">
        <v>1</v>
      </c>
      <c r="O746" s="1">
        <v>1</v>
      </c>
      <c r="P746" s="1">
        <f>COUNTIF(HR_Data[Employee Number],HR_Data[[#This Row],[Employee Number]])</f>
        <v>1</v>
      </c>
      <c r="Q746" s="1" t="str">
        <f>IF(HR_Data[[#This Row],[Years At Company]]&lt;=HR_Data[[#This Row],[Total Working Years]],"Valid","error")</f>
        <v>Valid</v>
      </c>
      <c r="R746" s="1" t="str" cm="1">
        <f t="array" ref="R746">_xlfn.IFS(HR_Data[[#This Row],[Age]]&lt;=30,"Young", HR_Data[[#This Row],[Age]]&lt;=45,"Mid-Age",HR_Data[[#This Row],[Age]]&gt;45,"Senior")</f>
        <v>Mid-Age</v>
      </c>
      <c r="S746" s="1" t="str" cm="1">
        <f t="array" ref="S746">_xlfn.IFS(HR_Data[[#This Row],[Monthly Income]]&lt;5000,"Low", HR_Data[[#This Row],[Monthly Income]]&lt;10000,"Medium",TRUE,"High")</f>
        <v>Low</v>
      </c>
      <c r="T746" s="1" t="str" cm="1">
        <f t="array" ref="T746">_xlfn.IFS(HR_Data[[#This Row],[Total Working Years]]&lt;=5,"Junior", HR_Data[[#This Row],[Total Working Years]]&lt;=15,"Mid-Level", TRUE, "Senior")</f>
        <v>Mid-Level</v>
      </c>
    </row>
    <row r="747" spans="1:20" x14ac:dyDescent="0.25">
      <c r="A747" s="1">
        <v>1034</v>
      </c>
      <c r="B747" s="1">
        <v>55</v>
      </c>
      <c r="C747" t="s">
        <v>9</v>
      </c>
      <c r="D747" t="s">
        <v>10</v>
      </c>
      <c r="E747" t="s">
        <v>15</v>
      </c>
      <c r="F747" t="s">
        <v>11</v>
      </c>
      <c r="G747" t="s">
        <v>17</v>
      </c>
      <c r="H747" s="1">
        <v>2</v>
      </c>
      <c r="I747" s="1">
        <v>6385</v>
      </c>
      <c r="J747" t="s">
        <v>4</v>
      </c>
      <c r="K747" s="1">
        <v>14</v>
      </c>
      <c r="L747" s="1">
        <v>3</v>
      </c>
      <c r="M747" s="1">
        <v>17</v>
      </c>
      <c r="N747" s="1">
        <v>3</v>
      </c>
      <c r="O747" s="1">
        <v>8</v>
      </c>
      <c r="P747" s="1">
        <f>COUNTIF(HR_Data[Employee Number],HR_Data[[#This Row],[Employee Number]])</f>
        <v>1</v>
      </c>
      <c r="Q747" s="1" t="str">
        <f>IF(HR_Data[[#This Row],[Years At Company]]&lt;=HR_Data[[#This Row],[Total Working Years]],"Valid","error")</f>
        <v>Valid</v>
      </c>
      <c r="R747" s="1" t="str" cm="1">
        <f t="array" ref="R747">_xlfn.IFS(HR_Data[[#This Row],[Age]]&lt;=30,"Young", HR_Data[[#This Row],[Age]]&lt;=45,"Mid-Age",HR_Data[[#This Row],[Age]]&gt;45,"Senior")</f>
        <v>Senior</v>
      </c>
      <c r="S747" s="1" t="str" cm="1">
        <f t="array" ref="S747">_xlfn.IFS(HR_Data[[#This Row],[Monthly Income]]&lt;5000,"Low", HR_Data[[#This Row],[Monthly Income]]&lt;10000,"Medium",TRUE,"High")</f>
        <v>Medium</v>
      </c>
      <c r="T747" s="1" t="str" cm="1">
        <f t="array" ref="T747">_xlfn.IFS(HR_Data[[#This Row],[Total Working Years]]&lt;=5,"Junior", HR_Data[[#This Row],[Total Working Years]]&lt;=15,"Mid-Level", TRUE, "Senior")</f>
        <v>Senior</v>
      </c>
    </row>
    <row r="748" spans="1:20" x14ac:dyDescent="0.25">
      <c r="A748" s="1">
        <v>1035</v>
      </c>
      <c r="B748" s="1">
        <v>41</v>
      </c>
      <c r="C748" t="s">
        <v>9</v>
      </c>
      <c r="D748" t="s">
        <v>10</v>
      </c>
      <c r="E748" t="s">
        <v>6</v>
      </c>
      <c r="F748" t="s">
        <v>7</v>
      </c>
      <c r="G748" t="s">
        <v>20</v>
      </c>
      <c r="H748" s="1">
        <v>3</v>
      </c>
      <c r="I748" s="1">
        <v>19973</v>
      </c>
      <c r="J748" t="s">
        <v>9</v>
      </c>
      <c r="K748" s="1">
        <v>22</v>
      </c>
      <c r="L748" s="1">
        <v>4</v>
      </c>
      <c r="M748" s="1">
        <v>21</v>
      </c>
      <c r="N748" s="1">
        <v>3</v>
      </c>
      <c r="O748" s="1">
        <v>21</v>
      </c>
      <c r="P748" s="1">
        <f>COUNTIF(HR_Data[Employee Number],HR_Data[[#This Row],[Employee Number]])</f>
        <v>1</v>
      </c>
      <c r="Q748" s="1" t="str">
        <f>IF(HR_Data[[#This Row],[Years At Company]]&lt;=HR_Data[[#This Row],[Total Working Years]],"Valid","error")</f>
        <v>Valid</v>
      </c>
      <c r="R748" s="1" t="str" cm="1">
        <f t="array" ref="R748">_xlfn.IFS(HR_Data[[#This Row],[Age]]&lt;=30,"Young", HR_Data[[#This Row],[Age]]&lt;=45,"Mid-Age",HR_Data[[#This Row],[Age]]&gt;45,"Senior")</f>
        <v>Mid-Age</v>
      </c>
      <c r="S748" s="1" t="str" cm="1">
        <f t="array" ref="S748">_xlfn.IFS(HR_Data[[#This Row],[Monthly Income]]&lt;5000,"Low", HR_Data[[#This Row],[Monthly Income]]&lt;10000,"Medium",TRUE,"High")</f>
        <v>High</v>
      </c>
      <c r="T748" s="1" t="str" cm="1">
        <f t="array" ref="T748">_xlfn.IFS(HR_Data[[#This Row],[Total Working Years]]&lt;=5,"Junior", HR_Data[[#This Row],[Total Working Years]]&lt;=15,"Mid-Level", TRUE, "Senior")</f>
        <v>Senior</v>
      </c>
    </row>
    <row r="749" spans="1:20" x14ac:dyDescent="0.25">
      <c r="A749" s="1">
        <v>1036</v>
      </c>
      <c r="B749" s="1">
        <v>38</v>
      </c>
      <c r="C749" t="s">
        <v>9</v>
      </c>
      <c r="D749" t="s">
        <v>5</v>
      </c>
      <c r="E749" t="s">
        <v>6</v>
      </c>
      <c r="F749" t="s">
        <v>11</v>
      </c>
      <c r="G749" t="s">
        <v>8</v>
      </c>
      <c r="H749" s="1">
        <v>4</v>
      </c>
      <c r="I749" s="1">
        <v>6861</v>
      </c>
      <c r="J749" t="s">
        <v>4</v>
      </c>
      <c r="K749" s="1">
        <v>12</v>
      </c>
      <c r="L749" s="1">
        <v>3</v>
      </c>
      <c r="M749" s="1">
        <v>19</v>
      </c>
      <c r="N749" s="1">
        <v>3</v>
      </c>
      <c r="O749" s="1">
        <v>1</v>
      </c>
      <c r="P749" s="1">
        <f>COUNTIF(HR_Data[Employee Number],HR_Data[[#This Row],[Employee Number]])</f>
        <v>1</v>
      </c>
      <c r="Q749" s="1" t="str">
        <f>IF(HR_Data[[#This Row],[Years At Company]]&lt;=HR_Data[[#This Row],[Total Working Years]],"Valid","error")</f>
        <v>Valid</v>
      </c>
      <c r="R749" s="1" t="str" cm="1">
        <f t="array" ref="R749">_xlfn.IFS(HR_Data[[#This Row],[Age]]&lt;=30,"Young", HR_Data[[#This Row],[Age]]&lt;=45,"Mid-Age",HR_Data[[#This Row],[Age]]&gt;45,"Senior")</f>
        <v>Mid-Age</v>
      </c>
      <c r="S749" s="1" t="str" cm="1">
        <f t="array" ref="S749">_xlfn.IFS(HR_Data[[#This Row],[Monthly Income]]&lt;5000,"Low", HR_Data[[#This Row],[Monthly Income]]&lt;10000,"Medium",TRUE,"High")</f>
        <v>Medium</v>
      </c>
      <c r="T749" s="1" t="str" cm="1">
        <f t="array" ref="T749">_xlfn.IFS(HR_Data[[#This Row],[Total Working Years]]&lt;=5,"Junior", HR_Data[[#This Row],[Total Working Years]]&lt;=15,"Mid-Level", TRUE, "Senior")</f>
        <v>Senior</v>
      </c>
    </row>
    <row r="750" spans="1:20" x14ac:dyDescent="0.25">
      <c r="A750" s="1">
        <v>1037</v>
      </c>
      <c r="B750" s="1">
        <v>26</v>
      </c>
      <c r="C750" t="s">
        <v>4</v>
      </c>
      <c r="D750" t="s">
        <v>5</v>
      </c>
      <c r="E750" t="s">
        <v>15</v>
      </c>
      <c r="F750" t="s">
        <v>11</v>
      </c>
      <c r="G750" t="s">
        <v>8</v>
      </c>
      <c r="H750" s="1">
        <v>1</v>
      </c>
      <c r="I750" s="1">
        <v>4969</v>
      </c>
      <c r="J750" t="s">
        <v>9</v>
      </c>
      <c r="K750" s="1">
        <v>18</v>
      </c>
      <c r="L750" s="1">
        <v>3</v>
      </c>
      <c r="M750" s="1">
        <v>7</v>
      </c>
      <c r="N750" s="1">
        <v>3</v>
      </c>
      <c r="O750" s="1">
        <v>2</v>
      </c>
      <c r="P750" s="1">
        <f>COUNTIF(HR_Data[Employee Number],HR_Data[[#This Row],[Employee Number]])</f>
        <v>1</v>
      </c>
      <c r="Q750" s="1" t="str">
        <f>IF(HR_Data[[#This Row],[Years At Company]]&lt;=HR_Data[[#This Row],[Total Working Years]],"Valid","error")</f>
        <v>Valid</v>
      </c>
      <c r="R750" s="1" t="str" cm="1">
        <f t="array" ref="R750">_xlfn.IFS(HR_Data[[#This Row],[Age]]&lt;=30,"Young", HR_Data[[#This Row],[Age]]&lt;=45,"Mid-Age",HR_Data[[#This Row],[Age]]&gt;45,"Senior")</f>
        <v>Young</v>
      </c>
      <c r="S750" s="1" t="str" cm="1">
        <f t="array" ref="S750">_xlfn.IFS(HR_Data[[#This Row],[Monthly Income]]&lt;5000,"Low", HR_Data[[#This Row],[Monthly Income]]&lt;10000,"Medium",TRUE,"High")</f>
        <v>Low</v>
      </c>
      <c r="T750" s="1" t="str" cm="1">
        <f t="array" ref="T750">_xlfn.IFS(HR_Data[[#This Row],[Total Working Years]]&lt;=5,"Junior", HR_Data[[#This Row],[Total Working Years]]&lt;=15,"Mid-Level", TRUE, "Senior")</f>
        <v>Mid-Level</v>
      </c>
    </row>
    <row r="751" spans="1:20" x14ac:dyDescent="0.25">
      <c r="A751" s="1">
        <v>1038</v>
      </c>
      <c r="B751" s="1">
        <v>52</v>
      </c>
      <c r="C751" t="s">
        <v>4</v>
      </c>
      <c r="D751" t="s">
        <v>5</v>
      </c>
      <c r="E751" t="s">
        <v>21</v>
      </c>
      <c r="F751" t="s">
        <v>7</v>
      </c>
      <c r="G751" t="s">
        <v>18</v>
      </c>
      <c r="H751" s="1">
        <v>4</v>
      </c>
      <c r="I751" s="1">
        <v>19845</v>
      </c>
      <c r="J751" t="s">
        <v>9</v>
      </c>
      <c r="K751" s="1">
        <v>15</v>
      </c>
      <c r="L751" s="1">
        <v>3</v>
      </c>
      <c r="M751" s="1">
        <v>33</v>
      </c>
      <c r="N751" s="1">
        <v>3</v>
      </c>
      <c r="O751" s="1">
        <v>32</v>
      </c>
      <c r="P751" s="1">
        <f>COUNTIF(HR_Data[Employee Number],HR_Data[[#This Row],[Employee Number]])</f>
        <v>1</v>
      </c>
      <c r="Q751" s="1" t="str">
        <f>IF(HR_Data[[#This Row],[Years At Company]]&lt;=HR_Data[[#This Row],[Total Working Years]],"Valid","error")</f>
        <v>Valid</v>
      </c>
      <c r="R751" s="1" t="str" cm="1">
        <f t="array" ref="R751">_xlfn.IFS(HR_Data[[#This Row],[Age]]&lt;=30,"Young", HR_Data[[#This Row],[Age]]&lt;=45,"Mid-Age",HR_Data[[#This Row],[Age]]&gt;45,"Senior")</f>
        <v>Senior</v>
      </c>
      <c r="S751" s="1" t="str" cm="1">
        <f t="array" ref="S751">_xlfn.IFS(HR_Data[[#This Row],[Monthly Income]]&lt;5000,"Low", HR_Data[[#This Row],[Monthly Income]]&lt;10000,"Medium",TRUE,"High")</f>
        <v>High</v>
      </c>
      <c r="T751" s="1" t="str" cm="1">
        <f t="array" ref="T751">_xlfn.IFS(HR_Data[[#This Row],[Total Working Years]]&lt;=5,"Junior", HR_Data[[#This Row],[Total Working Years]]&lt;=15,"Mid-Level", TRUE, "Senior")</f>
        <v>Senior</v>
      </c>
    </row>
    <row r="752" spans="1:20" x14ac:dyDescent="0.25">
      <c r="A752" s="1">
        <v>1039</v>
      </c>
      <c r="B752" s="1">
        <v>44</v>
      </c>
      <c r="C752" t="s">
        <v>9</v>
      </c>
      <c r="D752" t="s">
        <v>5</v>
      </c>
      <c r="E752" t="s">
        <v>15</v>
      </c>
      <c r="F752" t="s">
        <v>7</v>
      </c>
      <c r="G752" t="s">
        <v>8</v>
      </c>
      <c r="H752" s="1">
        <v>4</v>
      </c>
      <c r="I752" s="1">
        <v>13320</v>
      </c>
      <c r="J752" t="s">
        <v>4</v>
      </c>
      <c r="K752" s="1">
        <v>18</v>
      </c>
      <c r="L752" s="1">
        <v>3</v>
      </c>
      <c r="M752" s="1">
        <v>23</v>
      </c>
      <c r="N752" s="1">
        <v>3</v>
      </c>
      <c r="O752" s="1">
        <v>12</v>
      </c>
      <c r="P752" s="1">
        <f>COUNTIF(HR_Data[Employee Number],HR_Data[[#This Row],[Employee Number]])</f>
        <v>1</v>
      </c>
      <c r="Q752" s="1" t="str">
        <f>IF(HR_Data[[#This Row],[Years At Company]]&lt;=HR_Data[[#This Row],[Total Working Years]],"Valid","error")</f>
        <v>Valid</v>
      </c>
      <c r="R752" s="1" t="str" cm="1">
        <f t="array" ref="R752">_xlfn.IFS(HR_Data[[#This Row],[Age]]&lt;=30,"Young", HR_Data[[#This Row],[Age]]&lt;=45,"Mid-Age",HR_Data[[#This Row],[Age]]&gt;45,"Senior")</f>
        <v>Mid-Age</v>
      </c>
      <c r="S752" s="1" t="str" cm="1">
        <f t="array" ref="S752">_xlfn.IFS(HR_Data[[#This Row],[Monthly Income]]&lt;5000,"Low", HR_Data[[#This Row],[Monthly Income]]&lt;10000,"Medium",TRUE,"High")</f>
        <v>High</v>
      </c>
      <c r="T752" s="1" t="str" cm="1">
        <f t="array" ref="T752">_xlfn.IFS(HR_Data[[#This Row],[Total Working Years]]&lt;=5,"Junior", HR_Data[[#This Row],[Total Working Years]]&lt;=15,"Mid-Level", TRUE, "Senior")</f>
        <v>Senior</v>
      </c>
    </row>
    <row r="753" spans="1:20" x14ac:dyDescent="0.25">
      <c r="A753" s="1">
        <v>1040</v>
      </c>
      <c r="B753" s="1">
        <v>50</v>
      </c>
      <c r="C753" t="s">
        <v>9</v>
      </c>
      <c r="D753" t="s">
        <v>5</v>
      </c>
      <c r="E753" t="s">
        <v>6</v>
      </c>
      <c r="F753" t="s">
        <v>7</v>
      </c>
      <c r="G753" t="s">
        <v>8</v>
      </c>
      <c r="H753" s="1">
        <v>3</v>
      </c>
      <c r="I753" s="1">
        <v>6347</v>
      </c>
      <c r="J753" t="s">
        <v>9</v>
      </c>
      <c r="K753" s="1">
        <v>12</v>
      </c>
      <c r="L753" s="1">
        <v>3</v>
      </c>
      <c r="M753" s="1">
        <v>19</v>
      </c>
      <c r="N753" s="1">
        <v>3</v>
      </c>
      <c r="O753" s="1">
        <v>18</v>
      </c>
      <c r="P753" s="1">
        <f>COUNTIF(HR_Data[Employee Number],HR_Data[[#This Row],[Employee Number]])</f>
        <v>1</v>
      </c>
      <c r="Q753" s="1" t="str">
        <f>IF(HR_Data[[#This Row],[Years At Company]]&lt;=HR_Data[[#This Row],[Total Working Years]],"Valid","error")</f>
        <v>Valid</v>
      </c>
      <c r="R753" s="1" t="str" cm="1">
        <f t="array" ref="R753">_xlfn.IFS(HR_Data[[#This Row],[Age]]&lt;=30,"Young", HR_Data[[#This Row],[Age]]&lt;=45,"Mid-Age",HR_Data[[#This Row],[Age]]&gt;45,"Senior")</f>
        <v>Senior</v>
      </c>
      <c r="S753" s="1" t="str" cm="1">
        <f t="array" ref="S753">_xlfn.IFS(HR_Data[[#This Row],[Monthly Income]]&lt;5000,"Low", HR_Data[[#This Row],[Monthly Income]]&lt;10000,"Medium",TRUE,"High")</f>
        <v>Medium</v>
      </c>
      <c r="T753" s="1" t="str" cm="1">
        <f t="array" ref="T753">_xlfn.IFS(HR_Data[[#This Row],[Total Working Years]]&lt;=5,"Junior", HR_Data[[#This Row],[Total Working Years]]&lt;=15,"Mid-Level", TRUE, "Senior")</f>
        <v>Senior</v>
      </c>
    </row>
    <row r="754" spans="1:20" x14ac:dyDescent="0.25">
      <c r="A754" s="1">
        <v>1042</v>
      </c>
      <c r="B754" s="1">
        <v>36</v>
      </c>
      <c r="C754" t="s">
        <v>4</v>
      </c>
      <c r="D754" t="s">
        <v>10</v>
      </c>
      <c r="E754" t="s">
        <v>6</v>
      </c>
      <c r="F754" t="s">
        <v>7</v>
      </c>
      <c r="G754" t="s">
        <v>14</v>
      </c>
      <c r="H754" s="1">
        <v>1</v>
      </c>
      <c r="I754" s="1">
        <v>2743</v>
      </c>
      <c r="J754" t="s">
        <v>9</v>
      </c>
      <c r="K754" s="1">
        <v>16</v>
      </c>
      <c r="L754" s="1">
        <v>3</v>
      </c>
      <c r="M754" s="1">
        <v>18</v>
      </c>
      <c r="N754" s="1">
        <v>3</v>
      </c>
      <c r="O754" s="1">
        <v>17</v>
      </c>
      <c r="P754" s="1">
        <f>COUNTIF(HR_Data[Employee Number],HR_Data[[#This Row],[Employee Number]])</f>
        <v>1</v>
      </c>
      <c r="Q754" s="1" t="str">
        <f>IF(HR_Data[[#This Row],[Years At Company]]&lt;=HR_Data[[#This Row],[Total Working Years]],"Valid","error")</f>
        <v>Valid</v>
      </c>
      <c r="R754" s="1" t="str" cm="1">
        <f t="array" ref="R754">_xlfn.IFS(HR_Data[[#This Row],[Age]]&lt;=30,"Young", HR_Data[[#This Row],[Age]]&lt;=45,"Mid-Age",HR_Data[[#This Row],[Age]]&gt;45,"Senior")</f>
        <v>Mid-Age</v>
      </c>
      <c r="S754" s="1" t="str" cm="1">
        <f t="array" ref="S754">_xlfn.IFS(HR_Data[[#This Row],[Monthly Income]]&lt;5000,"Low", HR_Data[[#This Row],[Monthly Income]]&lt;10000,"Medium",TRUE,"High")</f>
        <v>Low</v>
      </c>
      <c r="T754" s="1" t="str" cm="1">
        <f t="array" ref="T754">_xlfn.IFS(HR_Data[[#This Row],[Total Working Years]]&lt;=5,"Junior", HR_Data[[#This Row],[Total Working Years]]&lt;=15,"Mid-Level", TRUE, "Senior")</f>
        <v>Senior</v>
      </c>
    </row>
    <row r="755" spans="1:20" x14ac:dyDescent="0.25">
      <c r="A755" s="1">
        <v>1043</v>
      </c>
      <c r="B755" s="1">
        <v>39</v>
      </c>
      <c r="C755" t="s">
        <v>9</v>
      </c>
      <c r="D755" t="s">
        <v>10</v>
      </c>
      <c r="E755" t="s">
        <v>15</v>
      </c>
      <c r="F755" t="s">
        <v>7</v>
      </c>
      <c r="G755" t="s">
        <v>16</v>
      </c>
      <c r="H755" s="1">
        <v>1</v>
      </c>
      <c r="I755" s="1">
        <v>10880</v>
      </c>
      <c r="J755" t="s">
        <v>4</v>
      </c>
      <c r="K755" s="1">
        <v>13</v>
      </c>
      <c r="L755" s="1">
        <v>3</v>
      </c>
      <c r="M755" s="1">
        <v>21</v>
      </c>
      <c r="N755" s="1">
        <v>3</v>
      </c>
      <c r="O755" s="1">
        <v>21</v>
      </c>
      <c r="P755" s="1">
        <f>COUNTIF(HR_Data[Employee Number],HR_Data[[#This Row],[Employee Number]])</f>
        <v>1</v>
      </c>
      <c r="Q755" s="1" t="str">
        <f>IF(HR_Data[[#This Row],[Years At Company]]&lt;=HR_Data[[#This Row],[Total Working Years]],"Valid","error")</f>
        <v>Valid</v>
      </c>
      <c r="R755" s="1" t="str" cm="1">
        <f t="array" ref="R755">_xlfn.IFS(HR_Data[[#This Row],[Age]]&lt;=30,"Young", HR_Data[[#This Row],[Age]]&lt;=45,"Mid-Age",HR_Data[[#This Row],[Age]]&gt;45,"Senior")</f>
        <v>Mid-Age</v>
      </c>
      <c r="S755" s="1" t="str" cm="1">
        <f t="array" ref="S755">_xlfn.IFS(HR_Data[[#This Row],[Monthly Income]]&lt;5000,"Low", HR_Data[[#This Row],[Monthly Income]]&lt;10000,"Medium",TRUE,"High")</f>
        <v>High</v>
      </c>
      <c r="T755" s="1" t="str" cm="1">
        <f t="array" ref="T755">_xlfn.IFS(HR_Data[[#This Row],[Total Working Years]]&lt;=5,"Junior", HR_Data[[#This Row],[Total Working Years]]&lt;=15,"Mid-Level", TRUE, "Senior")</f>
        <v>Senior</v>
      </c>
    </row>
    <row r="756" spans="1:20" x14ac:dyDescent="0.25">
      <c r="A756" s="1">
        <v>1044</v>
      </c>
      <c r="B756" s="1">
        <v>33</v>
      </c>
      <c r="C756" t="s">
        <v>9</v>
      </c>
      <c r="D756" t="s">
        <v>5</v>
      </c>
      <c r="E756" t="s">
        <v>6</v>
      </c>
      <c r="F756" t="s">
        <v>7</v>
      </c>
      <c r="G756" t="s">
        <v>19</v>
      </c>
      <c r="H756" s="1">
        <v>4</v>
      </c>
      <c r="I756" s="1">
        <v>2342</v>
      </c>
      <c r="J756" t="s">
        <v>9</v>
      </c>
      <c r="K756" s="1">
        <v>19</v>
      </c>
      <c r="L756" s="1">
        <v>3</v>
      </c>
      <c r="M756" s="1">
        <v>3</v>
      </c>
      <c r="N756" s="1">
        <v>2</v>
      </c>
      <c r="O756" s="1">
        <v>2</v>
      </c>
      <c r="P756" s="1">
        <f>COUNTIF(HR_Data[Employee Number],HR_Data[[#This Row],[Employee Number]])</f>
        <v>1</v>
      </c>
      <c r="Q756" s="1" t="str">
        <f>IF(HR_Data[[#This Row],[Years At Company]]&lt;=HR_Data[[#This Row],[Total Working Years]],"Valid","error")</f>
        <v>Valid</v>
      </c>
      <c r="R756" s="1" t="str" cm="1">
        <f t="array" ref="R756">_xlfn.IFS(HR_Data[[#This Row],[Age]]&lt;=30,"Young", HR_Data[[#This Row],[Age]]&lt;=45,"Mid-Age",HR_Data[[#This Row],[Age]]&gt;45,"Senior")</f>
        <v>Mid-Age</v>
      </c>
      <c r="S756" s="1" t="str" cm="1">
        <f t="array" ref="S756">_xlfn.IFS(HR_Data[[#This Row],[Monthly Income]]&lt;5000,"Low", HR_Data[[#This Row],[Monthly Income]]&lt;10000,"Medium",TRUE,"High")</f>
        <v>Low</v>
      </c>
      <c r="T756" s="1" t="str" cm="1">
        <f t="array" ref="T756">_xlfn.IFS(HR_Data[[#This Row],[Total Working Years]]&lt;=5,"Junior", HR_Data[[#This Row],[Total Working Years]]&lt;=15,"Mid-Level", TRUE, "Senior")</f>
        <v>Junior</v>
      </c>
    </row>
    <row r="757" spans="1:20" x14ac:dyDescent="0.25">
      <c r="A757" s="1">
        <v>1045</v>
      </c>
      <c r="B757" s="1">
        <v>45</v>
      </c>
      <c r="C757" t="s">
        <v>9</v>
      </c>
      <c r="D757" t="s">
        <v>5</v>
      </c>
      <c r="E757" t="s">
        <v>6</v>
      </c>
      <c r="F757" t="s">
        <v>7</v>
      </c>
      <c r="G757" t="s">
        <v>18</v>
      </c>
      <c r="H757" s="1">
        <v>4</v>
      </c>
      <c r="I757" s="1">
        <v>17650</v>
      </c>
      <c r="J757" t="s">
        <v>9</v>
      </c>
      <c r="K757" s="1">
        <v>13</v>
      </c>
      <c r="L757" s="1">
        <v>3</v>
      </c>
      <c r="M757" s="1">
        <v>26</v>
      </c>
      <c r="N757" s="1">
        <v>4</v>
      </c>
      <c r="O757" s="1">
        <v>9</v>
      </c>
      <c r="P757" s="1">
        <f>COUNTIF(HR_Data[Employee Number],HR_Data[[#This Row],[Employee Number]])</f>
        <v>1</v>
      </c>
      <c r="Q757" s="1" t="str">
        <f>IF(HR_Data[[#This Row],[Years At Company]]&lt;=HR_Data[[#This Row],[Total Working Years]],"Valid","error")</f>
        <v>Valid</v>
      </c>
      <c r="R757" s="1" t="str" cm="1">
        <f t="array" ref="R757">_xlfn.IFS(HR_Data[[#This Row],[Age]]&lt;=30,"Young", HR_Data[[#This Row],[Age]]&lt;=45,"Mid-Age",HR_Data[[#This Row],[Age]]&gt;45,"Senior")</f>
        <v>Mid-Age</v>
      </c>
      <c r="S757" s="1" t="str" cm="1">
        <f t="array" ref="S757">_xlfn.IFS(HR_Data[[#This Row],[Monthly Income]]&lt;5000,"Low", HR_Data[[#This Row],[Monthly Income]]&lt;10000,"Medium",TRUE,"High")</f>
        <v>High</v>
      </c>
      <c r="T757" s="1" t="str" cm="1">
        <f t="array" ref="T757">_xlfn.IFS(HR_Data[[#This Row],[Total Working Years]]&lt;=5,"Junior", HR_Data[[#This Row],[Total Working Years]]&lt;=15,"Mid-Level", TRUE, "Senior")</f>
        <v>Senior</v>
      </c>
    </row>
    <row r="758" spans="1:20" x14ac:dyDescent="0.25">
      <c r="A758" s="1">
        <v>1046</v>
      </c>
      <c r="B758" s="1">
        <v>32</v>
      </c>
      <c r="C758" t="s">
        <v>9</v>
      </c>
      <c r="D758" t="s">
        <v>10</v>
      </c>
      <c r="E758" t="s">
        <v>15</v>
      </c>
      <c r="F758" t="s">
        <v>7</v>
      </c>
      <c r="G758" t="s">
        <v>14</v>
      </c>
      <c r="H758" s="1">
        <v>3</v>
      </c>
      <c r="I758" s="1">
        <v>4025</v>
      </c>
      <c r="J758" t="s">
        <v>9</v>
      </c>
      <c r="K758" s="1">
        <v>12</v>
      </c>
      <c r="L758" s="1">
        <v>3</v>
      </c>
      <c r="M758" s="1">
        <v>10</v>
      </c>
      <c r="N758" s="1">
        <v>3</v>
      </c>
      <c r="O758" s="1">
        <v>8</v>
      </c>
      <c r="P758" s="1">
        <f>COUNTIF(HR_Data[Employee Number],HR_Data[[#This Row],[Employee Number]])</f>
        <v>1</v>
      </c>
      <c r="Q758" s="1" t="str">
        <f>IF(HR_Data[[#This Row],[Years At Company]]&lt;=HR_Data[[#This Row],[Total Working Years]],"Valid","error")</f>
        <v>Valid</v>
      </c>
      <c r="R758" s="1" t="str" cm="1">
        <f t="array" ref="R758">_xlfn.IFS(HR_Data[[#This Row],[Age]]&lt;=30,"Young", HR_Data[[#This Row],[Age]]&lt;=45,"Mid-Age",HR_Data[[#This Row],[Age]]&gt;45,"Senior")</f>
        <v>Mid-Age</v>
      </c>
      <c r="S758" s="1" t="str" cm="1">
        <f t="array" ref="S758">_xlfn.IFS(HR_Data[[#This Row],[Monthly Income]]&lt;5000,"Low", HR_Data[[#This Row],[Monthly Income]]&lt;10000,"Medium",TRUE,"High")</f>
        <v>Low</v>
      </c>
      <c r="T758" s="1" t="str" cm="1">
        <f t="array" ref="T758">_xlfn.IFS(HR_Data[[#This Row],[Total Working Years]]&lt;=5,"Junior", HR_Data[[#This Row],[Total Working Years]]&lt;=15,"Mid-Level", TRUE, "Senior")</f>
        <v>Mid-Level</v>
      </c>
    </row>
    <row r="759" spans="1:20" x14ac:dyDescent="0.25">
      <c r="A759" s="1">
        <v>1047</v>
      </c>
      <c r="B759" s="1">
        <v>34</v>
      </c>
      <c r="C759" t="s">
        <v>9</v>
      </c>
      <c r="D759" t="s">
        <v>5</v>
      </c>
      <c r="E759" t="s">
        <v>21</v>
      </c>
      <c r="F759" t="s">
        <v>11</v>
      </c>
      <c r="G759" t="s">
        <v>8</v>
      </c>
      <c r="H759" s="1">
        <v>4</v>
      </c>
      <c r="I759" s="1">
        <v>9725</v>
      </c>
      <c r="J759" t="s">
        <v>9</v>
      </c>
      <c r="K759" s="1">
        <v>11</v>
      </c>
      <c r="L759" s="1">
        <v>3</v>
      </c>
      <c r="M759" s="1">
        <v>16</v>
      </c>
      <c r="N759" s="1">
        <v>2</v>
      </c>
      <c r="O759" s="1">
        <v>15</v>
      </c>
      <c r="P759" s="1">
        <f>COUNTIF(HR_Data[Employee Number],HR_Data[[#This Row],[Employee Number]])</f>
        <v>1</v>
      </c>
      <c r="Q759" s="1" t="str">
        <f>IF(HR_Data[[#This Row],[Years At Company]]&lt;=HR_Data[[#This Row],[Total Working Years]],"Valid","error")</f>
        <v>Valid</v>
      </c>
      <c r="R759" s="1" t="str" cm="1">
        <f t="array" ref="R759">_xlfn.IFS(HR_Data[[#This Row],[Age]]&lt;=30,"Young", HR_Data[[#This Row],[Age]]&lt;=45,"Mid-Age",HR_Data[[#This Row],[Age]]&gt;45,"Senior")</f>
        <v>Mid-Age</v>
      </c>
      <c r="S759" s="1" t="str" cm="1">
        <f t="array" ref="S759">_xlfn.IFS(HR_Data[[#This Row],[Monthly Income]]&lt;5000,"Low", HR_Data[[#This Row],[Monthly Income]]&lt;10000,"Medium",TRUE,"High")</f>
        <v>Medium</v>
      </c>
      <c r="T759" s="1" t="str" cm="1">
        <f t="array" ref="T759">_xlfn.IFS(HR_Data[[#This Row],[Total Working Years]]&lt;=5,"Junior", HR_Data[[#This Row],[Total Working Years]]&lt;=15,"Mid-Level", TRUE, "Senior")</f>
        <v>Senior</v>
      </c>
    </row>
    <row r="760" spans="1:20" x14ac:dyDescent="0.25">
      <c r="A760" s="1">
        <v>1048</v>
      </c>
      <c r="B760" s="1">
        <v>59</v>
      </c>
      <c r="C760" t="s">
        <v>9</v>
      </c>
      <c r="D760" t="s">
        <v>5</v>
      </c>
      <c r="E760" t="s">
        <v>22</v>
      </c>
      <c r="F760" t="s">
        <v>11</v>
      </c>
      <c r="G760" t="s">
        <v>18</v>
      </c>
      <c r="H760" s="1">
        <v>4</v>
      </c>
      <c r="I760" s="1">
        <v>11904</v>
      </c>
      <c r="J760" t="s">
        <v>4</v>
      </c>
      <c r="K760" s="1">
        <v>14</v>
      </c>
      <c r="L760" s="1">
        <v>3</v>
      </c>
      <c r="M760" s="1">
        <v>14</v>
      </c>
      <c r="N760" s="1">
        <v>1</v>
      </c>
      <c r="O760" s="1">
        <v>6</v>
      </c>
      <c r="P760" s="1">
        <f>COUNTIF(HR_Data[Employee Number],HR_Data[[#This Row],[Employee Number]])</f>
        <v>1</v>
      </c>
      <c r="Q760" s="1" t="str">
        <f>IF(HR_Data[[#This Row],[Years At Company]]&lt;=HR_Data[[#This Row],[Total Working Years]],"Valid","error")</f>
        <v>Valid</v>
      </c>
      <c r="R760" s="1" t="str" cm="1">
        <f t="array" ref="R760">_xlfn.IFS(HR_Data[[#This Row],[Age]]&lt;=30,"Young", HR_Data[[#This Row],[Age]]&lt;=45,"Mid-Age",HR_Data[[#This Row],[Age]]&gt;45,"Senior")</f>
        <v>Senior</v>
      </c>
      <c r="S760" s="1" t="str" cm="1">
        <f t="array" ref="S760">_xlfn.IFS(HR_Data[[#This Row],[Monthly Income]]&lt;5000,"Low", HR_Data[[#This Row],[Monthly Income]]&lt;10000,"Medium",TRUE,"High")</f>
        <v>High</v>
      </c>
      <c r="T760" s="1" t="str" cm="1">
        <f t="array" ref="T760">_xlfn.IFS(HR_Data[[#This Row],[Total Working Years]]&lt;=5,"Junior", HR_Data[[#This Row],[Total Working Years]]&lt;=15,"Mid-Level", TRUE, "Senior")</f>
        <v>Mid-Level</v>
      </c>
    </row>
    <row r="761" spans="1:20" x14ac:dyDescent="0.25">
      <c r="A761" s="1">
        <v>1049</v>
      </c>
      <c r="B761" s="1">
        <v>45</v>
      </c>
      <c r="C761" t="s">
        <v>9</v>
      </c>
      <c r="D761" t="s">
        <v>23</v>
      </c>
      <c r="E761" t="s">
        <v>15</v>
      </c>
      <c r="F761" t="s">
        <v>11</v>
      </c>
      <c r="G761" t="s">
        <v>23</v>
      </c>
      <c r="H761" s="1">
        <v>2</v>
      </c>
      <c r="I761" s="1">
        <v>2177</v>
      </c>
      <c r="J761" t="s">
        <v>9</v>
      </c>
      <c r="K761" s="1">
        <v>16</v>
      </c>
      <c r="L761" s="1">
        <v>3</v>
      </c>
      <c r="M761" s="1">
        <v>6</v>
      </c>
      <c r="N761" s="1">
        <v>3</v>
      </c>
      <c r="O761" s="1">
        <v>6</v>
      </c>
      <c r="P761" s="1">
        <f>COUNTIF(HR_Data[Employee Number],HR_Data[[#This Row],[Employee Number]])</f>
        <v>1</v>
      </c>
      <c r="Q761" s="1" t="str">
        <f>IF(HR_Data[[#This Row],[Years At Company]]&lt;=HR_Data[[#This Row],[Total Working Years]],"Valid","error")</f>
        <v>Valid</v>
      </c>
      <c r="R761" s="1" t="str" cm="1">
        <f t="array" ref="R761">_xlfn.IFS(HR_Data[[#This Row],[Age]]&lt;=30,"Young", HR_Data[[#This Row],[Age]]&lt;=45,"Mid-Age",HR_Data[[#This Row],[Age]]&gt;45,"Senior")</f>
        <v>Mid-Age</v>
      </c>
      <c r="S761" s="1" t="str" cm="1">
        <f t="array" ref="S761">_xlfn.IFS(HR_Data[[#This Row],[Monthly Income]]&lt;5000,"Low", HR_Data[[#This Row],[Monthly Income]]&lt;10000,"Medium",TRUE,"High")</f>
        <v>Low</v>
      </c>
      <c r="T761" s="1" t="str" cm="1">
        <f t="array" ref="T761">_xlfn.IFS(HR_Data[[#This Row],[Total Working Years]]&lt;=5,"Junior", HR_Data[[#This Row],[Total Working Years]]&lt;=15,"Mid-Level", TRUE, "Senior")</f>
        <v>Mid-Level</v>
      </c>
    </row>
    <row r="762" spans="1:20" x14ac:dyDescent="0.25">
      <c r="A762" s="1">
        <v>1050</v>
      </c>
      <c r="B762" s="1">
        <v>53</v>
      </c>
      <c r="C762" t="s">
        <v>9</v>
      </c>
      <c r="D762" t="s">
        <v>5</v>
      </c>
      <c r="E762" t="s">
        <v>21</v>
      </c>
      <c r="F762" t="s">
        <v>7</v>
      </c>
      <c r="G762" t="s">
        <v>8</v>
      </c>
      <c r="H762" s="1">
        <v>2</v>
      </c>
      <c r="I762" s="1">
        <v>7525</v>
      </c>
      <c r="J762" t="s">
        <v>9</v>
      </c>
      <c r="K762" s="1">
        <v>12</v>
      </c>
      <c r="L762" s="1">
        <v>3</v>
      </c>
      <c r="M762" s="1">
        <v>30</v>
      </c>
      <c r="N762" s="1">
        <v>3</v>
      </c>
      <c r="O762" s="1">
        <v>15</v>
      </c>
      <c r="P762" s="1">
        <f>COUNTIF(HR_Data[Employee Number],HR_Data[[#This Row],[Employee Number]])</f>
        <v>1</v>
      </c>
      <c r="Q762" s="1" t="str">
        <f>IF(HR_Data[[#This Row],[Years At Company]]&lt;=HR_Data[[#This Row],[Total Working Years]],"Valid","error")</f>
        <v>Valid</v>
      </c>
      <c r="R762" s="1" t="str" cm="1">
        <f t="array" ref="R762">_xlfn.IFS(HR_Data[[#This Row],[Age]]&lt;=30,"Young", HR_Data[[#This Row],[Age]]&lt;=45,"Mid-Age",HR_Data[[#This Row],[Age]]&gt;45,"Senior")</f>
        <v>Senior</v>
      </c>
      <c r="S762" s="1" t="str" cm="1">
        <f t="array" ref="S762">_xlfn.IFS(HR_Data[[#This Row],[Monthly Income]]&lt;5000,"Low", HR_Data[[#This Row],[Monthly Income]]&lt;10000,"Medium",TRUE,"High")</f>
        <v>Medium</v>
      </c>
      <c r="T762" s="1" t="str" cm="1">
        <f t="array" ref="T762">_xlfn.IFS(HR_Data[[#This Row],[Total Working Years]]&lt;=5,"Junior", HR_Data[[#This Row],[Total Working Years]]&lt;=15,"Mid-Level", TRUE, "Senior")</f>
        <v>Senior</v>
      </c>
    </row>
    <row r="763" spans="1:20" x14ac:dyDescent="0.25">
      <c r="A763" s="1">
        <v>1052</v>
      </c>
      <c r="B763" s="1">
        <v>36</v>
      </c>
      <c r="C763" t="s">
        <v>4</v>
      </c>
      <c r="D763" t="s">
        <v>10</v>
      </c>
      <c r="E763" t="s">
        <v>13</v>
      </c>
      <c r="F763" t="s">
        <v>11</v>
      </c>
      <c r="G763" t="s">
        <v>14</v>
      </c>
      <c r="H763" s="1">
        <v>3</v>
      </c>
      <c r="I763" s="1">
        <v>4834</v>
      </c>
      <c r="J763" t="s">
        <v>9</v>
      </c>
      <c r="K763" s="1">
        <v>14</v>
      </c>
      <c r="L763" s="1">
        <v>3</v>
      </c>
      <c r="M763" s="1">
        <v>9</v>
      </c>
      <c r="N763" s="1">
        <v>2</v>
      </c>
      <c r="O763" s="1">
        <v>1</v>
      </c>
      <c r="P763" s="1">
        <f>COUNTIF(HR_Data[Employee Number],HR_Data[[#This Row],[Employee Number]])</f>
        <v>1</v>
      </c>
      <c r="Q763" s="1" t="str">
        <f>IF(HR_Data[[#This Row],[Years At Company]]&lt;=HR_Data[[#This Row],[Total Working Years]],"Valid","error")</f>
        <v>Valid</v>
      </c>
      <c r="R763" s="1" t="str" cm="1">
        <f t="array" ref="R763">_xlfn.IFS(HR_Data[[#This Row],[Age]]&lt;=30,"Young", HR_Data[[#This Row],[Age]]&lt;=45,"Mid-Age",HR_Data[[#This Row],[Age]]&gt;45,"Senior")</f>
        <v>Mid-Age</v>
      </c>
      <c r="S763" s="1" t="str" cm="1">
        <f t="array" ref="S763">_xlfn.IFS(HR_Data[[#This Row],[Monthly Income]]&lt;5000,"Low", HR_Data[[#This Row],[Monthly Income]]&lt;10000,"Medium",TRUE,"High")</f>
        <v>Low</v>
      </c>
      <c r="T763" s="1" t="str" cm="1">
        <f t="array" ref="T763">_xlfn.IFS(HR_Data[[#This Row],[Total Working Years]]&lt;=5,"Junior", HR_Data[[#This Row],[Total Working Years]]&lt;=15,"Mid-Level", TRUE, "Senior")</f>
        <v>Mid-Level</v>
      </c>
    </row>
    <row r="764" spans="1:20" x14ac:dyDescent="0.25">
      <c r="A764" s="1">
        <v>1053</v>
      </c>
      <c r="B764" s="1">
        <v>26</v>
      </c>
      <c r="C764" t="s">
        <v>4</v>
      </c>
      <c r="D764" t="s">
        <v>10</v>
      </c>
      <c r="E764" t="s">
        <v>6</v>
      </c>
      <c r="F764" t="s">
        <v>11</v>
      </c>
      <c r="G764" t="s">
        <v>12</v>
      </c>
      <c r="H764" s="1">
        <v>1</v>
      </c>
      <c r="I764" s="1">
        <v>2042</v>
      </c>
      <c r="J764" t="s">
        <v>4</v>
      </c>
      <c r="K764" s="1">
        <v>14</v>
      </c>
      <c r="L764" s="1">
        <v>3</v>
      </c>
      <c r="M764" s="1">
        <v>6</v>
      </c>
      <c r="N764" s="1">
        <v>3</v>
      </c>
      <c r="O764" s="1">
        <v>3</v>
      </c>
      <c r="P764" s="1">
        <f>COUNTIF(HR_Data[Employee Number],HR_Data[[#This Row],[Employee Number]])</f>
        <v>1</v>
      </c>
      <c r="Q764" s="1" t="str">
        <f>IF(HR_Data[[#This Row],[Years At Company]]&lt;=HR_Data[[#This Row],[Total Working Years]],"Valid","error")</f>
        <v>Valid</v>
      </c>
      <c r="R764" s="1" t="str" cm="1">
        <f t="array" ref="R764">_xlfn.IFS(HR_Data[[#This Row],[Age]]&lt;=30,"Young", HR_Data[[#This Row],[Age]]&lt;=45,"Mid-Age",HR_Data[[#This Row],[Age]]&gt;45,"Senior")</f>
        <v>Young</v>
      </c>
      <c r="S764" s="1" t="str" cm="1">
        <f t="array" ref="S764">_xlfn.IFS(HR_Data[[#This Row],[Monthly Income]]&lt;5000,"Low", HR_Data[[#This Row],[Monthly Income]]&lt;10000,"Medium",TRUE,"High")</f>
        <v>Low</v>
      </c>
      <c r="T764" s="1" t="str" cm="1">
        <f t="array" ref="T764">_xlfn.IFS(HR_Data[[#This Row],[Total Working Years]]&lt;=5,"Junior", HR_Data[[#This Row],[Total Working Years]]&lt;=15,"Mid-Level", TRUE, "Senior")</f>
        <v>Mid-Level</v>
      </c>
    </row>
    <row r="765" spans="1:20" x14ac:dyDescent="0.25">
      <c r="A765" s="1">
        <v>1055</v>
      </c>
      <c r="B765" s="1">
        <v>34</v>
      </c>
      <c r="C765" t="s">
        <v>9</v>
      </c>
      <c r="D765" t="s">
        <v>5</v>
      </c>
      <c r="E765" t="s">
        <v>6</v>
      </c>
      <c r="F765" t="s">
        <v>7</v>
      </c>
      <c r="G765" t="s">
        <v>19</v>
      </c>
      <c r="H765" s="1">
        <v>3</v>
      </c>
      <c r="I765" s="1">
        <v>2220</v>
      </c>
      <c r="J765" t="s">
        <v>4</v>
      </c>
      <c r="K765" s="1">
        <v>19</v>
      </c>
      <c r="L765" s="1">
        <v>3</v>
      </c>
      <c r="M765" s="1">
        <v>1</v>
      </c>
      <c r="N765" s="1">
        <v>3</v>
      </c>
      <c r="O765" s="1">
        <v>1</v>
      </c>
      <c r="P765" s="1">
        <f>COUNTIF(HR_Data[Employee Number],HR_Data[[#This Row],[Employee Number]])</f>
        <v>1</v>
      </c>
      <c r="Q765" s="1" t="str">
        <f>IF(HR_Data[[#This Row],[Years At Company]]&lt;=HR_Data[[#This Row],[Total Working Years]],"Valid","error")</f>
        <v>Valid</v>
      </c>
      <c r="R765" s="1" t="str" cm="1">
        <f t="array" ref="R765">_xlfn.IFS(HR_Data[[#This Row],[Age]]&lt;=30,"Young", HR_Data[[#This Row],[Age]]&lt;=45,"Mid-Age",HR_Data[[#This Row],[Age]]&gt;45,"Senior")</f>
        <v>Mid-Age</v>
      </c>
      <c r="S765" s="1" t="str" cm="1">
        <f t="array" ref="S765">_xlfn.IFS(HR_Data[[#This Row],[Monthly Income]]&lt;5000,"Low", HR_Data[[#This Row],[Monthly Income]]&lt;10000,"Medium",TRUE,"High")</f>
        <v>Low</v>
      </c>
      <c r="T765" s="1" t="str" cm="1">
        <f t="array" ref="T765">_xlfn.IFS(HR_Data[[#This Row],[Total Working Years]]&lt;=5,"Junior", HR_Data[[#This Row],[Total Working Years]]&lt;=15,"Mid-Level", TRUE, "Senior")</f>
        <v>Junior</v>
      </c>
    </row>
    <row r="766" spans="1:20" x14ac:dyDescent="0.25">
      <c r="A766" s="1">
        <v>1056</v>
      </c>
      <c r="B766" s="1">
        <v>28</v>
      </c>
      <c r="C766" t="s">
        <v>9</v>
      </c>
      <c r="D766" t="s">
        <v>5</v>
      </c>
      <c r="E766" t="s">
        <v>15</v>
      </c>
      <c r="F766" t="s">
        <v>11</v>
      </c>
      <c r="G766" t="s">
        <v>19</v>
      </c>
      <c r="H766" s="1">
        <v>2</v>
      </c>
      <c r="I766" s="1">
        <v>1052</v>
      </c>
      <c r="J766" t="s">
        <v>9</v>
      </c>
      <c r="K766" s="1">
        <v>22</v>
      </c>
      <c r="L766" s="1">
        <v>4</v>
      </c>
      <c r="M766" s="1">
        <v>1</v>
      </c>
      <c r="N766" s="1">
        <v>3</v>
      </c>
      <c r="O766" s="1">
        <v>1</v>
      </c>
      <c r="P766" s="1">
        <f>COUNTIF(HR_Data[Employee Number],HR_Data[[#This Row],[Employee Number]])</f>
        <v>1</v>
      </c>
      <c r="Q766" s="1" t="str">
        <f>IF(HR_Data[[#This Row],[Years At Company]]&lt;=HR_Data[[#This Row],[Total Working Years]],"Valid","error")</f>
        <v>Valid</v>
      </c>
      <c r="R766" s="1" t="str" cm="1">
        <f t="array" ref="R766">_xlfn.IFS(HR_Data[[#This Row],[Age]]&lt;=30,"Young", HR_Data[[#This Row],[Age]]&lt;=45,"Mid-Age",HR_Data[[#This Row],[Age]]&gt;45,"Senior")</f>
        <v>Young</v>
      </c>
      <c r="S766" s="1" t="str" cm="1">
        <f t="array" ref="S766">_xlfn.IFS(HR_Data[[#This Row],[Monthly Income]]&lt;5000,"Low", HR_Data[[#This Row],[Monthly Income]]&lt;10000,"Medium",TRUE,"High")</f>
        <v>Low</v>
      </c>
      <c r="T766" s="1" t="str" cm="1">
        <f t="array" ref="T766">_xlfn.IFS(HR_Data[[#This Row],[Total Working Years]]&lt;=5,"Junior", HR_Data[[#This Row],[Total Working Years]]&lt;=15,"Mid-Level", TRUE, "Senior")</f>
        <v>Junior</v>
      </c>
    </row>
    <row r="767" spans="1:20" x14ac:dyDescent="0.25">
      <c r="A767" s="1">
        <v>1060</v>
      </c>
      <c r="B767" s="1">
        <v>38</v>
      </c>
      <c r="C767" t="s">
        <v>9</v>
      </c>
      <c r="D767" t="s">
        <v>10</v>
      </c>
      <c r="E767" t="s">
        <v>13</v>
      </c>
      <c r="F767" t="s">
        <v>11</v>
      </c>
      <c r="G767" t="s">
        <v>12</v>
      </c>
      <c r="H767" s="1">
        <v>3</v>
      </c>
      <c r="I767" s="1">
        <v>2821</v>
      </c>
      <c r="J767" t="s">
        <v>9</v>
      </c>
      <c r="K767" s="1">
        <v>16</v>
      </c>
      <c r="L767" s="1">
        <v>3</v>
      </c>
      <c r="M767" s="1">
        <v>8</v>
      </c>
      <c r="N767" s="1">
        <v>3</v>
      </c>
      <c r="O767" s="1">
        <v>2</v>
      </c>
      <c r="P767" s="1">
        <f>COUNTIF(HR_Data[Employee Number],HR_Data[[#This Row],[Employee Number]])</f>
        <v>1</v>
      </c>
      <c r="Q767" s="1" t="str">
        <f>IF(HR_Data[[#This Row],[Years At Company]]&lt;=HR_Data[[#This Row],[Total Working Years]],"Valid","error")</f>
        <v>Valid</v>
      </c>
      <c r="R767" s="1" t="str" cm="1">
        <f t="array" ref="R767">_xlfn.IFS(HR_Data[[#This Row],[Age]]&lt;=30,"Young", HR_Data[[#This Row],[Age]]&lt;=45,"Mid-Age",HR_Data[[#This Row],[Age]]&gt;45,"Senior")</f>
        <v>Mid-Age</v>
      </c>
      <c r="S767" s="1" t="str" cm="1">
        <f t="array" ref="S767">_xlfn.IFS(HR_Data[[#This Row],[Monthly Income]]&lt;5000,"Low", HR_Data[[#This Row],[Monthly Income]]&lt;10000,"Medium",TRUE,"High")</f>
        <v>Low</v>
      </c>
      <c r="T767" s="1" t="str" cm="1">
        <f t="array" ref="T767">_xlfn.IFS(HR_Data[[#This Row],[Total Working Years]]&lt;=5,"Junior", HR_Data[[#This Row],[Total Working Years]]&lt;=15,"Mid-Level", TRUE, "Senior")</f>
        <v>Mid-Level</v>
      </c>
    </row>
    <row r="768" spans="1:20" x14ac:dyDescent="0.25">
      <c r="A768" s="1">
        <v>1061</v>
      </c>
      <c r="B768" s="1">
        <v>50</v>
      </c>
      <c r="C768" t="s">
        <v>9</v>
      </c>
      <c r="D768" t="s">
        <v>10</v>
      </c>
      <c r="E768" t="s">
        <v>15</v>
      </c>
      <c r="F768" t="s">
        <v>11</v>
      </c>
      <c r="G768" t="s">
        <v>20</v>
      </c>
      <c r="H768" s="1">
        <v>3</v>
      </c>
      <c r="I768" s="1">
        <v>19237</v>
      </c>
      <c r="J768" t="s">
        <v>4</v>
      </c>
      <c r="K768" s="1">
        <v>11</v>
      </c>
      <c r="L768" s="1">
        <v>3</v>
      </c>
      <c r="M768" s="1">
        <v>29</v>
      </c>
      <c r="N768" s="1">
        <v>2</v>
      </c>
      <c r="O768" s="1">
        <v>8</v>
      </c>
      <c r="P768" s="1">
        <f>COUNTIF(HR_Data[Employee Number],HR_Data[[#This Row],[Employee Number]])</f>
        <v>1</v>
      </c>
      <c r="Q768" s="1" t="str">
        <f>IF(HR_Data[[#This Row],[Years At Company]]&lt;=HR_Data[[#This Row],[Total Working Years]],"Valid","error")</f>
        <v>Valid</v>
      </c>
      <c r="R768" s="1" t="str" cm="1">
        <f t="array" ref="R768">_xlfn.IFS(HR_Data[[#This Row],[Age]]&lt;=30,"Young", HR_Data[[#This Row],[Age]]&lt;=45,"Mid-Age",HR_Data[[#This Row],[Age]]&gt;45,"Senior")</f>
        <v>Senior</v>
      </c>
      <c r="S768" s="1" t="str" cm="1">
        <f t="array" ref="S768">_xlfn.IFS(HR_Data[[#This Row],[Monthly Income]]&lt;5000,"Low", HR_Data[[#This Row],[Monthly Income]]&lt;10000,"Medium",TRUE,"High")</f>
        <v>High</v>
      </c>
      <c r="T768" s="1" t="str" cm="1">
        <f t="array" ref="T768">_xlfn.IFS(HR_Data[[#This Row],[Total Working Years]]&lt;=5,"Junior", HR_Data[[#This Row],[Total Working Years]]&lt;=15,"Mid-Level", TRUE, "Senior")</f>
        <v>Senior</v>
      </c>
    </row>
    <row r="769" spans="1:20" x14ac:dyDescent="0.25">
      <c r="A769" s="1">
        <v>1062</v>
      </c>
      <c r="B769" s="1">
        <v>37</v>
      </c>
      <c r="C769" t="s">
        <v>9</v>
      </c>
      <c r="D769" t="s">
        <v>10</v>
      </c>
      <c r="E769" t="s">
        <v>13</v>
      </c>
      <c r="F769" t="s">
        <v>7</v>
      </c>
      <c r="G769" t="s">
        <v>17</v>
      </c>
      <c r="H769" s="1">
        <v>2</v>
      </c>
      <c r="I769" s="1">
        <v>4107</v>
      </c>
      <c r="J769" t="s">
        <v>9</v>
      </c>
      <c r="K769" s="1">
        <v>15</v>
      </c>
      <c r="L769" s="1">
        <v>3</v>
      </c>
      <c r="M769" s="1">
        <v>8</v>
      </c>
      <c r="N769" s="1">
        <v>2</v>
      </c>
      <c r="O769" s="1">
        <v>4</v>
      </c>
      <c r="P769" s="1">
        <f>COUNTIF(HR_Data[Employee Number],HR_Data[[#This Row],[Employee Number]])</f>
        <v>1</v>
      </c>
      <c r="Q769" s="1" t="str">
        <f>IF(HR_Data[[#This Row],[Years At Company]]&lt;=HR_Data[[#This Row],[Total Working Years]],"Valid","error")</f>
        <v>Valid</v>
      </c>
      <c r="R769" s="1" t="str" cm="1">
        <f t="array" ref="R769">_xlfn.IFS(HR_Data[[#This Row],[Age]]&lt;=30,"Young", HR_Data[[#This Row],[Age]]&lt;=45,"Mid-Age",HR_Data[[#This Row],[Age]]&gt;45,"Senior")</f>
        <v>Mid-Age</v>
      </c>
      <c r="S769" s="1" t="str" cm="1">
        <f t="array" ref="S769">_xlfn.IFS(HR_Data[[#This Row],[Monthly Income]]&lt;5000,"Low", HR_Data[[#This Row],[Monthly Income]]&lt;10000,"Medium",TRUE,"High")</f>
        <v>Low</v>
      </c>
      <c r="T769" s="1" t="str" cm="1">
        <f t="array" ref="T769">_xlfn.IFS(HR_Data[[#This Row],[Total Working Years]]&lt;=5,"Junior", HR_Data[[#This Row],[Total Working Years]]&lt;=15,"Mid-Level", TRUE, "Senior")</f>
        <v>Mid-Level</v>
      </c>
    </row>
    <row r="770" spans="1:20" x14ac:dyDescent="0.25">
      <c r="A770" s="1">
        <v>1066</v>
      </c>
      <c r="B770" s="1">
        <v>40</v>
      </c>
      <c r="C770" t="s">
        <v>9</v>
      </c>
      <c r="D770" t="s">
        <v>5</v>
      </c>
      <c r="E770" t="s">
        <v>21</v>
      </c>
      <c r="F770" t="s">
        <v>11</v>
      </c>
      <c r="G770" t="s">
        <v>8</v>
      </c>
      <c r="H770" s="1">
        <v>1</v>
      </c>
      <c r="I770" s="1">
        <v>8396</v>
      </c>
      <c r="J770" t="s">
        <v>9</v>
      </c>
      <c r="K770" s="1">
        <v>14</v>
      </c>
      <c r="L770" s="1">
        <v>3</v>
      </c>
      <c r="M770" s="1">
        <v>8</v>
      </c>
      <c r="N770" s="1">
        <v>2</v>
      </c>
      <c r="O770" s="1">
        <v>7</v>
      </c>
      <c r="P770" s="1">
        <f>COUNTIF(HR_Data[Employee Number],HR_Data[[#This Row],[Employee Number]])</f>
        <v>1</v>
      </c>
      <c r="Q770" s="1" t="str">
        <f>IF(HR_Data[[#This Row],[Years At Company]]&lt;=HR_Data[[#This Row],[Total Working Years]],"Valid","error")</f>
        <v>Valid</v>
      </c>
      <c r="R770" s="1" t="str" cm="1">
        <f t="array" ref="R770">_xlfn.IFS(HR_Data[[#This Row],[Age]]&lt;=30,"Young", HR_Data[[#This Row],[Age]]&lt;=45,"Mid-Age",HR_Data[[#This Row],[Age]]&gt;45,"Senior")</f>
        <v>Mid-Age</v>
      </c>
      <c r="S770" s="1" t="str" cm="1">
        <f t="array" ref="S770">_xlfn.IFS(HR_Data[[#This Row],[Monthly Income]]&lt;5000,"Low", HR_Data[[#This Row],[Monthly Income]]&lt;10000,"Medium",TRUE,"High")</f>
        <v>Medium</v>
      </c>
      <c r="T770" s="1" t="str" cm="1">
        <f t="array" ref="T770">_xlfn.IFS(HR_Data[[#This Row],[Total Working Years]]&lt;=5,"Junior", HR_Data[[#This Row],[Total Working Years]]&lt;=15,"Mid-Level", TRUE, "Senior")</f>
        <v>Mid-Level</v>
      </c>
    </row>
    <row r="771" spans="1:20" x14ac:dyDescent="0.25">
      <c r="A771" s="1">
        <v>1068</v>
      </c>
      <c r="B771" s="1">
        <v>26</v>
      </c>
      <c r="C771" t="s">
        <v>9</v>
      </c>
      <c r="D771" t="s">
        <v>10</v>
      </c>
      <c r="E771" t="s">
        <v>15</v>
      </c>
      <c r="F771" t="s">
        <v>7</v>
      </c>
      <c r="G771" t="s">
        <v>12</v>
      </c>
      <c r="H771" s="1">
        <v>3</v>
      </c>
      <c r="I771" s="1">
        <v>2007</v>
      </c>
      <c r="J771" t="s">
        <v>9</v>
      </c>
      <c r="K771" s="1">
        <v>13</v>
      </c>
      <c r="L771" s="1">
        <v>3</v>
      </c>
      <c r="M771" s="1">
        <v>5</v>
      </c>
      <c r="N771" s="1">
        <v>3</v>
      </c>
      <c r="O771" s="1">
        <v>5</v>
      </c>
      <c r="P771" s="1">
        <f>COUNTIF(HR_Data[Employee Number],HR_Data[[#This Row],[Employee Number]])</f>
        <v>1</v>
      </c>
      <c r="Q771" s="1" t="str">
        <f>IF(HR_Data[[#This Row],[Years At Company]]&lt;=HR_Data[[#This Row],[Total Working Years]],"Valid","error")</f>
        <v>Valid</v>
      </c>
      <c r="R771" s="1" t="str" cm="1">
        <f t="array" ref="R771">_xlfn.IFS(HR_Data[[#This Row],[Age]]&lt;=30,"Young", HR_Data[[#This Row],[Age]]&lt;=45,"Mid-Age",HR_Data[[#This Row],[Age]]&gt;45,"Senior")</f>
        <v>Young</v>
      </c>
      <c r="S771" s="1" t="str" cm="1">
        <f t="array" ref="S771">_xlfn.IFS(HR_Data[[#This Row],[Monthly Income]]&lt;5000,"Low", HR_Data[[#This Row],[Monthly Income]]&lt;10000,"Medium",TRUE,"High")</f>
        <v>Low</v>
      </c>
      <c r="T771" s="1" t="str" cm="1">
        <f t="array" ref="T771">_xlfn.IFS(HR_Data[[#This Row],[Total Working Years]]&lt;=5,"Junior", HR_Data[[#This Row],[Total Working Years]]&lt;=15,"Mid-Level", TRUE, "Senior")</f>
        <v>Junior</v>
      </c>
    </row>
    <row r="772" spans="1:20" x14ac:dyDescent="0.25">
      <c r="A772" s="1">
        <v>1069</v>
      </c>
      <c r="B772" s="1">
        <v>46</v>
      </c>
      <c r="C772" t="s">
        <v>9</v>
      </c>
      <c r="D772" t="s">
        <v>10</v>
      </c>
      <c r="E772" t="s">
        <v>15</v>
      </c>
      <c r="F772" t="s">
        <v>11</v>
      </c>
      <c r="G772" t="s">
        <v>20</v>
      </c>
      <c r="H772" s="1">
        <v>4</v>
      </c>
      <c r="I772" s="1">
        <v>19627</v>
      </c>
      <c r="J772" t="s">
        <v>9</v>
      </c>
      <c r="K772" s="1">
        <v>17</v>
      </c>
      <c r="L772" s="1">
        <v>3</v>
      </c>
      <c r="M772" s="1">
        <v>23</v>
      </c>
      <c r="N772" s="1">
        <v>3</v>
      </c>
      <c r="O772" s="1">
        <v>2</v>
      </c>
      <c r="P772" s="1">
        <f>COUNTIF(HR_Data[Employee Number],HR_Data[[#This Row],[Employee Number]])</f>
        <v>1</v>
      </c>
      <c r="Q772" s="1" t="str">
        <f>IF(HR_Data[[#This Row],[Years At Company]]&lt;=HR_Data[[#This Row],[Total Working Years]],"Valid","error")</f>
        <v>Valid</v>
      </c>
      <c r="R772" s="1" t="str" cm="1">
        <f t="array" ref="R772">_xlfn.IFS(HR_Data[[#This Row],[Age]]&lt;=30,"Young", HR_Data[[#This Row],[Age]]&lt;=45,"Mid-Age",HR_Data[[#This Row],[Age]]&gt;45,"Senior")</f>
        <v>Senior</v>
      </c>
      <c r="S772" s="1" t="str" cm="1">
        <f t="array" ref="S772">_xlfn.IFS(HR_Data[[#This Row],[Monthly Income]]&lt;5000,"Low", HR_Data[[#This Row],[Monthly Income]]&lt;10000,"Medium",TRUE,"High")</f>
        <v>High</v>
      </c>
      <c r="T772" s="1" t="str" cm="1">
        <f t="array" ref="T772">_xlfn.IFS(HR_Data[[#This Row],[Total Working Years]]&lt;=5,"Junior", HR_Data[[#This Row],[Total Working Years]]&lt;=15,"Mid-Level", TRUE, "Senior")</f>
        <v>Senior</v>
      </c>
    </row>
    <row r="773" spans="1:20" x14ac:dyDescent="0.25">
      <c r="A773" s="1">
        <v>1070</v>
      </c>
      <c r="B773" s="1">
        <v>54</v>
      </c>
      <c r="C773" t="s">
        <v>9</v>
      </c>
      <c r="D773" t="s">
        <v>5</v>
      </c>
      <c r="E773" t="s">
        <v>6</v>
      </c>
      <c r="F773" t="s">
        <v>7</v>
      </c>
      <c r="G773" t="s">
        <v>8</v>
      </c>
      <c r="H773" s="1">
        <v>3</v>
      </c>
      <c r="I773" s="1">
        <v>10686</v>
      </c>
      <c r="J773" t="s">
        <v>9</v>
      </c>
      <c r="K773" s="1">
        <v>11</v>
      </c>
      <c r="L773" s="1">
        <v>3</v>
      </c>
      <c r="M773" s="1">
        <v>13</v>
      </c>
      <c r="N773" s="1">
        <v>3</v>
      </c>
      <c r="O773" s="1">
        <v>9</v>
      </c>
      <c r="P773" s="1">
        <f>COUNTIF(HR_Data[Employee Number],HR_Data[[#This Row],[Employee Number]])</f>
        <v>1</v>
      </c>
      <c r="Q773" s="1" t="str">
        <f>IF(HR_Data[[#This Row],[Years At Company]]&lt;=HR_Data[[#This Row],[Total Working Years]],"Valid","error")</f>
        <v>Valid</v>
      </c>
      <c r="R773" s="1" t="str" cm="1">
        <f t="array" ref="R773">_xlfn.IFS(HR_Data[[#This Row],[Age]]&lt;=30,"Young", HR_Data[[#This Row],[Age]]&lt;=45,"Mid-Age",HR_Data[[#This Row],[Age]]&gt;45,"Senior")</f>
        <v>Senior</v>
      </c>
      <c r="S773" s="1" t="str" cm="1">
        <f t="array" ref="S773">_xlfn.IFS(HR_Data[[#This Row],[Monthly Income]]&lt;5000,"Low", HR_Data[[#This Row],[Monthly Income]]&lt;10000,"Medium",TRUE,"High")</f>
        <v>High</v>
      </c>
      <c r="T773" s="1" t="str" cm="1">
        <f t="array" ref="T773">_xlfn.IFS(HR_Data[[#This Row],[Total Working Years]]&lt;=5,"Junior", HR_Data[[#This Row],[Total Working Years]]&lt;=15,"Mid-Level", TRUE, "Senior")</f>
        <v>Mid-Level</v>
      </c>
    </row>
    <row r="774" spans="1:20" x14ac:dyDescent="0.25">
      <c r="A774" s="1">
        <v>1071</v>
      </c>
      <c r="B774" s="1">
        <v>56</v>
      </c>
      <c r="C774" t="s">
        <v>9</v>
      </c>
      <c r="D774" t="s">
        <v>10</v>
      </c>
      <c r="E774" t="s">
        <v>15</v>
      </c>
      <c r="F774" t="s">
        <v>7</v>
      </c>
      <c r="G774" t="s">
        <v>12</v>
      </c>
      <c r="H774" s="1">
        <v>3</v>
      </c>
      <c r="I774" s="1">
        <v>2942</v>
      </c>
      <c r="J774" t="s">
        <v>9</v>
      </c>
      <c r="K774" s="1">
        <v>19</v>
      </c>
      <c r="L774" s="1">
        <v>3</v>
      </c>
      <c r="M774" s="1">
        <v>18</v>
      </c>
      <c r="N774" s="1">
        <v>3</v>
      </c>
      <c r="O774" s="1">
        <v>5</v>
      </c>
      <c r="P774" s="1">
        <f>COUNTIF(HR_Data[Employee Number],HR_Data[[#This Row],[Employee Number]])</f>
        <v>1</v>
      </c>
      <c r="Q774" s="1" t="str">
        <f>IF(HR_Data[[#This Row],[Years At Company]]&lt;=HR_Data[[#This Row],[Total Working Years]],"Valid","error")</f>
        <v>Valid</v>
      </c>
      <c r="R774" s="1" t="str" cm="1">
        <f t="array" ref="R774">_xlfn.IFS(HR_Data[[#This Row],[Age]]&lt;=30,"Young", HR_Data[[#This Row],[Age]]&lt;=45,"Mid-Age",HR_Data[[#This Row],[Age]]&gt;45,"Senior")</f>
        <v>Senior</v>
      </c>
      <c r="S774" s="1" t="str" cm="1">
        <f t="array" ref="S774">_xlfn.IFS(HR_Data[[#This Row],[Monthly Income]]&lt;5000,"Low", HR_Data[[#This Row],[Monthly Income]]&lt;10000,"Medium",TRUE,"High")</f>
        <v>Low</v>
      </c>
      <c r="T774" s="1" t="str" cm="1">
        <f t="array" ref="T774">_xlfn.IFS(HR_Data[[#This Row],[Total Working Years]]&lt;=5,"Junior", HR_Data[[#This Row],[Total Working Years]]&lt;=15,"Mid-Level", TRUE, "Senior")</f>
        <v>Senior</v>
      </c>
    </row>
    <row r="775" spans="1:20" x14ac:dyDescent="0.25">
      <c r="A775" s="1">
        <v>1073</v>
      </c>
      <c r="B775" s="1">
        <v>36</v>
      </c>
      <c r="C775" t="s">
        <v>9</v>
      </c>
      <c r="D775" t="s">
        <v>10</v>
      </c>
      <c r="E775" t="s">
        <v>15</v>
      </c>
      <c r="F775" t="s">
        <v>7</v>
      </c>
      <c r="G775" t="s">
        <v>16</v>
      </c>
      <c r="H775" s="1">
        <v>4</v>
      </c>
      <c r="I775" s="1">
        <v>8858</v>
      </c>
      <c r="J775" t="s">
        <v>9</v>
      </c>
      <c r="K775" s="1">
        <v>11</v>
      </c>
      <c r="L775" s="1">
        <v>3</v>
      </c>
      <c r="M775" s="1">
        <v>15</v>
      </c>
      <c r="N775" s="1">
        <v>2</v>
      </c>
      <c r="O775" s="1">
        <v>14</v>
      </c>
      <c r="P775" s="1">
        <f>COUNTIF(HR_Data[Employee Number],HR_Data[[#This Row],[Employee Number]])</f>
        <v>1</v>
      </c>
      <c r="Q775" s="1" t="str">
        <f>IF(HR_Data[[#This Row],[Years At Company]]&lt;=HR_Data[[#This Row],[Total Working Years]],"Valid","error")</f>
        <v>Valid</v>
      </c>
      <c r="R775" s="1" t="str" cm="1">
        <f t="array" ref="R775">_xlfn.IFS(HR_Data[[#This Row],[Age]]&lt;=30,"Young", HR_Data[[#This Row],[Age]]&lt;=45,"Mid-Age",HR_Data[[#This Row],[Age]]&gt;45,"Senior")</f>
        <v>Mid-Age</v>
      </c>
      <c r="S775" s="1" t="str" cm="1">
        <f t="array" ref="S775">_xlfn.IFS(HR_Data[[#This Row],[Monthly Income]]&lt;5000,"Low", HR_Data[[#This Row],[Monthly Income]]&lt;10000,"Medium",TRUE,"High")</f>
        <v>Medium</v>
      </c>
      <c r="T775" s="1" t="str" cm="1">
        <f t="array" ref="T775">_xlfn.IFS(HR_Data[[#This Row],[Total Working Years]]&lt;=5,"Junior", HR_Data[[#This Row],[Total Working Years]]&lt;=15,"Mid-Level", TRUE, "Senior")</f>
        <v>Mid-Level</v>
      </c>
    </row>
    <row r="776" spans="1:20" x14ac:dyDescent="0.25">
      <c r="A776" s="1">
        <v>1074</v>
      </c>
      <c r="B776" s="1">
        <v>55</v>
      </c>
      <c r="C776" t="s">
        <v>9</v>
      </c>
      <c r="D776" t="s">
        <v>10</v>
      </c>
      <c r="E776" t="s">
        <v>15</v>
      </c>
      <c r="F776" t="s">
        <v>11</v>
      </c>
      <c r="G776" t="s">
        <v>18</v>
      </c>
      <c r="H776" s="1">
        <v>1</v>
      </c>
      <c r="I776" s="1">
        <v>16756</v>
      </c>
      <c r="J776" t="s">
        <v>9</v>
      </c>
      <c r="K776" s="1">
        <v>15</v>
      </c>
      <c r="L776" s="1">
        <v>3</v>
      </c>
      <c r="M776" s="1">
        <v>31</v>
      </c>
      <c r="N776" s="1">
        <v>4</v>
      </c>
      <c r="O776" s="1">
        <v>9</v>
      </c>
      <c r="P776" s="1">
        <f>COUNTIF(HR_Data[Employee Number],HR_Data[[#This Row],[Employee Number]])</f>
        <v>1</v>
      </c>
      <c r="Q776" s="1" t="str">
        <f>IF(HR_Data[[#This Row],[Years At Company]]&lt;=HR_Data[[#This Row],[Total Working Years]],"Valid","error")</f>
        <v>Valid</v>
      </c>
      <c r="R776" s="1" t="str" cm="1">
        <f t="array" ref="R776">_xlfn.IFS(HR_Data[[#This Row],[Age]]&lt;=30,"Young", HR_Data[[#This Row],[Age]]&lt;=45,"Mid-Age",HR_Data[[#This Row],[Age]]&gt;45,"Senior")</f>
        <v>Senior</v>
      </c>
      <c r="S776" s="1" t="str" cm="1">
        <f t="array" ref="S776">_xlfn.IFS(HR_Data[[#This Row],[Monthly Income]]&lt;5000,"Low", HR_Data[[#This Row],[Monthly Income]]&lt;10000,"Medium",TRUE,"High")</f>
        <v>High</v>
      </c>
      <c r="T776" s="1" t="str" cm="1">
        <f t="array" ref="T776">_xlfn.IFS(HR_Data[[#This Row],[Total Working Years]]&lt;=5,"Junior", HR_Data[[#This Row],[Total Working Years]]&lt;=15,"Mid-Level", TRUE, "Senior")</f>
        <v>Senior</v>
      </c>
    </row>
    <row r="777" spans="1:20" x14ac:dyDescent="0.25">
      <c r="A777" s="1">
        <v>1076</v>
      </c>
      <c r="B777" s="1">
        <v>43</v>
      </c>
      <c r="C777" t="s">
        <v>9</v>
      </c>
      <c r="D777" t="s">
        <v>5</v>
      </c>
      <c r="E777" t="s">
        <v>15</v>
      </c>
      <c r="F777" t="s">
        <v>11</v>
      </c>
      <c r="G777" t="s">
        <v>8</v>
      </c>
      <c r="H777" s="1">
        <v>4</v>
      </c>
      <c r="I777" s="1">
        <v>10798</v>
      </c>
      <c r="J777" t="s">
        <v>9</v>
      </c>
      <c r="K777" s="1">
        <v>13</v>
      </c>
      <c r="L777" s="1">
        <v>3</v>
      </c>
      <c r="M777" s="1">
        <v>18</v>
      </c>
      <c r="N777" s="1">
        <v>3</v>
      </c>
      <c r="O777" s="1">
        <v>1</v>
      </c>
      <c r="P777" s="1">
        <f>COUNTIF(HR_Data[Employee Number],HR_Data[[#This Row],[Employee Number]])</f>
        <v>1</v>
      </c>
      <c r="Q777" s="1" t="str">
        <f>IF(HR_Data[[#This Row],[Years At Company]]&lt;=HR_Data[[#This Row],[Total Working Years]],"Valid","error")</f>
        <v>Valid</v>
      </c>
      <c r="R777" s="1" t="str" cm="1">
        <f t="array" ref="R777">_xlfn.IFS(HR_Data[[#This Row],[Age]]&lt;=30,"Young", HR_Data[[#This Row],[Age]]&lt;=45,"Mid-Age",HR_Data[[#This Row],[Age]]&gt;45,"Senior")</f>
        <v>Mid-Age</v>
      </c>
      <c r="S777" s="1" t="str" cm="1">
        <f t="array" ref="S777">_xlfn.IFS(HR_Data[[#This Row],[Monthly Income]]&lt;5000,"Low", HR_Data[[#This Row],[Monthly Income]]&lt;10000,"Medium",TRUE,"High")</f>
        <v>High</v>
      </c>
      <c r="T777" s="1" t="str" cm="1">
        <f t="array" ref="T777">_xlfn.IFS(HR_Data[[#This Row],[Total Working Years]]&lt;=5,"Junior", HR_Data[[#This Row],[Total Working Years]]&lt;=15,"Mid-Level", TRUE, "Senior")</f>
        <v>Senior</v>
      </c>
    </row>
    <row r="778" spans="1:20" x14ac:dyDescent="0.25">
      <c r="A778" s="1">
        <v>1077</v>
      </c>
      <c r="B778" s="1">
        <v>20</v>
      </c>
      <c r="C778" t="s">
        <v>4</v>
      </c>
      <c r="D778" t="s">
        <v>5</v>
      </c>
      <c r="E778" t="s">
        <v>21</v>
      </c>
      <c r="F778" t="s">
        <v>7</v>
      </c>
      <c r="G778" t="s">
        <v>19</v>
      </c>
      <c r="H778" s="1">
        <v>4</v>
      </c>
      <c r="I778" s="1">
        <v>2323</v>
      </c>
      <c r="J778" t="s">
        <v>4</v>
      </c>
      <c r="K778" s="1">
        <v>14</v>
      </c>
      <c r="L778" s="1">
        <v>3</v>
      </c>
      <c r="M778" s="1">
        <v>2</v>
      </c>
      <c r="N778" s="1">
        <v>3</v>
      </c>
      <c r="O778" s="1">
        <v>2</v>
      </c>
      <c r="P778" s="1">
        <f>COUNTIF(HR_Data[Employee Number],HR_Data[[#This Row],[Employee Number]])</f>
        <v>1</v>
      </c>
      <c r="Q778" s="1" t="str">
        <f>IF(HR_Data[[#This Row],[Years At Company]]&lt;=HR_Data[[#This Row],[Total Working Years]],"Valid","error")</f>
        <v>Valid</v>
      </c>
      <c r="R778" s="1" t="str" cm="1">
        <f t="array" ref="R778">_xlfn.IFS(HR_Data[[#This Row],[Age]]&lt;=30,"Young", HR_Data[[#This Row],[Age]]&lt;=45,"Mid-Age",HR_Data[[#This Row],[Age]]&gt;45,"Senior")</f>
        <v>Young</v>
      </c>
      <c r="S778" s="1" t="str" cm="1">
        <f t="array" ref="S778">_xlfn.IFS(HR_Data[[#This Row],[Monthly Income]]&lt;5000,"Low", HR_Data[[#This Row],[Monthly Income]]&lt;10000,"Medium",TRUE,"High")</f>
        <v>Low</v>
      </c>
      <c r="T778" s="1" t="str" cm="1">
        <f t="array" ref="T778">_xlfn.IFS(HR_Data[[#This Row],[Total Working Years]]&lt;=5,"Junior", HR_Data[[#This Row],[Total Working Years]]&lt;=15,"Mid-Level", TRUE, "Senior")</f>
        <v>Junior</v>
      </c>
    </row>
    <row r="779" spans="1:20" x14ac:dyDescent="0.25">
      <c r="A779" s="1">
        <v>1079</v>
      </c>
      <c r="B779" s="1">
        <v>21</v>
      </c>
      <c r="C779" t="s">
        <v>4</v>
      </c>
      <c r="D779" t="s">
        <v>10</v>
      </c>
      <c r="E779" t="s">
        <v>6</v>
      </c>
      <c r="F779" t="s">
        <v>7</v>
      </c>
      <c r="G779" t="s">
        <v>14</v>
      </c>
      <c r="H779" s="1">
        <v>1</v>
      </c>
      <c r="I779" s="1">
        <v>1416</v>
      </c>
      <c r="J779" t="s">
        <v>9</v>
      </c>
      <c r="K779" s="1">
        <v>13</v>
      </c>
      <c r="L779" s="1">
        <v>3</v>
      </c>
      <c r="M779" s="1">
        <v>1</v>
      </c>
      <c r="N779" s="1">
        <v>2</v>
      </c>
      <c r="O779" s="1">
        <v>1</v>
      </c>
      <c r="P779" s="1">
        <f>COUNTIF(HR_Data[Employee Number],HR_Data[[#This Row],[Employee Number]])</f>
        <v>1</v>
      </c>
      <c r="Q779" s="1" t="str">
        <f>IF(HR_Data[[#This Row],[Years At Company]]&lt;=HR_Data[[#This Row],[Total Working Years]],"Valid","error")</f>
        <v>Valid</v>
      </c>
      <c r="R779" s="1" t="str" cm="1">
        <f t="array" ref="R779">_xlfn.IFS(HR_Data[[#This Row],[Age]]&lt;=30,"Young", HR_Data[[#This Row],[Age]]&lt;=45,"Mid-Age",HR_Data[[#This Row],[Age]]&gt;45,"Senior")</f>
        <v>Young</v>
      </c>
      <c r="S779" s="1" t="str" cm="1">
        <f t="array" ref="S779">_xlfn.IFS(HR_Data[[#This Row],[Monthly Income]]&lt;5000,"Low", HR_Data[[#This Row],[Monthly Income]]&lt;10000,"Medium",TRUE,"High")</f>
        <v>Low</v>
      </c>
      <c r="T779" s="1" t="str" cm="1">
        <f t="array" ref="T779">_xlfn.IFS(HR_Data[[#This Row],[Total Working Years]]&lt;=5,"Junior", HR_Data[[#This Row],[Total Working Years]]&lt;=15,"Mid-Level", TRUE, "Senior")</f>
        <v>Junior</v>
      </c>
    </row>
    <row r="780" spans="1:20" x14ac:dyDescent="0.25">
      <c r="A780" s="1">
        <v>1080</v>
      </c>
      <c r="B780" s="1">
        <v>46</v>
      </c>
      <c r="C780" t="s">
        <v>9</v>
      </c>
      <c r="D780" t="s">
        <v>10</v>
      </c>
      <c r="E780" t="s">
        <v>6</v>
      </c>
      <c r="F780" t="s">
        <v>7</v>
      </c>
      <c r="G780" t="s">
        <v>12</v>
      </c>
      <c r="H780" s="1">
        <v>1</v>
      </c>
      <c r="I780" s="1">
        <v>4615</v>
      </c>
      <c r="J780" t="s">
        <v>4</v>
      </c>
      <c r="K780" s="1">
        <v>23</v>
      </c>
      <c r="L780" s="1">
        <v>4</v>
      </c>
      <c r="M780" s="1">
        <v>19</v>
      </c>
      <c r="N780" s="1">
        <v>3</v>
      </c>
      <c r="O780" s="1">
        <v>16</v>
      </c>
      <c r="P780" s="1">
        <f>COUNTIF(HR_Data[Employee Number],HR_Data[[#This Row],[Employee Number]])</f>
        <v>1</v>
      </c>
      <c r="Q780" s="1" t="str">
        <f>IF(HR_Data[[#This Row],[Years At Company]]&lt;=HR_Data[[#This Row],[Total Working Years]],"Valid","error")</f>
        <v>Valid</v>
      </c>
      <c r="R780" s="1" t="str" cm="1">
        <f t="array" ref="R780">_xlfn.IFS(HR_Data[[#This Row],[Age]]&lt;=30,"Young", HR_Data[[#This Row],[Age]]&lt;=45,"Mid-Age",HR_Data[[#This Row],[Age]]&gt;45,"Senior")</f>
        <v>Senior</v>
      </c>
      <c r="S780" s="1" t="str" cm="1">
        <f t="array" ref="S780">_xlfn.IFS(HR_Data[[#This Row],[Monthly Income]]&lt;5000,"Low", HR_Data[[#This Row],[Monthly Income]]&lt;10000,"Medium",TRUE,"High")</f>
        <v>Low</v>
      </c>
      <c r="T780" s="1" t="str" cm="1">
        <f t="array" ref="T780">_xlfn.IFS(HR_Data[[#This Row],[Total Working Years]]&lt;=5,"Junior", HR_Data[[#This Row],[Total Working Years]]&lt;=15,"Mid-Level", TRUE, "Senior")</f>
        <v>Senior</v>
      </c>
    </row>
    <row r="781" spans="1:20" x14ac:dyDescent="0.25">
      <c r="A781" s="1">
        <v>1081</v>
      </c>
      <c r="B781" s="1">
        <v>51</v>
      </c>
      <c r="C781" t="s">
        <v>4</v>
      </c>
      <c r="D781" t="s">
        <v>10</v>
      </c>
      <c r="E781" t="s">
        <v>6</v>
      </c>
      <c r="F781" t="s">
        <v>11</v>
      </c>
      <c r="G781" t="s">
        <v>12</v>
      </c>
      <c r="H781" s="1">
        <v>3</v>
      </c>
      <c r="I781" s="1">
        <v>2461</v>
      </c>
      <c r="J781" t="s">
        <v>4</v>
      </c>
      <c r="K781" s="1">
        <v>12</v>
      </c>
      <c r="L781" s="1">
        <v>3</v>
      </c>
      <c r="M781" s="1">
        <v>18</v>
      </c>
      <c r="N781" s="1">
        <v>4</v>
      </c>
      <c r="O781" s="1">
        <v>10</v>
      </c>
      <c r="P781" s="1">
        <f>COUNTIF(HR_Data[Employee Number],HR_Data[[#This Row],[Employee Number]])</f>
        <v>1</v>
      </c>
      <c r="Q781" s="1" t="str">
        <f>IF(HR_Data[[#This Row],[Years At Company]]&lt;=HR_Data[[#This Row],[Total Working Years]],"Valid","error")</f>
        <v>Valid</v>
      </c>
      <c r="R781" s="1" t="str" cm="1">
        <f t="array" ref="R781">_xlfn.IFS(HR_Data[[#This Row],[Age]]&lt;=30,"Young", HR_Data[[#This Row],[Age]]&lt;=45,"Mid-Age",HR_Data[[#This Row],[Age]]&gt;45,"Senior")</f>
        <v>Senior</v>
      </c>
      <c r="S781" s="1" t="str" cm="1">
        <f t="array" ref="S781">_xlfn.IFS(HR_Data[[#This Row],[Monthly Income]]&lt;5000,"Low", HR_Data[[#This Row],[Monthly Income]]&lt;10000,"Medium",TRUE,"High")</f>
        <v>Low</v>
      </c>
      <c r="T781" s="1" t="str" cm="1">
        <f t="array" ref="T781">_xlfn.IFS(HR_Data[[#This Row],[Total Working Years]]&lt;=5,"Junior", HR_Data[[#This Row],[Total Working Years]]&lt;=15,"Mid-Level", TRUE, "Senior")</f>
        <v>Senior</v>
      </c>
    </row>
    <row r="782" spans="1:20" x14ac:dyDescent="0.25">
      <c r="A782" s="1">
        <v>1082</v>
      </c>
      <c r="B782" s="1">
        <v>28</v>
      </c>
      <c r="C782" t="s">
        <v>4</v>
      </c>
      <c r="D782" t="s">
        <v>10</v>
      </c>
      <c r="E782" t="s">
        <v>22</v>
      </c>
      <c r="F782" t="s">
        <v>11</v>
      </c>
      <c r="G782" t="s">
        <v>17</v>
      </c>
      <c r="H782" s="1">
        <v>1</v>
      </c>
      <c r="I782" s="1">
        <v>8722</v>
      </c>
      <c r="J782" t="s">
        <v>9</v>
      </c>
      <c r="K782" s="1">
        <v>12</v>
      </c>
      <c r="L782" s="1">
        <v>3</v>
      </c>
      <c r="M782" s="1">
        <v>10</v>
      </c>
      <c r="N782" s="1">
        <v>2</v>
      </c>
      <c r="O782" s="1">
        <v>10</v>
      </c>
      <c r="P782" s="1">
        <f>COUNTIF(HR_Data[Employee Number],HR_Data[[#This Row],[Employee Number]])</f>
        <v>1</v>
      </c>
      <c r="Q782" s="1" t="str">
        <f>IF(HR_Data[[#This Row],[Years At Company]]&lt;=HR_Data[[#This Row],[Total Working Years]],"Valid","error")</f>
        <v>Valid</v>
      </c>
      <c r="R782" s="1" t="str" cm="1">
        <f t="array" ref="R782">_xlfn.IFS(HR_Data[[#This Row],[Age]]&lt;=30,"Young", HR_Data[[#This Row],[Age]]&lt;=45,"Mid-Age",HR_Data[[#This Row],[Age]]&gt;45,"Senior")</f>
        <v>Young</v>
      </c>
      <c r="S782" s="1" t="str" cm="1">
        <f t="array" ref="S782">_xlfn.IFS(HR_Data[[#This Row],[Monthly Income]]&lt;5000,"Low", HR_Data[[#This Row],[Monthly Income]]&lt;10000,"Medium",TRUE,"High")</f>
        <v>Medium</v>
      </c>
      <c r="T782" s="1" t="str" cm="1">
        <f t="array" ref="T782">_xlfn.IFS(HR_Data[[#This Row],[Total Working Years]]&lt;=5,"Junior", HR_Data[[#This Row],[Total Working Years]]&lt;=15,"Mid-Level", TRUE, "Senior")</f>
        <v>Mid-Level</v>
      </c>
    </row>
    <row r="783" spans="1:20" x14ac:dyDescent="0.25">
      <c r="A783" s="1">
        <v>1083</v>
      </c>
      <c r="B783" s="1">
        <v>26</v>
      </c>
      <c r="C783" t="s">
        <v>9</v>
      </c>
      <c r="D783" t="s">
        <v>10</v>
      </c>
      <c r="E783" t="s">
        <v>15</v>
      </c>
      <c r="F783" t="s">
        <v>11</v>
      </c>
      <c r="G783" t="s">
        <v>14</v>
      </c>
      <c r="H783" s="1">
        <v>1</v>
      </c>
      <c r="I783" s="1">
        <v>3955</v>
      </c>
      <c r="J783" t="s">
        <v>9</v>
      </c>
      <c r="K783" s="1">
        <v>16</v>
      </c>
      <c r="L783" s="1">
        <v>3</v>
      </c>
      <c r="M783" s="1">
        <v>6</v>
      </c>
      <c r="N783" s="1">
        <v>3</v>
      </c>
      <c r="O783" s="1">
        <v>5</v>
      </c>
      <c r="P783" s="1">
        <f>COUNTIF(HR_Data[Employee Number],HR_Data[[#This Row],[Employee Number]])</f>
        <v>1</v>
      </c>
      <c r="Q783" s="1" t="str">
        <f>IF(HR_Data[[#This Row],[Years At Company]]&lt;=HR_Data[[#This Row],[Total Working Years]],"Valid","error")</f>
        <v>Valid</v>
      </c>
      <c r="R783" s="1" t="str" cm="1">
        <f t="array" ref="R783">_xlfn.IFS(HR_Data[[#This Row],[Age]]&lt;=30,"Young", HR_Data[[#This Row],[Age]]&lt;=45,"Mid-Age",HR_Data[[#This Row],[Age]]&gt;45,"Senior")</f>
        <v>Young</v>
      </c>
      <c r="S783" s="1" t="str" cm="1">
        <f t="array" ref="S783">_xlfn.IFS(HR_Data[[#This Row],[Monthly Income]]&lt;5000,"Low", HR_Data[[#This Row],[Monthly Income]]&lt;10000,"Medium",TRUE,"High")</f>
        <v>Low</v>
      </c>
      <c r="T783" s="1" t="str" cm="1">
        <f t="array" ref="T783">_xlfn.IFS(HR_Data[[#This Row],[Total Working Years]]&lt;=5,"Junior", HR_Data[[#This Row],[Total Working Years]]&lt;=15,"Mid-Level", TRUE, "Senior")</f>
        <v>Mid-Level</v>
      </c>
    </row>
    <row r="784" spans="1:20" x14ac:dyDescent="0.25">
      <c r="A784" s="1">
        <v>1084</v>
      </c>
      <c r="B784" s="1">
        <v>30</v>
      </c>
      <c r="C784" t="s">
        <v>9</v>
      </c>
      <c r="D784" t="s">
        <v>10</v>
      </c>
      <c r="E784" t="s">
        <v>13</v>
      </c>
      <c r="F784" t="s">
        <v>11</v>
      </c>
      <c r="G784" t="s">
        <v>16</v>
      </c>
      <c r="H784" s="1">
        <v>1</v>
      </c>
      <c r="I784" s="1">
        <v>9957</v>
      </c>
      <c r="J784" t="s">
        <v>9</v>
      </c>
      <c r="K784" s="1">
        <v>15</v>
      </c>
      <c r="L784" s="1">
        <v>3</v>
      </c>
      <c r="M784" s="1">
        <v>7</v>
      </c>
      <c r="N784" s="1">
        <v>2</v>
      </c>
      <c r="O784" s="1">
        <v>6</v>
      </c>
      <c r="P784" s="1">
        <f>COUNTIF(HR_Data[Employee Number],HR_Data[[#This Row],[Employee Number]])</f>
        <v>1</v>
      </c>
      <c r="Q784" s="1" t="str">
        <f>IF(HR_Data[[#This Row],[Years At Company]]&lt;=HR_Data[[#This Row],[Total Working Years]],"Valid","error")</f>
        <v>Valid</v>
      </c>
      <c r="R784" s="1" t="str" cm="1">
        <f t="array" ref="R784">_xlfn.IFS(HR_Data[[#This Row],[Age]]&lt;=30,"Young", HR_Data[[#This Row],[Age]]&lt;=45,"Mid-Age",HR_Data[[#This Row],[Age]]&gt;45,"Senior")</f>
        <v>Young</v>
      </c>
      <c r="S784" s="1" t="str" cm="1">
        <f t="array" ref="S784">_xlfn.IFS(HR_Data[[#This Row],[Monthly Income]]&lt;5000,"Low", HR_Data[[#This Row],[Monthly Income]]&lt;10000,"Medium",TRUE,"High")</f>
        <v>Medium</v>
      </c>
      <c r="T784" s="1" t="str" cm="1">
        <f t="array" ref="T784">_xlfn.IFS(HR_Data[[#This Row],[Total Working Years]]&lt;=5,"Junior", HR_Data[[#This Row],[Total Working Years]]&lt;=15,"Mid-Level", TRUE, "Senior")</f>
        <v>Mid-Level</v>
      </c>
    </row>
    <row r="785" spans="1:20" x14ac:dyDescent="0.25">
      <c r="A785" s="1">
        <v>1085</v>
      </c>
      <c r="B785" s="1">
        <v>41</v>
      </c>
      <c r="C785" t="s">
        <v>9</v>
      </c>
      <c r="D785" t="s">
        <v>10</v>
      </c>
      <c r="E785" t="s">
        <v>22</v>
      </c>
      <c r="F785" t="s">
        <v>7</v>
      </c>
      <c r="G785" t="s">
        <v>12</v>
      </c>
      <c r="H785" s="1">
        <v>3</v>
      </c>
      <c r="I785" s="1">
        <v>3376</v>
      </c>
      <c r="J785" t="s">
        <v>9</v>
      </c>
      <c r="K785" s="1">
        <v>13</v>
      </c>
      <c r="L785" s="1">
        <v>3</v>
      </c>
      <c r="M785" s="1">
        <v>10</v>
      </c>
      <c r="N785" s="1">
        <v>3</v>
      </c>
      <c r="O785" s="1">
        <v>10</v>
      </c>
      <c r="P785" s="1">
        <f>COUNTIF(HR_Data[Employee Number],HR_Data[[#This Row],[Employee Number]])</f>
        <v>1</v>
      </c>
      <c r="Q785" s="1" t="str">
        <f>IF(HR_Data[[#This Row],[Years At Company]]&lt;=HR_Data[[#This Row],[Total Working Years]],"Valid","error")</f>
        <v>Valid</v>
      </c>
      <c r="R785" s="1" t="str" cm="1">
        <f t="array" ref="R785">_xlfn.IFS(HR_Data[[#This Row],[Age]]&lt;=30,"Young", HR_Data[[#This Row],[Age]]&lt;=45,"Mid-Age",HR_Data[[#This Row],[Age]]&gt;45,"Senior")</f>
        <v>Mid-Age</v>
      </c>
      <c r="S785" s="1" t="str" cm="1">
        <f t="array" ref="S785">_xlfn.IFS(HR_Data[[#This Row],[Monthly Income]]&lt;5000,"Low", HR_Data[[#This Row],[Monthly Income]]&lt;10000,"Medium",TRUE,"High")</f>
        <v>Low</v>
      </c>
      <c r="T785" s="1" t="str" cm="1">
        <f t="array" ref="T785">_xlfn.IFS(HR_Data[[#This Row],[Total Working Years]]&lt;=5,"Junior", HR_Data[[#This Row],[Total Working Years]]&lt;=15,"Mid-Level", TRUE, "Senior")</f>
        <v>Mid-Level</v>
      </c>
    </row>
    <row r="786" spans="1:20" x14ac:dyDescent="0.25">
      <c r="A786" s="1">
        <v>1088</v>
      </c>
      <c r="B786" s="1">
        <v>38</v>
      </c>
      <c r="C786" t="s">
        <v>9</v>
      </c>
      <c r="D786" t="s">
        <v>10</v>
      </c>
      <c r="E786" t="s">
        <v>6</v>
      </c>
      <c r="F786" t="s">
        <v>7</v>
      </c>
      <c r="G786" t="s">
        <v>17</v>
      </c>
      <c r="H786" s="1">
        <v>3</v>
      </c>
      <c r="I786" s="1">
        <v>8823</v>
      </c>
      <c r="J786" t="s">
        <v>9</v>
      </c>
      <c r="K786" s="1">
        <v>18</v>
      </c>
      <c r="L786" s="1">
        <v>3</v>
      </c>
      <c r="M786" s="1">
        <v>20</v>
      </c>
      <c r="N786" s="1">
        <v>2</v>
      </c>
      <c r="O786" s="1">
        <v>19</v>
      </c>
      <c r="P786" s="1">
        <f>COUNTIF(HR_Data[Employee Number],HR_Data[[#This Row],[Employee Number]])</f>
        <v>1</v>
      </c>
      <c r="Q786" s="1" t="str">
        <f>IF(HR_Data[[#This Row],[Years At Company]]&lt;=HR_Data[[#This Row],[Total Working Years]],"Valid","error")</f>
        <v>Valid</v>
      </c>
      <c r="R786" s="1" t="str" cm="1">
        <f t="array" ref="R786">_xlfn.IFS(HR_Data[[#This Row],[Age]]&lt;=30,"Young", HR_Data[[#This Row],[Age]]&lt;=45,"Mid-Age",HR_Data[[#This Row],[Age]]&gt;45,"Senior")</f>
        <v>Mid-Age</v>
      </c>
      <c r="S786" s="1" t="str" cm="1">
        <f t="array" ref="S786">_xlfn.IFS(HR_Data[[#This Row],[Monthly Income]]&lt;5000,"Low", HR_Data[[#This Row],[Monthly Income]]&lt;10000,"Medium",TRUE,"High")</f>
        <v>Medium</v>
      </c>
      <c r="T786" s="1" t="str" cm="1">
        <f t="array" ref="T786">_xlfn.IFS(HR_Data[[#This Row],[Total Working Years]]&lt;=5,"Junior", HR_Data[[#This Row],[Total Working Years]]&lt;=15,"Mid-Level", TRUE, "Senior")</f>
        <v>Senior</v>
      </c>
    </row>
    <row r="787" spans="1:20" x14ac:dyDescent="0.25">
      <c r="A787" s="1">
        <v>1092</v>
      </c>
      <c r="B787" s="1">
        <v>40</v>
      </c>
      <c r="C787" t="s">
        <v>9</v>
      </c>
      <c r="D787" t="s">
        <v>10</v>
      </c>
      <c r="E787" t="s">
        <v>22</v>
      </c>
      <c r="F787" t="s">
        <v>11</v>
      </c>
      <c r="G787" t="s">
        <v>17</v>
      </c>
      <c r="H787" s="1">
        <v>4</v>
      </c>
      <c r="I787" s="1">
        <v>10322</v>
      </c>
      <c r="J787" t="s">
        <v>9</v>
      </c>
      <c r="K787" s="1">
        <v>20</v>
      </c>
      <c r="L787" s="1">
        <v>4</v>
      </c>
      <c r="M787" s="1">
        <v>14</v>
      </c>
      <c r="N787" s="1">
        <v>3</v>
      </c>
      <c r="O787" s="1">
        <v>11</v>
      </c>
      <c r="P787" s="1">
        <f>COUNTIF(HR_Data[Employee Number],HR_Data[[#This Row],[Employee Number]])</f>
        <v>1</v>
      </c>
      <c r="Q787" s="1" t="str">
        <f>IF(HR_Data[[#This Row],[Years At Company]]&lt;=HR_Data[[#This Row],[Total Working Years]],"Valid","error")</f>
        <v>Valid</v>
      </c>
      <c r="R787" s="1" t="str" cm="1">
        <f t="array" ref="R787">_xlfn.IFS(HR_Data[[#This Row],[Age]]&lt;=30,"Young", HR_Data[[#This Row],[Age]]&lt;=45,"Mid-Age",HR_Data[[#This Row],[Age]]&gt;45,"Senior")</f>
        <v>Mid-Age</v>
      </c>
      <c r="S787" s="1" t="str" cm="1">
        <f t="array" ref="S787">_xlfn.IFS(HR_Data[[#This Row],[Monthly Income]]&lt;5000,"Low", HR_Data[[#This Row],[Monthly Income]]&lt;10000,"Medium",TRUE,"High")</f>
        <v>High</v>
      </c>
      <c r="T787" s="1" t="str" cm="1">
        <f t="array" ref="T787">_xlfn.IFS(HR_Data[[#This Row],[Total Working Years]]&lt;=5,"Junior", HR_Data[[#This Row],[Total Working Years]]&lt;=15,"Mid-Level", TRUE, "Senior")</f>
        <v>Mid-Level</v>
      </c>
    </row>
    <row r="788" spans="1:20" x14ac:dyDescent="0.25">
      <c r="A788" s="1">
        <v>1094</v>
      </c>
      <c r="B788" s="1">
        <v>27</v>
      </c>
      <c r="C788" t="s">
        <v>9</v>
      </c>
      <c r="D788" t="s">
        <v>10</v>
      </c>
      <c r="E788" t="s">
        <v>6</v>
      </c>
      <c r="F788" t="s">
        <v>11</v>
      </c>
      <c r="G788" t="s">
        <v>14</v>
      </c>
      <c r="H788" s="1">
        <v>3</v>
      </c>
      <c r="I788" s="1">
        <v>4621</v>
      </c>
      <c r="J788" t="s">
        <v>9</v>
      </c>
      <c r="K788" s="1">
        <v>19</v>
      </c>
      <c r="L788" s="1">
        <v>3</v>
      </c>
      <c r="M788" s="1">
        <v>3</v>
      </c>
      <c r="N788" s="1">
        <v>3</v>
      </c>
      <c r="O788" s="1">
        <v>3</v>
      </c>
      <c r="P788" s="1">
        <f>COUNTIF(HR_Data[Employee Number],HR_Data[[#This Row],[Employee Number]])</f>
        <v>1</v>
      </c>
      <c r="Q788" s="1" t="str">
        <f>IF(HR_Data[[#This Row],[Years At Company]]&lt;=HR_Data[[#This Row],[Total Working Years]],"Valid","error")</f>
        <v>Valid</v>
      </c>
      <c r="R788" s="1" t="str" cm="1">
        <f t="array" ref="R788">_xlfn.IFS(HR_Data[[#This Row],[Age]]&lt;=30,"Young", HR_Data[[#This Row],[Age]]&lt;=45,"Mid-Age",HR_Data[[#This Row],[Age]]&gt;45,"Senior")</f>
        <v>Young</v>
      </c>
      <c r="S788" s="1" t="str" cm="1">
        <f t="array" ref="S788">_xlfn.IFS(HR_Data[[#This Row],[Monthly Income]]&lt;5000,"Low", HR_Data[[#This Row],[Monthly Income]]&lt;10000,"Medium",TRUE,"High")</f>
        <v>Low</v>
      </c>
      <c r="T788" s="1" t="str" cm="1">
        <f t="array" ref="T788">_xlfn.IFS(HR_Data[[#This Row],[Total Working Years]]&lt;=5,"Junior", HR_Data[[#This Row],[Total Working Years]]&lt;=15,"Mid-Level", TRUE, "Senior")</f>
        <v>Junior</v>
      </c>
    </row>
    <row r="789" spans="1:20" x14ac:dyDescent="0.25">
      <c r="A789" s="1">
        <v>1096</v>
      </c>
      <c r="B789" s="1">
        <v>55</v>
      </c>
      <c r="C789" t="s">
        <v>9</v>
      </c>
      <c r="D789" t="s">
        <v>10</v>
      </c>
      <c r="E789" t="s">
        <v>6</v>
      </c>
      <c r="F789" t="s">
        <v>11</v>
      </c>
      <c r="G789" t="s">
        <v>16</v>
      </c>
      <c r="H789" s="1">
        <v>2</v>
      </c>
      <c r="I789" s="1">
        <v>10976</v>
      </c>
      <c r="J789" t="s">
        <v>9</v>
      </c>
      <c r="K789" s="1">
        <v>18</v>
      </c>
      <c r="L789" s="1">
        <v>3</v>
      </c>
      <c r="M789" s="1">
        <v>23</v>
      </c>
      <c r="N789" s="1">
        <v>3</v>
      </c>
      <c r="O789" s="1">
        <v>3</v>
      </c>
      <c r="P789" s="1">
        <f>COUNTIF(HR_Data[Employee Number],HR_Data[[#This Row],[Employee Number]])</f>
        <v>1</v>
      </c>
      <c r="Q789" s="1" t="str">
        <f>IF(HR_Data[[#This Row],[Years At Company]]&lt;=HR_Data[[#This Row],[Total Working Years]],"Valid","error")</f>
        <v>Valid</v>
      </c>
      <c r="R789" s="1" t="str" cm="1">
        <f t="array" ref="R789">_xlfn.IFS(HR_Data[[#This Row],[Age]]&lt;=30,"Young", HR_Data[[#This Row],[Age]]&lt;=45,"Mid-Age",HR_Data[[#This Row],[Age]]&gt;45,"Senior")</f>
        <v>Senior</v>
      </c>
      <c r="S789" s="1" t="str" cm="1">
        <f t="array" ref="S789">_xlfn.IFS(HR_Data[[#This Row],[Monthly Income]]&lt;5000,"Low", HR_Data[[#This Row],[Monthly Income]]&lt;10000,"Medium",TRUE,"High")</f>
        <v>High</v>
      </c>
      <c r="T789" s="1" t="str" cm="1">
        <f t="array" ref="T789">_xlfn.IFS(HR_Data[[#This Row],[Total Working Years]]&lt;=5,"Junior", HR_Data[[#This Row],[Total Working Years]]&lt;=15,"Mid-Level", TRUE, "Senior")</f>
        <v>Senior</v>
      </c>
    </row>
    <row r="790" spans="1:20" x14ac:dyDescent="0.25">
      <c r="A790" s="1">
        <v>1097</v>
      </c>
      <c r="B790" s="1">
        <v>28</v>
      </c>
      <c r="C790" t="s">
        <v>9</v>
      </c>
      <c r="D790" t="s">
        <v>10</v>
      </c>
      <c r="E790" t="s">
        <v>13</v>
      </c>
      <c r="F790" t="s">
        <v>7</v>
      </c>
      <c r="G790" t="s">
        <v>12</v>
      </c>
      <c r="H790" s="1">
        <v>3</v>
      </c>
      <c r="I790" s="1">
        <v>3660</v>
      </c>
      <c r="J790" t="s">
        <v>9</v>
      </c>
      <c r="K790" s="1">
        <v>13</v>
      </c>
      <c r="L790" s="1">
        <v>3</v>
      </c>
      <c r="M790" s="1">
        <v>10</v>
      </c>
      <c r="N790" s="1">
        <v>4</v>
      </c>
      <c r="O790" s="1">
        <v>8</v>
      </c>
      <c r="P790" s="1">
        <f>COUNTIF(HR_Data[Employee Number],HR_Data[[#This Row],[Employee Number]])</f>
        <v>1</v>
      </c>
      <c r="Q790" s="1" t="str">
        <f>IF(HR_Data[[#This Row],[Years At Company]]&lt;=HR_Data[[#This Row],[Total Working Years]],"Valid","error")</f>
        <v>Valid</v>
      </c>
      <c r="R790" s="1" t="str" cm="1">
        <f t="array" ref="R790">_xlfn.IFS(HR_Data[[#This Row],[Age]]&lt;=30,"Young", HR_Data[[#This Row],[Age]]&lt;=45,"Mid-Age",HR_Data[[#This Row],[Age]]&gt;45,"Senior")</f>
        <v>Young</v>
      </c>
      <c r="S790" s="1" t="str" cm="1">
        <f t="array" ref="S790">_xlfn.IFS(HR_Data[[#This Row],[Monthly Income]]&lt;5000,"Low", HR_Data[[#This Row],[Monthly Income]]&lt;10000,"Medium",TRUE,"High")</f>
        <v>Low</v>
      </c>
      <c r="T790" s="1" t="str" cm="1">
        <f t="array" ref="T790">_xlfn.IFS(HR_Data[[#This Row],[Total Working Years]]&lt;=5,"Junior", HR_Data[[#This Row],[Total Working Years]]&lt;=15,"Mid-Level", TRUE, "Senior")</f>
        <v>Mid-Level</v>
      </c>
    </row>
    <row r="791" spans="1:20" x14ac:dyDescent="0.25">
      <c r="A791" s="1">
        <v>1098</v>
      </c>
      <c r="B791" s="1">
        <v>44</v>
      </c>
      <c r="C791" t="s">
        <v>4</v>
      </c>
      <c r="D791" t="s">
        <v>23</v>
      </c>
      <c r="E791" t="s">
        <v>15</v>
      </c>
      <c r="F791" t="s">
        <v>11</v>
      </c>
      <c r="G791" t="s">
        <v>23</v>
      </c>
      <c r="H791" s="1">
        <v>1</v>
      </c>
      <c r="I791" s="1">
        <v>10482</v>
      </c>
      <c r="J791" t="s">
        <v>9</v>
      </c>
      <c r="K791" s="1">
        <v>14</v>
      </c>
      <c r="L791" s="1">
        <v>3</v>
      </c>
      <c r="M791" s="1">
        <v>24</v>
      </c>
      <c r="N791" s="1">
        <v>3</v>
      </c>
      <c r="O791" s="1">
        <v>20</v>
      </c>
      <c r="P791" s="1">
        <f>COUNTIF(HR_Data[Employee Number],HR_Data[[#This Row],[Employee Number]])</f>
        <v>1</v>
      </c>
      <c r="Q791" s="1" t="str">
        <f>IF(HR_Data[[#This Row],[Years At Company]]&lt;=HR_Data[[#This Row],[Total Working Years]],"Valid","error")</f>
        <v>Valid</v>
      </c>
      <c r="R791" s="1" t="str" cm="1">
        <f t="array" ref="R791">_xlfn.IFS(HR_Data[[#This Row],[Age]]&lt;=30,"Young", HR_Data[[#This Row],[Age]]&lt;=45,"Mid-Age",HR_Data[[#This Row],[Age]]&gt;45,"Senior")</f>
        <v>Mid-Age</v>
      </c>
      <c r="S791" s="1" t="str" cm="1">
        <f t="array" ref="S791">_xlfn.IFS(HR_Data[[#This Row],[Monthly Income]]&lt;5000,"Low", HR_Data[[#This Row],[Monthly Income]]&lt;10000,"Medium",TRUE,"High")</f>
        <v>High</v>
      </c>
      <c r="T791" s="1" t="str" cm="1">
        <f t="array" ref="T791">_xlfn.IFS(HR_Data[[#This Row],[Total Working Years]]&lt;=5,"Junior", HR_Data[[#This Row],[Total Working Years]]&lt;=15,"Mid-Level", TRUE, "Senior")</f>
        <v>Senior</v>
      </c>
    </row>
    <row r="792" spans="1:20" x14ac:dyDescent="0.25">
      <c r="A792" s="1">
        <v>1099</v>
      </c>
      <c r="B792" s="1">
        <v>33</v>
      </c>
      <c r="C792" t="s">
        <v>9</v>
      </c>
      <c r="D792" t="s">
        <v>10</v>
      </c>
      <c r="E792" t="s">
        <v>6</v>
      </c>
      <c r="F792" t="s">
        <v>11</v>
      </c>
      <c r="G792" t="s">
        <v>17</v>
      </c>
      <c r="H792" s="1">
        <v>4</v>
      </c>
      <c r="I792" s="1">
        <v>7119</v>
      </c>
      <c r="J792" t="s">
        <v>9</v>
      </c>
      <c r="K792" s="1">
        <v>15</v>
      </c>
      <c r="L792" s="1">
        <v>3</v>
      </c>
      <c r="M792" s="1">
        <v>9</v>
      </c>
      <c r="N792" s="1">
        <v>3</v>
      </c>
      <c r="O792" s="1">
        <v>3</v>
      </c>
      <c r="P792" s="1">
        <f>COUNTIF(HR_Data[Employee Number],HR_Data[[#This Row],[Employee Number]])</f>
        <v>1</v>
      </c>
      <c r="Q792" s="1" t="str">
        <f>IF(HR_Data[[#This Row],[Years At Company]]&lt;=HR_Data[[#This Row],[Total Working Years]],"Valid","error")</f>
        <v>Valid</v>
      </c>
      <c r="R792" s="1" t="str" cm="1">
        <f t="array" ref="R792">_xlfn.IFS(HR_Data[[#This Row],[Age]]&lt;=30,"Young", HR_Data[[#This Row],[Age]]&lt;=45,"Mid-Age",HR_Data[[#This Row],[Age]]&gt;45,"Senior")</f>
        <v>Mid-Age</v>
      </c>
      <c r="S792" s="1" t="str" cm="1">
        <f t="array" ref="S792">_xlfn.IFS(HR_Data[[#This Row],[Monthly Income]]&lt;5000,"Low", HR_Data[[#This Row],[Monthly Income]]&lt;10000,"Medium",TRUE,"High")</f>
        <v>Medium</v>
      </c>
      <c r="T792" s="1" t="str" cm="1">
        <f t="array" ref="T792">_xlfn.IFS(HR_Data[[#This Row],[Total Working Years]]&lt;=5,"Junior", HR_Data[[#This Row],[Total Working Years]]&lt;=15,"Mid-Level", TRUE, "Senior")</f>
        <v>Mid-Level</v>
      </c>
    </row>
    <row r="793" spans="1:20" x14ac:dyDescent="0.25">
      <c r="A793" s="1">
        <v>1100</v>
      </c>
      <c r="B793" s="1">
        <v>35</v>
      </c>
      <c r="C793" t="s">
        <v>4</v>
      </c>
      <c r="D793" t="s">
        <v>5</v>
      </c>
      <c r="E793" t="s">
        <v>22</v>
      </c>
      <c r="F793" t="s">
        <v>11</v>
      </c>
      <c r="G793" t="s">
        <v>8</v>
      </c>
      <c r="H793" s="1">
        <v>1</v>
      </c>
      <c r="I793" s="1">
        <v>9582</v>
      </c>
      <c r="J793" t="s">
        <v>4</v>
      </c>
      <c r="K793" s="1">
        <v>22</v>
      </c>
      <c r="L793" s="1">
        <v>4</v>
      </c>
      <c r="M793" s="1">
        <v>9</v>
      </c>
      <c r="N793" s="1">
        <v>3</v>
      </c>
      <c r="O793" s="1">
        <v>8</v>
      </c>
      <c r="P793" s="1">
        <f>COUNTIF(HR_Data[Employee Number],HR_Data[[#This Row],[Employee Number]])</f>
        <v>1</v>
      </c>
      <c r="Q793" s="1" t="str">
        <f>IF(HR_Data[[#This Row],[Years At Company]]&lt;=HR_Data[[#This Row],[Total Working Years]],"Valid","error")</f>
        <v>Valid</v>
      </c>
      <c r="R793" s="1" t="str" cm="1">
        <f t="array" ref="R793">_xlfn.IFS(HR_Data[[#This Row],[Age]]&lt;=30,"Young", HR_Data[[#This Row],[Age]]&lt;=45,"Mid-Age",HR_Data[[#This Row],[Age]]&gt;45,"Senior")</f>
        <v>Mid-Age</v>
      </c>
      <c r="S793" s="1" t="str" cm="1">
        <f t="array" ref="S793">_xlfn.IFS(HR_Data[[#This Row],[Monthly Income]]&lt;5000,"Low", HR_Data[[#This Row],[Monthly Income]]&lt;10000,"Medium",TRUE,"High")</f>
        <v>Medium</v>
      </c>
      <c r="T793" s="1" t="str" cm="1">
        <f t="array" ref="T793">_xlfn.IFS(HR_Data[[#This Row],[Total Working Years]]&lt;=5,"Junior", HR_Data[[#This Row],[Total Working Years]]&lt;=15,"Mid-Level", TRUE, "Senior")</f>
        <v>Mid-Level</v>
      </c>
    </row>
    <row r="794" spans="1:20" x14ac:dyDescent="0.25">
      <c r="A794" s="1">
        <v>1101</v>
      </c>
      <c r="B794" s="1">
        <v>33</v>
      </c>
      <c r="C794" t="s">
        <v>4</v>
      </c>
      <c r="D794" t="s">
        <v>10</v>
      </c>
      <c r="E794" t="s">
        <v>15</v>
      </c>
      <c r="F794" t="s">
        <v>7</v>
      </c>
      <c r="G794" t="s">
        <v>12</v>
      </c>
      <c r="H794" s="1">
        <v>3</v>
      </c>
      <c r="I794" s="1">
        <v>4508</v>
      </c>
      <c r="J794" t="s">
        <v>9</v>
      </c>
      <c r="K794" s="1">
        <v>22</v>
      </c>
      <c r="L794" s="1">
        <v>4</v>
      </c>
      <c r="M794" s="1">
        <v>14</v>
      </c>
      <c r="N794" s="1">
        <v>3</v>
      </c>
      <c r="O794" s="1">
        <v>13</v>
      </c>
      <c r="P794" s="1">
        <f>COUNTIF(HR_Data[Employee Number],HR_Data[[#This Row],[Employee Number]])</f>
        <v>1</v>
      </c>
      <c r="Q794" s="1" t="str">
        <f>IF(HR_Data[[#This Row],[Years At Company]]&lt;=HR_Data[[#This Row],[Total Working Years]],"Valid","error")</f>
        <v>Valid</v>
      </c>
      <c r="R794" s="1" t="str" cm="1">
        <f t="array" ref="R794">_xlfn.IFS(HR_Data[[#This Row],[Age]]&lt;=30,"Young", HR_Data[[#This Row],[Age]]&lt;=45,"Mid-Age",HR_Data[[#This Row],[Age]]&gt;45,"Senior")</f>
        <v>Mid-Age</v>
      </c>
      <c r="S794" s="1" t="str" cm="1">
        <f t="array" ref="S794">_xlfn.IFS(HR_Data[[#This Row],[Monthly Income]]&lt;5000,"Low", HR_Data[[#This Row],[Monthly Income]]&lt;10000,"Medium",TRUE,"High")</f>
        <v>Low</v>
      </c>
      <c r="T794" s="1" t="str" cm="1">
        <f t="array" ref="T794">_xlfn.IFS(HR_Data[[#This Row],[Total Working Years]]&lt;=5,"Junior", HR_Data[[#This Row],[Total Working Years]]&lt;=15,"Mid-Level", TRUE, "Senior")</f>
        <v>Mid-Level</v>
      </c>
    </row>
    <row r="795" spans="1:20" x14ac:dyDescent="0.25">
      <c r="A795" s="1">
        <v>1102</v>
      </c>
      <c r="B795" s="1">
        <v>28</v>
      </c>
      <c r="C795" t="s">
        <v>9</v>
      </c>
      <c r="D795" t="s">
        <v>10</v>
      </c>
      <c r="E795" t="s">
        <v>6</v>
      </c>
      <c r="F795" t="s">
        <v>11</v>
      </c>
      <c r="G795" t="s">
        <v>14</v>
      </c>
      <c r="H795" s="1">
        <v>3</v>
      </c>
      <c r="I795" s="1">
        <v>2207</v>
      </c>
      <c r="J795" t="s">
        <v>9</v>
      </c>
      <c r="K795" s="1">
        <v>16</v>
      </c>
      <c r="L795" s="1">
        <v>3</v>
      </c>
      <c r="M795" s="1">
        <v>4</v>
      </c>
      <c r="N795" s="1">
        <v>2</v>
      </c>
      <c r="O795" s="1">
        <v>4</v>
      </c>
      <c r="P795" s="1">
        <f>COUNTIF(HR_Data[Employee Number],HR_Data[[#This Row],[Employee Number]])</f>
        <v>1</v>
      </c>
      <c r="Q795" s="1" t="str">
        <f>IF(HR_Data[[#This Row],[Years At Company]]&lt;=HR_Data[[#This Row],[Total Working Years]],"Valid","error")</f>
        <v>Valid</v>
      </c>
      <c r="R795" s="1" t="str" cm="1">
        <f t="array" ref="R795">_xlfn.IFS(HR_Data[[#This Row],[Age]]&lt;=30,"Young", HR_Data[[#This Row],[Age]]&lt;=45,"Mid-Age",HR_Data[[#This Row],[Age]]&gt;45,"Senior")</f>
        <v>Young</v>
      </c>
      <c r="S795" s="1" t="str" cm="1">
        <f t="array" ref="S795">_xlfn.IFS(HR_Data[[#This Row],[Monthly Income]]&lt;5000,"Low", HR_Data[[#This Row],[Monthly Income]]&lt;10000,"Medium",TRUE,"High")</f>
        <v>Low</v>
      </c>
      <c r="T795" s="1" t="str" cm="1">
        <f t="array" ref="T795">_xlfn.IFS(HR_Data[[#This Row],[Total Working Years]]&lt;=5,"Junior", HR_Data[[#This Row],[Total Working Years]]&lt;=15,"Mid-Level", TRUE, "Senior")</f>
        <v>Junior</v>
      </c>
    </row>
    <row r="796" spans="1:20" x14ac:dyDescent="0.25">
      <c r="A796" s="1">
        <v>1103</v>
      </c>
      <c r="B796" s="1">
        <v>34</v>
      </c>
      <c r="C796" t="s">
        <v>9</v>
      </c>
      <c r="D796" t="s">
        <v>10</v>
      </c>
      <c r="E796" t="s">
        <v>6</v>
      </c>
      <c r="F796" t="s">
        <v>11</v>
      </c>
      <c r="G796" t="s">
        <v>17</v>
      </c>
      <c r="H796" s="1">
        <v>4</v>
      </c>
      <c r="I796" s="1">
        <v>7756</v>
      </c>
      <c r="J796" t="s">
        <v>9</v>
      </c>
      <c r="K796" s="1">
        <v>17</v>
      </c>
      <c r="L796" s="1">
        <v>3</v>
      </c>
      <c r="M796" s="1">
        <v>7</v>
      </c>
      <c r="N796" s="1">
        <v>2</v>
      </c>
      <c r="O796" s="1">
        <v>6</v>
      </c>
      <c r="P796" s="1">
        <f>COUNTIF(HR_Data[Employee Number],HR_Data[[#This Row],[Employee Number]])</f>
        <v>1</v>
      </c>
      <c r="Q796" s="1" t="str">
        <f>IF(HR_Data[[#This Row],[Years At Company]]&lt;=HR_Data[[#This Row],[Total Working Years]],"Valid","error")</f>
        <v>Valid</v>
      </c>
      <c r="R796" s="1" t="str" cm="1">
        <f t="array" ref="R796">_xlfn.IFS(HR_Data[[#This Row],[Age]]&lt;=30,"Young", HR_Data[[#This Row],[Age]]&lt;=45,"Mid-Age",HR_Data[[#This Row],[Age]]&gt;45,"Senior")</f>
        <v>Mid-Age</v>
      </c>
      <c r="S796" s="1" t="str" cm="1">
        <f t="array" ref="S796">_xlfn.IFS(HR_Data[[#This Row],[Monthly Income]]&lt;5000,"Low", HR_Data[[#This Row],[Monthly Income]]&lt;10000,"Medium",TRUE,"High")</f>
        <v>Medium</v>
      </c>
      <c r="T796" s="1" t="str" cm="1">
        <f t="array" ref="T796">_xlfn.IFS(HR_Data[[#This Row],[Total Working Years]]&lt;=5,"Junior", HR_Data[[#This Row],[Total Working Years]]&lt;=15,"Mid-Level", TRUE, "Senior")</f>
        <v>Mid-Level</v>
      </c>
    </row>
    <row r="797" spans="1:20" x14ac:dyDescent="0.25">
      <c r="A797" s="1">
        <v>1105</v>
      </c>
      <c r="B797" s="1">
        <v>37</v>
      </c>
      <c r="C797" t="s">
        <v>9</v>
      </c>
      <c r="D797" t="s">
        <v>5</v>
      </c>
      <c r="E797" t="s">
        <v>6</v>
      </c>
      <c r="F797" t="s">
        <v>7</v>
      </c>
      <c r="G797" t="s">
        <v>8</v>
      </c>
      <c r="H797" s="1">
        <v>4</v>
      </c>
      <c r="I797" s="1">
        <v>6694</v>
      </c>
      <c r="J797" t="s">
        <v>4</v>
      </c>
      <c r="K797" s="1">
        <v>14</v>
      </c>
      <c r="L797" s="1">
        <v>3</v>
      </c>
      <c r="M797" s="1">
        <v>8</v>
      </c>
      <c r="N797" s="1">
        <v>3</v>
      </c>
      <c r="O797" s="1">
        <v>1</v>
      </c>
      <c r="P797" s="1">
        <f>COUNTIF(HR_Data[Employee Number],HR_Data[[#This Row],[Employee Number]])</f>
        <v>1</v>
      </c>
      <c r="Q797" s="1" t="str">
        <f>IF(HR_Data[[#This Row],[Years At Company]]&lt;=HR_Data[[#This Row],[Total Working Years]],"Valid","error")</f>
        <v>Valid</v>
      </c>
      <c r="R797" s="1" t="str" cm="1">
        <f t="array" ref="R797">_xlfn.IFS(HR_Data[[#This Row],[Age]]&lt;=30,"Young", HR_Data[[#This Row],[Age]]&lt;=45,"Mid-Age",HR_Data[[#This Row],[Age]]&gt;45,"Senior")</f>
        <v>Mid-Age</v>
      </c>
      <c r="S797" s="1" t="str" cm="1">
        <f t="array" ref="S797">_xlfn.IFS(HR_Data[[#This Row],[Monthly Income]]&lt;5000,"Low", HR_Data[[#This Row],[Monthly Income]]&lt;10000,"Medium",TRUE,"High")</f>
        <v>Medium</v>
      </c>
      <c r="T797" s="1" t="str" cm="1">
        <f t="array" ref="T797">_xlfn.IFS(HR_Data[[#This Row],[Total Working Years]]&lt;=5,"Junior", HR_Data[[#This Row],[Total Working Years]]&lt;=15,"Mid-Level", TRUE, "Senior")</f>
        <v>Mid-Level</v>
      </c>
    </row>
    <row r="798" spans="1:20" x14ac:dyDescent="0.25">
      <c r="A798" s="1">
        <v>1106</v>
      </c>
      <c r="B798" s="1">
        <v>25</v>
      </c>
      <c r="C798" t="s">
        <v>4</v>
      </c>
      <c r="D798" t="s">
        <v>10</v>
      </c>
      <c r="E798" t="s">
        <v>22</v>
      </c>
      <c r="F798" t="s">
        <v>11</v>
      </c>
      <c r="G798" t="s">
        <v>14</v>
      </c>
      <c r="H798" s="1">
        <v>4</v>
      </c>
      <c r="I798" s="1">
        <v>3691</v>
      </c>
      <c r="J798" t="s">
        <v>4</v>
      </c>
      <c r="K798" s="1">
        <v>15</v>
      </c>
      <c r="L798" s="1">
        <v>3</v>
      </c>
      <c r="M798" s="1">
        <v>7</v>
      </c>
      <c r="N798" s="1">
        <v>4</v>
      </c>
      <c r="O798" s="1">
        <v>7</v>
      </c>
      <c r="P798" s="1">
        <f>COUNTIF(HR_Data[Employee Number],HR_Data[[#This Row],[Employee Number]])</f>
        <v>1</v>
      </c>
      <c r="Q798" s="1" t="str">
        <f>IF(HR_Data[[#This Row],[Years At Company]]&lt;=HR_Data[[#This Row],[Total Working Years]],"Valid","error")</f>
        <v>Valid</v>
      </c>
      <c r="R798" s="1" t="str" cm="1">
        <f t="array" ref="R798">_xlfn.IFS(HR_Data[[#This Row],[Age]]&lt;=30,"Young", HR_Data[[#This Row],[Age]]&lt;=45,"Mid-Age",HR_Data[[#This Row],[Age]]&gt;45,"Senior")</f>
        <v>Young</v>
      </c>
      <c r="S798" s="1" t="str" cm="1">
        <f t="array" ref="S798">_xlfn.IFS(HR_Data[[#This Row],[Monthly Income]]&lt;5000,"Low", HR_Data[[#This Row],[Monthly Income]]&lt;10000,"Medium",TRUE,"High")</f>
        <v>Low</v>
      </c>
      <c r="T798" s="1" t="str" cm="1">
        <f t="array" ref="T798">_xlfn.IFS(HR_Data[[#This Row],[Total Working Years]]&lt;=5,"Junior", HR_Data[[#This Row],[Total Working Years]]&lt;=15,"Mid-Level", TRUE, "Senior")</f>
        <v>Mid-Level</v>
      </c>
    </row>
    <row r="799" spans="1:20" x14ac:dyDescent="0.25">
      <c r="A799" s="1">
        <v>1107</v>
      </c>
      <c r="B799" s="1">
        <v>26</v>
      </c>
      <c r="C799" t="s">
        <v>4</v>
      </c>
      <c r="D799" t="s">
        <v>10</v>
      </c>
      <c r="E799" t="s">
        <v>15</v>
      </c>
      <c r="F799" t="s">
        <v>11</v>
      </c>
      <c r="G799" t="s">
        <v>14</v>
      </c>
      <c r="H799" s="1">
        <v>3</v>
      </c>
      <c r="I799" s="1">
        <v>2377</v>
      </c>
      <c r="J799" t="s">
        <v>9</v>
      </c>
      <c r="K799" s="1">
        <v>20</v>
      </c>
      <c r="L799" s="1">
        <v>4</v>
      </c>
      <c r="M799" s="1">
        <v>1</v>
      </c>
      <c r="N799" s="1">
        <v>2</v>
      </c>
      <c r="O799" s="1">
        <v>1</v>
      </c>
      <c r="P799" s="1">
        <f>COUNTIF(HR_Data[Employee Number],HR_Data[[#This Row],[Employee Number]])</f>
        <v>1</v>
      </c>
      <c r="Q799" s="1" t="str">
        <f>IF(HR_Data[[#This Row],[Years At Company]]&lt;=HR_Data[[#This Row],[Total Working Years]],"Valid","error")</f>
        <v>Valid</v>
      </c>
      <c r="R799" s="1" t="str" cm="1">
        <f t="array" ref="R799">_xlfn.IFS(HR_Data[[#This Row],[Age]]&lt;=30,"Young", HR_Data[[#This Row],[Age]]&lt;=45,"Mid-Age",HR_Data[[#This Row],[Age]]&gt;45,"Senior")</f>
        <v>Young</v>
      </c>
      <c r="S799" s="1" t="str" cm="1">
        <f t="array" ref="S799">_xlfn.IFS(HR_Data[[#This Row],[Monthly Income]]&lt;5000,"Low", HR_Data[[#This Row],[Monthly Income]]&lt;10000,"Medium",TRUE,"High")</f>
        <v>Low</v>
      </c>
      <c r="T799" s="1" t="str" cm="1">
        <f t="array" ref="T799">_xlfn.IFS(HR_Data[[#This Row],[Total Working Years]]&lt;=5,"Junior", HR_Data[[#This Row],[Total Working Years]]&lt;=15,"Mid-Level", TRUE, "Senior")</f>
        <v>Junior</v>
      </c>
    </row>
    <row r="800" spans="1:20" x14ac:dyDescent="0.25">
      <c r="A800" s="1">
        <v>1108</v>
      </c>
      <c r="B800" s="1">
        <v>33</v>
      </c>
      <c r="C800" t="s">
        <v>4</v>
      </c>
      <c r="D800" t="s">
        <v>10</v>
      </c>
      <c r="E800" t="s">
        <v>15</v>
      </c>
      <c r="F800" t="s">
        <v>11</v>
      </c>
      <c r="G800" t="s">
        <v>12</v>
      </c>
      <c r="H800" s="1">
        <v>2</v>
      </c>
      <c r="I800" s="1">
        <v>2313</v>
      </c>
      <c r="J800" t="s">
        <v>4</v>
      </c>
      <c r="K800" s="1">
        <v>20</v>
      </c>
      <c r="L800" s="1">
        <v>4</v>
      </c>
      <c r="M800" s="1">
        <v>5</v>
      </c>
      <c r="N800" s="1">
        <v>3</v>
      </c>
      <c r="O800" s="1">
        <v>2</v>
      </c>
      <c r="P800" s="1">
        <f>COUNTIF(HR_Data[Employee Number],HR_Data[[#This Row],[Employee Number]])</f>
        <v>1</v>
      </c>
      <c r="Q800" s="1" t="str">
        <f>IF(HR_Data[[#This Row],[Years At Company]]&lt;=HR_Data[[#This Row],[Total Working Years]],"Valid","error")</f>
        <v>Valid</v>
      </c>
      <c r="R800" s="1" t="str" cm="1">
        <f t="array" ref="R800">_xlfn.IFS(HR_Data[[#This Row],[Age]]&lt;=30,"Young", HR_Data[[#This Row],[Age]]&lt;=45,"Mid-Age",HR_Data[[#This Row],[Age]]&gt;45,"Senior")</f>
        <v>Mid-Age</v>
      </c>
      <c r="S800" s="1" t="str" cm="1">
        <f t="array" ref="S800">_xlfn.IFS(HR_Data[[#This Row],[Monthly Income]]&lt;5000,"Low", HR_Data[[#This Row],[Monthly Income]]&lt;10000,"Medium",TRUE,"High")</f>
        <v>Low</v>
      </c>
      <c r="T800" s="1" t="str" cm="1">
        <f t="array" ref="T800">_xlfn.IFS(HR_Data[[#This Row],[Total Working Years]]&lt;=5,"Junior", HR_Data[[#This Row],[Total Working Years]]&lt;=15,"Mid-Level", TRUE, "Senior")</f>
        <v>Junior</v>
      </c>
    </row>
    <row r="801" spans="1:20" x14ac:dyDescent="0.25">
      <c r="A801" s="1">
        <v>1109</v>
      </c>
      <c r="B801" s="1">
        <v>42</v>
      </c>
      <c r="C801" t="s">
        <v>9</v>
      </c>
      <c r="D801" t="s">
        <v>10</v>
      </c>
      <c r="E801" t="s">
        <v>15</v>
      </c>
      <c r="F801" t="s">
        <v>11</v>
      </c>
      <c r="G801" t="s">
        <v>18</v>
      </c>
      <c r="H801" s="1">
        <v>1</v>
      </c>
      <c r="I801" s="1">
        <v>17665</v>
      </c>
      <c r="J801" t="s">
        <v>9</v>
      </c>
      <c r="K801" s="1">
        <v>17</v>
      </c>
      <c r="L801" s="1">
        <v>3</v>
      </c>
      <c r="M801" s="1">
        <v>23</v>
      </c>
      <c r="N801" s="1">
        <v>3</v>
      </c>
      <c r="O801" s="1">
        <v>22</v>
      </c>
      <c r="P801" s="1">
        <f>COUNTIF(HR_Data[Employee Number],HR_Data[[#This Row],[Employee Number]])</f>
        <v>1</v>
      </c>
      <c r="Q801" s="1" t="str">
        <f>IF(HR_Data[[#This Row],[Years At Company]]&lt;=HR_Data[[#This Row],[Total Working Years]],"Valid","error")</f>
        <v>Valid</v>
      </c>
      <c r="R801" s="1" t="str" cm="1">
        <f t="array" ref="R801">_xlfn.IFS(HR_Data[[#This Row],[Age]]&lt;=30,"Young", HR_Data[[#This Row],[Age]]&lt;=45,"Mid-Age",HR_Data[[#This Row],[Age]]&gt;45,"Senior")</f>
        <v>Mid-Age</v>
      </c>
      <c r="S801" s="1" t="str" cm="1">
        <f t="array" ref="S801">_xlfn.IFS(HR_Data[[#This Row],[Monthly Income]]&lt;5000,"Low", HR_Data[[#This Row],[Monthly Income]]&lt;10000,"Medium",TRUE,"High")</f>
        <v>High</v>
      </c>
      <c r="T801" s="1" t="str" cm="1">
        <f t="array" ref="T801">_xlfn.IFS(HR_Data[[#This Row],[Total Working Years]]&lt;=5,"Junior", HR_Data[[#This Row],[Total Working Years]]&lt;=15,"Mid-Level", TRUE, "Senior")</f>
        <v>Senior</v>
      </c>
    </row>
    <row r="802" spans="1:20" x14ac:dyDescent="0.25">
      <c r="A802" s="1">
        <v>1111</v>
      </c>
      <c r="B802" s="1">
        <v>28</v>
      </c>
      <c r="C802" t="s">
        <v>4</v>
      </c>
      <c r="D802" t="s">
        <v>10</v>
      </c>
      <c r="E802" t="s">
        <v>15</v>
      </c>
      <c r="F802" t="s">
        <v>11</v>
      </c>
      <c r="G802" t="s">
        <v>14</v>
      </c>
      <c r="H802" s="1">
        <v>2</v>
      </c>
      <c r="I802" s="1">
        <v>2596</v>
      </c>
      <c r="J802" t="s">
        <v>9</v>
      </c>
      <c r="K802" s="1">
        <v>15</v>
      </c>
      <c r="L802" s="1">
        <v>3</v>
      </c>
      <c r="M802" s="1">
        <v>1</v>
      </c>
      <c r="N802" s="1">
        <v>3</v>
      </c>
      <c r="O802" s="1">
        <v>1</v>
      </c>
      <c r="P802" s="1">
        <f>COUNTIF(HR_Data[Employee Number],HR_Data[[#This Row],[Employee Number]])</f>
        <v>1</v>
      </c>
      <c r="Q802" s="1" t="str">
        <f>IF(HR_Data[[#This Row],[Years At Company]]&lt;=HR_Data[[#This Row],[Total Working Years]],"Valid","error")</f>
        <v>Valid</v>
      </c>
      <c r="R802" s="1" t="str" cm="1">
        <f t="array" ref="R802">_xlfn.IFS(HR_Data[[#This Row],[Age]]&lt;=30,"Young", HR_Data[[#This Row],[Age]]&lt;=45,"Mid-Age",HR_Data[[#This Row],[Age]]&gt;45,"Senior")</f>
        <v>Young</v>
      </c>
      <c r="S802" s="1" t="str" cm="1">
        <f t="array" ref="S802">_xlfn.IFS(HR_Data[[#This Row],[Monthly Income]]&lt;5000,"Low", HR_Data[[#This Row],[Monthly Income]]&lt;10000,"Medium",TRUE,"High")</f>
        <v>Low</v>
      </c>
      <c r="T802" s="1" t="str" cm="1">
        <f t="array" ref="T802">_xlfn.IFS(HR_Data[[#This Row],[Total Working Years]]&lt;=5,"Junior", HR_Data[[#This Row],[Total Working Years]]&lt;=15,"Mid-Level", TRUE, "Senior")</f>
        <v>Junior</v>
      </c>
    </row>
    <row r="803" spans="1:20" x14ac:dyDescent="0.25">
      <c r="A803" s="1">
        <v>1113</v>
      </c>
      <c r="B803" s="1">
        <v>50</v>
      </c>
      <c r="C803" t="s">
        <v>4</v>
      </c>
      <c r="D803" t="s">
        <v>5</v>
      </c>
      <c r="E803" t="s">
        <v>13</v>
      </c>
      <c r="F803" t="s">
        <v>11</v>
      </c>
      <c r="G803" t="s">
        <v>8</v>
      </c>
      <c r="H803" s="1">
        <v>3</v>
      </c>
      <c r="I803" s="1">
        <v>4728</v>
      </c>
      <c r="J803" t="s">
        <v>4</v>
      </c>
      <c r="K803" s="1">
        <v>14</v>
      </c>
      <c r="L803" s="1">
        <v>3</v>
      </c>
      <c r="M803" s="1">
        <v>5</v>
      </c>
      <c r="N803" s="1">
        <v>3</v>
      </c>
      <c r="O803" s="1">
        <v>0</v>
      </c>
      <c r="P803" s="1">
        <f>COUNTIF(HR_Data[Employee Number],HR_Data[[#This Row],[Employee Number]])</f>
        <v>1</v>
      </c>
      <c r="Q803" s="1" t="str">
        <f>IF(HR_Data[[#This Row],[Years At Company]]&lt;=HR_Data[[#This Row],[Total Working Years]],"Valid","error")</f>
        <v>Valid</v>
      </c>
      <c r="R803" s="1" t="str" cm="1">
        <f t="array" ref="R803">_xlfn.IFS(HR_Data[[#This Row],[Age]]&lt;=30,"Young", HR_Data[[#This Row],[Age]]&lt;=45,"Mid-Age",HR_Data[[#This Row],[Age]]&gt;45,"Senior")</f>
        <v>Senior</v>
      </c>
      <c r="S803" s="1" t="str" cm="1">
        <f t="array" ref="S803">_xlfn.IFS(HR_Data[[#This Row],[Monthly Income]]&lt;5000,"Low", HR_Data[[#This Row],[Monthly Income]]&lt;10000,"Medium",TRUE,"High")</f>
        <v>Low</v>
      </c>
      <c r="T803" s="1" t="str" cm="1">
        <f t="array" ref="T803">_xlfn.IFS(HR_Data[[#This Row],[Total Working Years]]&lt;=5,"Junior", HR_Data[[#This Row],[Total Working Years]]&lt;=15,"Mid-Level", TRUE, "Senior")</f>
        <v>Junior</v>
      </c>
    </row>
    <row r="804" spans="1:20" x14ac:dyDescent="0.25">
      <c r="A804" s="1">
        <v>1114</v>
      </c>
      <c r="B804" s="1">
        <v>33</v>
      </c>
      <c r="C804" t="s">
        <v>9</v>
      </c>
      <c r="D804" t="s">
        <v>5</v>
      </c>
      <c r="E804" t="s">
        <v>6</v>
      </c>
      <c r="F804" t="s">
        <v>7</v>
      </c>
      <c r="G804" t="s">
        <v>8</v>
      </c>
      <c r="H804" s="1">
        <v>2</v>
      </c>
      <c r="I804" s="1">
        <v>4302</v>
      </c>
      <c r="J804" t="s">
        <v>9</v>
      </c>
      <c r="K804" s="1">
        <v>17</v>
      </c>
      <c r="L804" s="1">
        <v>3</v>
      </c>
      <c r="M804" s="1">
        <v>4</v>
      </c>
      <c r="N804" s="1">
        <v>3</v>
      </c>
      <c r="O804" s="1">
        <v>3</v>
      </c>
      <c r="P804" s="1">
        <f>COUNTIF(HR_Data[Employee Number],HR_Data[[#This Row],[Employee Number]])</f>
        <v>1</v>
      </c>
      <c r="Q804" s="1" t="str">
        <f>IF(HR_Data[[#This Row],[Years At Company]]&lt;=HR_Data[[#This Row],[Total Working Years]],"Valid","error")</f>
        <v>Valid</v>
      </c>
      <c r="R804" s="1" t="str" cm="1">
        <f t="array" ref="R804">_xlfn.IFS(HR_Data[[#This Row],[Age]]&lt;=30,"Young", HR_Data[[#This Row],[Age]]&lt;=45,"Mid-Age",HR_Data[[#This Row],[Age]]&gt;45,"Senior")</f>
        <v>Mid-Age</v>
      </c>
      <c r="S804" s="1" t="str" cm="1">
        <f t="array" ref="S804">_xlfn.IFS(HR_Data[[#This Row],[Monthly Income]]&lt;5000,"Low", HR_Data[[#This Row],[Monthly Income]]&lt;10000,"Medium",TRUE,"High")</f>
        <v>Low</v>
      </c>
      <c r="T804" s="1" t="str" cm="1">
        <f t="array" ref="T804">_xlfn.IFS(HR_Data[[#This Row],[Total Working Years]]&lt;=5,"Junior", HR_Data[[#This Row],[Total Working Years]]&lt;=15,"Mid-Level", TRUE, "Senior")</f>
        <v>Junior</v>
      </c>
    </row>
    <row r="805" spans="1:20" x14ac:dyDescent="0.25">
      <c r="A805" s="1">
        <v>1115</v>
      </c>
      <c r="B805" s="1">
        <v>34</v>
      </c>
      <c r="C805" t="s">
        <v>9</v>
      </c>
      <c r="D805" t="s">
        <v>10</v>
      </c>
      <c r="E805" t="s">
        <v>6</v>
      </c>
      <c r="F805" t="s">
        <v>11</v>
      </c>
      <c r="G805" t="s">
        <v>12</v>
      </c>
      <c r="H805" s="1">
        <v>4</v>
      </c>
      <c r="I805" s="1">
        <v>2979</v>
      </c>
      <c r="J805" t="s">
        <v>9</v>
      </c>
      <c r="K805" s="1">
        <v>17</v>
      </c>
      <c r="L805" s="1">
        <v>3</v>
      </c>
      <c r="M805" s="1">
        <v>6</v>
      </c>
      <c r="N805" s="1">
        <v>3</v>
      </c>
      <c r="O805" s="1">
        <v>0</v>
      </c>
      <c r="P805" s="1">
        <f>COUNTIF(HR_Data[Employee Number],HR_Data[[#This Row],[Employee Number]])</f>
        <v>1</v>
      </c>
      <c r="Q805" s="1" t="str">
        <f>IF(HR_Data[[#This Row],[Years At Company]]&lt;=HR_Data[[#This Row],[Total Working Years]],"Valid","error")</f>
        <v>Valid</v>
      </c>
      <c r="R805" s="1" t="str" cm="1">
        <f t="array" ref="R805">_xlfn.IFS(HR_Data[[#This Row],[Age]]&lt;=30,"Young", HR_Data[[#This Row],[Age]]&lt;=45,"Mid-Age",HR_Data[[#This Row],[Age]]&gt;45,"Senior")</f>
        <v>Mid-Age</v>
      </c>
      <c r="S805" s="1" t="str" cm="1">
        <f t="array" ref="S805">_xlfn.IFS(HR_Data[[#This Row],[Monthly Income]]&lt;5000,"Low", HR_Data[[#This Row],[Monthly Income]]&lt;10000,"Medium",TRUE,"High")</f>
        <v>Low</v>
      </c>
      <c r="T805" s="1" t="str" cm="1">
        <f t="array" ref="T805">_xlfn.IFS(HR_Data[[#This Row],[Total Working Years]]&lt;=5,"Junior", HR_Data[[#This Row],[Total Working Years]]&lt;=15,"Mid-Level", TRUE, "Senior")</f>
        <v>Mid-Level</v>
      </c>
    </row>
    <row r="806" spans="1:20" x14ac:dyDescent="0.25">
      <c r="A806" s="1">
        <v>1116</v>
      </c>
      <c r="B806" s="1">
        <v>48</v>
      </c>
      <c r="C806" t="s">
        <v>9</v>
      </c>
      <c r="D806" t="s">
        <v>10</v>
      </c>
      <c r="E806" t="s">
        <v>15</v>
      </c>
      <c r="F806" t="s">
        <v>11</v>
      </c>
      <c r="G806" t="s">
        <v>18</v>
      </c>
      <c r="H806" s="1">
        <v>4</v>
      </c>
      <c r="I806" s="1">
        <v>16885</v>
      </c>
      <c r="J806" t="s">
        <v>9</v>
      </c>
      <c r="K806" s="1">
        <v>22</v>
      </c>
      <c r="L806" s="1">
        <v>4</v>
      </c>
      <c r="M806" s="1">
        <v>27</v>
      </c>
      <c r="N806" s="1">
        <v>2</v>
      </c>
      <c r="O806" s="1">
        <v>5</v>
      </c>
      <c r="P806" s="1">
        <f>COUNTIF(HR_Data[Employee Number],HR_Data[[#This Row],[Employee Number]])</f>
        <v>1</v>
      </c>
      <c r="Q806" s="1" t="str">
        <f>IF(HR_Data[[#This Row],[Years At Company]]&lt;=HR_Data[[#This Row],[Total Working Years]],"Valid","error")</f>
        <v>Valid</v>
      </c>
      <c r="R806" s="1" t="str" cm="1">
        <f t="array" ref="R806">_xlfn.IFS(HR_Data[[#This Row],[Age]]&lt;=30,"Young", HR_Data[[#This Row],[Age]]&lt;=45,"Mid-Age",HR_Data[[#This Row],[Age]]&gt;45,"Senior")</f>
        <v>Senior</v>
      </c>
      <c r="S806" s="1" t="str" cm="1">
        <f t="array" ref="S806">_xlfn.IFS(HR_Data[[#This Row],[Monthly Income]]&lt;5000,"Low", HR_Data[[#This Row],[Monthly Income]]&lt;10000,"Medium",TRUE,"High")</f>
        <v>High</v>
      </c>
      <c r="T806" s="1" t="str" cm="1">
        <f t="array" ref="T806">_xlfn.IFS(HR_Data[[#This Row],[Total Working Years]]&lt;=5,"Junior", HR_Data[[#This Row],[Total Working Years]]&lt;=15,"Mid-Level", TRUE, "Senior")</f>
        <v>Senior</v>
      </c>
    </row>
    <row r="807" spans="1:20" x14ac:dyDescent="0.25">
      <c r="A807" s="1">
        <v>1117</v>
      </c>
      <c r="B807" s="1">
        <v>45</v>
      </c>
      <c r="C807" t="s">
        <v>9</v>
      </c>
      <c r="D807" t="s">
        <v>5</v>
      </c>
      <c r="E807" t="s">
        <v>6</v>
      </c>
      <c r="F807" t="s">
        <v>7</v>
      </c>
      <c r="G807" t="s">
        <v>8</v>
      </c>
      <c r="H807" s="1">
        <v>3</v>
      </c>
      <c r="I807" s="1">
        <v>5593</v>
      </c>
      <c r="J807" t="s">
        <v>9</v>
      </c>
      <c r="K807" s="1">
        <v>13</v>
      </c>
      <c r="L807" s="1">
        <v>3</v>
      </c>
      <c r="M807" s="1">
        <v>15</v>
      </c>
      <c r="N807" s="1">
        <v>3</v>
      </c>
      <c r="O807" s="1">
        <v>15</v>
      </c>
      <c r="P807" s="1">
        <f>COUNTIF(HR_Data[Employee Number],HR_Data[[#This Row],[Employee Number]])</f>
        <v>1</v>
      </c>
      <c r="Q807" s="1" t="str">
        <f>IF(HR_Data[[#This Row],[Years At Company]]&lt;=HR_Data[[#This Row],[Total Working Years]],"Valid","error")</f>
        <v>Valid</v>
      </c>
      <c r="R807" s="1" t="str" cm="1">
        <f t="array" ref="R807">_xlfn.IFS(HR_Data[[#This Row],[Age]]&lt;=30,"Young", HR_Data[[#This Row],[Age]]&lt;=45,"Mid-Age",HR_Data[[#This Row],[Age]]&gt;45,"Senior")</f>
        <v>Mid-Age</v>
      </c>
      <c r="S807" s="1" t="str" cm="1">
        <f t="array" ref="S807">_xlfn.IFS(HR_Data[[#This Row],[Monthly Income]]&lt;5000,"Low", HR_Data[[#This Row],[Monthly Income]]&lt;10000,"Medium",TRUE,"High")</f>
        <v>Medium</v>
      </c>
      <c r="T807" s="1" t="str" cm="1">
        <f t="array" ref="T807">_xlfn.IFS(HR_Data[[#This Row],[Total Working Years]]&lt;=5,"Junior", HR_Data[[#This Row],[Total Working Years]]&lt;=15,"Mid-Level", TRUE, "Senior")</f>
        <v>Mid-Level</v>
      </c>
    </row>
    <row r="808" spans="1:20" x14ac:dyDescent="0.25">
      <c r="A808" s="1">
        <v>1118</v>
      </c>
      <c r="B808" s="1">
        <v>52</v>
      </c>
      <c r="C808" t="s">
        <v>9</v>
      </c>
      <c r="D808" t="s">
        <v>10</v>
      </c>
      <c r="E808" t="s">
        <v>6</v>
      </c>
      <c r="F808" t="s">
        <v>11</v>
      </c>
      <c r="G808" t="s">
        <v>17</v>
      </c>
      <c r="H808" s="1">
        <v>2</v>
      </c>
      <c r="I808" s="1">
        <v>10445</v>
      </c>
      <c r="J808" t="s">
        <v>9</v>
      </c>
      <c r="K808" s="1">
        <v>19</v>
      </c>
      <c r="L808" s="1">
        <v>3</v>
      </c>
      <c r="M808" s="1">
        <v>18</v>
      </c>
      <c r="N808" s="1">
        <v>3</v>
      </c>
      <c r="O808" s="1">
        <v>8</v>
      </c>
      <c r="P808" s="1">
        <f>COUNTIF(HR_Data[Employee Number],HR_Data[[#This Row],[Employee Number]])</f>
        <v>1</v>
      </c>
      <c r="Q808" s="1" t="str">
        <f>IF(HR_Data[[#This Row],[Years At Company]]&lt;=HR_Data[[#This Row],[Total Working Years]],"Valid","error")</f>
        <v>Valid</v>
      </c>
      <c r="R808" s="1" t="str" cm="1">
        <f t="array" ref="R808">_xlfn.IFS(HR_Data[[#This Row],[Age]]&lt;=30,"Young", HR_Data[[#This Row],[Age]]&lt;=45,"Mid-Age",HR_Data[[#This Row],[Age]]&gt;45,"Senior")</f>
        <v>Senior</v>
      </c>
      <c r="S808" s="1" t="str" cm="1">
        <f t="array" ref="S808">_xlfn.IFS(HR_Data[[#This Row],[Monthly Income]]&lt;5000,"Low", HR_Data[[#This Row],[Monthly Income]]&lt;10000,"Medium",TRUE,"High")</f>
        <v>High</v>
      </c>
      <c r="T808" s="1" t="str" cm="1">
        <f t="array" ref="T808">_xlfn.IFS(HR_Data[[#This Row],[Total Working Years]]&lt;=5,"Junior", HR_Data[[#This Row],[Total Working Years]]&lt;=15,"Mid-Level", TRUE, "Senior")</f>
        <v>Senior</v>
      </c>
    </row>
    <row r="809" spans="1:20" x14ac:dyDescent="0.25">
      <c r="A809" s="1">
        <v>1119</v>
      </c>
      <c r="B809" s="1">
        <v>38</v>
      </c>
      <c r="C809" t="s">
        <v>9</v>
      </c>
      <c r="D809" t="s">
        <v>5</v>
      </c>
      <c r="E809" t="s">
        <v>21</v>
      </c>
      <c r="F809" t="s">
        <v>11</v>
      </c>
      <c r="G809" t="s">
        <v>8</v>
      </c>
      <c r="H809" s="1">
        <v>3</v>
      </c>
      <c r="I809" s="1">
        <v>8740</v>
      </c>
      <c r="J809" t="s">
        <v>4</v>
      </c>
      <c r="K809" s="1">
        <v>14</v>
      </c>
      <c r="L809" s="1">
        <v>3</v>
      </c>
      <c r="M809" s="1">
        <v>9</v>
      </c>
      <c r="N809" s="1">
        <v>3</v>
      </c>
      <c r="O809" s="1">
        <v>8</v>
      </c>
      <c r="P809" s="1">
        <f>COUNTIF(HR_Data[Employee Number],HR_Data[[#This Row],[Employee Number]])</f>
        <v>1</v>
      </c>
      <c r="Q809" s="1" t="str">
        <f>IF(HR_Data[[#This Row],[Years At Company]]&lt;=HR_Data[[#This Row],[Total Working Years]],"Valid","error")</f>
        <v>Valid</v>
      </c>
      <c r="R809" s="1" t="str" cm="1">
        <f t="array" ref="R809">_xlfn.IFS(HR_Data[[#This Row],[Age]]&lt;=30,"Young", HR_Data[[#This Row],[Age]]&lt;=45,"Mid-Age",HR_Data[[#This Row],[Age]]&gt;45,"Senior")</f>
        <v>Mid-Age</v>
      </c>
      <c r="S809" s="1" t="str" cm="1">
        <f t="array" ref="S809">_xlfn.IFS(HR_Data[[#This Row],[Monthly Income]]&lt;5000,"Low", HR_Data[[#This Row],[Monthly Income]]&lt;10000,"Medium",TRUE,"High")</f>
        <v>Medium</v>
      </c>
      <c r="T809" s="1" t="str" cm="1">
        <f t="array" ref="T809">_xlfn.IFS(HR_Data[[#This Row],[Total Working Years]]&lt;=5,"Junior", HR_Data[[#This Row],[Total Working Years]]&lt;=15,"Mid-Level", TRUE, "Senior")</f>
        <v>Mid-Level</v>
      </c>
    </row>
    <row r="810" spans="1:20" x14ac:dyDescent="0.25">
      <c r="A810" s="1">
        <v>1120</v>
      </c>
      <c r="B810" s="1">
        <v>29</v>
      </c>
      <c r="C810" t="s">
        <v>9</v>
      </c>
      <c r="D810" t="s">
        <v>10</v>
      </c>
      <c r="E810" t="s">
        <v>6</v>
      </c>
      <c r="F810" t="s">
        <v>7</v>
      </c>
      <c r="G810" t="s">
        <v>12</v>
      </c>
      <c r="H810" s="1">
        <v>4</v>
      </c>
      <c r="I810" s="1">
        <v>2514</v>
      </c>
      <c r="J810" t="s">
        <v>9</v>
      </c>
      <c r="K810" s="1">
        <v>22</v>
      </c>
      <c r="L810" s="1">
        <v>4</v>
      </c>
      <c r="M810" s="1">
        <v>11</v>
      </c>
      <c r="N810" s="1">
        <v>3</v>
      </c>
      <c r="O810" s="1">
        <v>7</v>
      </c>
      <c r="P810" s="1">
        <f>COUNTIF(HR_Data[Employee Number],HR_Data[[#This Row],[Employee Number]])</f>
        <v>1</v>
      </c>
      <c r="Q810" s="1" t="str">
        <f>IF(HR_Data[[#This Row],[Years At Company]]&lt;=HR_Data[[#This Row],[Total Working Years]],"Valid","error")</f>
        <v>Valid</v>
      </c>
      <c r="R810" s="1" t="str" cm="1">
        <f t="array" ref="R810">_xlfn.IFS(HR_Data[[#This Row],[Age]]&lt;=30,"Young", HR_Data[[#This Row],[Age]]&lt;=45,"Mid-Age",HR_Data[[#This Row],[Age]]&gt;45,"Senior")</f>
        <v>Young</v>
      </c>
      <c r="S810" s="1" t="str" cm="1">
        <f t="array" ref="S810">_xlfn.IFS(HR_Data[[#This Row],[Monthly Income]]&lt;5000,"Low", HR_Data[[#This Row],[Monthly Income]]&lt;10000,"Medium",TRUE,"High")</f>
        <v>Low</v>
      </c>
      <c r="T810" s="1" t="str" cm="1">
        <f t="array" ref="T810">_xlfn.IFS(HR_Data[[#This Row],[Total Working Years]]&lt;=5,"Junior", HR_Data[[#This Row],[Total Working Years]]&lt;=15,"Mid-Level", TRUE, "Senior")</f>
        <v>Mid-Level</v>
      </c>
    </row>
    <row r="811" spans="1:20" x14ac:dyDescent="0.25">
      <c r="A811" s="1">
        <v>1121</v>
      </c>
      <c r="B811" s="1">
        <v>28</v>
      </c>
      <c r="C811" t="s">
        <v>9</v>
      </c>
      <c r="D811" t="s">
        <v>10</v>
      </c>
      <c r="E811" t="s">
        <v>15</v>
      </c>
      <c r="F811" t="s">
        <v>7</v>
      </c>
      <c r="G811" t="s">
        <v>16</v>
      </c>
      <c r="H811" s="1">
        <v>2</v>
      </c>
      <c r="I811" s="1">
        <v>7655</v>
      </c>
      <c r="J811" t="s">
        <v>9</v>
      </c>
      <c r="K811" s="1">
        <v>17</v>
      </c>
      <c r="L811" s="1">
        <v>3</v>
      </c>
      <c r="M811" s="1">
        <v>10</v>
      </c>
      <c r="N811" s="1">
        <v>2</v>
      </c>
      <c r="O811" s="1">
        <v>9</v>
      </c>
      <c r="P811" s="1">
        <f>COUNTIF(HR_Data[Employee Number],HR_Data[[#This Row],[Employee Number]])</f>
        <v>1</v>
      </c>
      <c r="Q811" s="1" t="str">
        <f>IF(HR_Data[[#This Row],[Years At Company]]&lt;=HR_Data[[#This Row],[Total Working Years]],"Valid","error")</f>
        <v>Valid</v>
      </c>
      <c r="R811" s="1" t="str" cm="1">
        <f t="array" ref="R811">_xlfn.IFS(HR_Data[[#This Row],[Age]]&lt;=30,"Young", HR_Data[[#This Row],[Age]]&lt;=45,"Mid-Age",HR_Data[[#This Row],[Age]]&gt;45,"Senior")</f>
        <v>Young</v>
      </c>
      <c r="S811" s="1" t="str" cm="1">
        <f t="array" ref="S811">_xlfn.IFS(HR_Data[[#This Row],[Monthly Income]]&lt;5000,"Low", HR_Data[[#This Row],[Monthly Income]]&lt;10000,"Medium",TRUE,"High")</f>
        <v>Medium</v>
      </c>
      <c r="T811" s="1" t="str" cm="1">
        <f t="array" ref="T811">_xlfn.IFS(HR_Data[[#This Row],[Total Working Years]]&lt;=5,"Junior", HR_Data[[#This Row],[Total Working Years]]&lt;=15,"Mid-Level", TRUE, "Senior")</f>
        <v>Mid-Level</v>
      </c>
    </row>
    <row r="812" spans="1:20" x14ac:dyDescent="0.25">
      <c r="A812" s="1">
        <v>1124</v>
      </c>
      <c r="B812" s="1">
        <v>46</v>
      </c>
      <c r="C812" t="s">
        <v>9</v>
      </c>
      <c r="D812" t="s">
        <v>5</v>
      </c>
      <c r="E812" t="s">
        <v>21</v>
      </c>
      <c r="F812" t="s">
        <v>11</v>
      </c>
      <c r="G812" t="s">
        <v>18</v>
      </c>
      <c r="H812" s="1">
        <v>3</v>
      </c>
      <c r="I812" s="1">
        <v>17465</v>
      </c>
      <c r="J812" t="s">
        <v>9</v>
      </c>
      <c r="K812" s="1">
        <v>12</v>
      </c>
      <c r="L812" s="1">
        <v>3</v>
      </c>
      <c r="M812" s="1">
        <v>23</v>
      </c>
      <c r="N812" s="1">
        <v>3</v>
      </c>
      <c r="O812" s="1">
        <v>12</v>
      </c>
      <c r="P812" s="1">
        <f>COUNTIF(HR_Data[Employee Number],HR_Data[[#This Row],[Employee Number]])</f>
        <v>1</v>
      </c>
      <c r="Q812" s="1" t="str">
        <f>IF(HR_Data[[#This Row],[Years At Company]]&lt;=HR_Data[[#This Row],[Total Working Years]],"Valid","error")</f>
        <v>Valid</v>
      </c>
      <c r="R812" s="1" t="str" cm="1">
        <f t="array" ref="R812">_xlfn.IFS(HR_Data[[#This Row],[Age]]&lt;=30,"Young", HR_Data[[#This Row],[Age]]&lt;=45,"Mid-Age",HR_Data[[#This Row],[Age]]&gt;45,"Senior")</f>
        <v>Senior</v>
      </c>
      <c r="S812" s="1" t="str" cm="1">
        <f t="array" ref="S812">_xlfn.IFS(HR_Data[[#This Row],[Monthly Income]]&lt;5000,"Low", HR_Data[[#This Row],[Monthly Income]]&lt;10000,"Medium",TRUE,"High")</f>
        <v>High</v>
      </c>
      <c r="T812" s="1" t="str" cm="1">
        <f t="array" ref="T812">_xlfn.IFS(HR_Data[[#This Row],[Total Working Years]]&lt;=5,"Junior", HR_Data[[#This Row],[Total Working Years]]&lt;=15,"Mid-Level", TRUE, "Senior")</f>
        <v>Senior</v>
      </c>
    </row>
    <row r="813" spans="1:20" x14ac:dyDescent="0.25">
      <c r="A813" s="1">
        <v>1125</v>
      </c>
      <c r="B813" s="1">
        <v>38</v>
      </c>
      <c r="C813" t="s">
        <v>9</v>
      </c>
      <c r="D813" t="s">
        <v>5</v>
      </c>
      <c r="E813" t="s">
        <v>21</v>
      </c>
      <c r="F813" t="s">
        <v>11</v>
      </c>
      <c r="G813" t="s">
        <v>8</v>
      </c>
      <c r="H813" s="1">
        <v>2</v>
      </c>
      <c r="I813" s="1">
        <v>7351</v>
      </c>
      <c r="J813" t="s">
        <v>9</v>
      </c>
      <c r="K813" s="1">
        <v>16</v>
      </c>
      <c r="L813" s="1">
        <v>3</v>
      </c>
      <c r="M813" s="1">
        <v>10</v>
      </c>
      <c r="N813" s="1">
        <v>3</v>
      </c>
      <c r="O813" s="1">
        <v>1</v>
      </c>
      <c r="P813" s="1">
        <f>COUNTIF(HR_Data[Employee Number],HR_Data[[#This Row],[Employee Number]])</f>
        <v>1</v>
      </c>
      <c r="Q813" s="1" t="str">
        <f>IF(HR_Data[[#This Row],[Years At Company]]&lt;=HR_Data[[#This Row],[Total Working Years]],"Valid","error")</f>
        <v>Valid</v>
      </c>
      <c r="R813" s="1" t="str" cm="1">
        <f t="array" ref="R813">_xlfn.IFS(HR_Data[[#This Row],[Age]]&lt;=30,"Young", HR_Data[[#This Row],[Age]]&lt;=45,"Mid-Age",HR_Data[[#This Row],[Age]]&gt;45,"Senior")</f>
        <v>Mid-Age</v>
      </c>
      <c r="S813" s="1" t="str" cm="1">
        <f t="array" ref="S813">_xlfn.IFS(HR_Data[[#This Row],[Monthly Income]]&lt;5000,"Low", HR_Data[[#This Row],[Monthly Income]]&lt;10000,"Medium",TRUE,"High")</f>
        <v>Medium</v>
      </c>
      <c r="T813" s="1" t="str" cm="1">
        <f t="array" ref="T813">_xlfn.IFS(HR_Data[[#This Row],[Total Working Years]]&lt;=5,"Junior", HR_Data[[#This Row],[Total Working Years]]&lt;=15,"Mid-Level", TRUE, "Senior")</f>
        <v>Mid-Level</v>
      </c>
    </row>
    <row r="814" spans="1:20" x14ac:dyDescent="0.25">
      <c r="A814" s="1">
        <v>1126</v>
      </c>
      <c r="B814" s="1">
        <v>43</v>
      </c>
      <c r="C814" t="s">
        <v>9</v>
      </c>
      <c r="D814" t="s">
        <v>10</v>
      </c>
      <c r="E814" t="s">
        <v>6</v>
      </c>
      <c r="F814" t="s">
        <v>7</v>
      </c>
      <c r="G814" t="s">
        <v>16</v>
      </c>
      <c r="H814" s="1">
        <v>1</v>
      </c>
      <c r="I814" s="1">
        <v>10820</v>
      </c>
      <c r="J814" t="s">
        <v>9</v>
      </c>
      <c r="K814" s="1">
        <v>11</v>
      </c>
      <c r="L814" s="1">
        <v>3</v>
      </c>
      <c r="M814" s="1">
        <v>18</v>
      </c>
      <c r="N814" s="1">
        <v>3</v>
      </c>
      <c r="O814" s="1">
        <v>8</v>
      </c>
      <c r="P814" s="1">
        <f>COUNTIF(HR_Data[Employee Number],HR_Data[[#This Row],[Employee Number]])</f>
        <v>1</v>
      </c>
      <c r="Q814" s="1" t="str">
        <f>IF(HR_Data[[#This Row],[Years At Company]]&lt;=HR_Data[[#This Row],[Total Working Years]],"Valid","error")</f>
        <v>Valid</v>
      </c>
      <c r="R814" s="1" t="str" cm="1">
        <f t="array" ref="R814">_xlfn.IFS(HR_Data[[#This Row],[Age]]&lt;=30,"Young", HR_Data[[#This Row],[Age]]&lt;=45,"Mid-Age",HR_Data[[#This Row],[Age]]&gt;45,"Senior")</f>
        <v>Mid-Age</v>
      </c>
      <c r="S814" s="1" t="str" cm="1">
        <f t="array" ref="S814">_xlfn.IFS(HR_Data[[#This Row],[Monthly Income]]&lt;5000,"Low", HR_Data[[#This Row],[Monthly Income]]&lt;10000,"Medium",TRUE,"High")</f>
        <v>High</v>
      </c>
      <c r="T814" s="1" t="str" cm="1">
        <f t="array" ref="T814">_xlfn.IFS(HR_Data[[#This Row],[Total Working Years]]&lt;=5,"Junior", HR_Data[[#This Row],[Total Working Years]]&lt;=15,"Mid-Level", TRUE, "Senior")</f>
        <v>Senior</v>
      </c>
    </row>
    <row r="815" spans="1:20" x14ac:dyDescent="0.25">
      <c r="A815" s="1">
        <v>1127</v>
      </c>
      <c r="B815" s="1">
        <v>39</v>
      </c>
      <c r="C815" t="s">
        <v>4</v>
      </c>
      <c r="D815" t="s">
        <v>10</v>
      </c>
      <c r="E815" t="s">
        <v>6</v>
      </c>
      <c r="F815" t="s">
        <v>11</v>
      </c>
      <c r="G815" t="s">
        <v>17</v>
      </c>
      <c r="H815" s="1">
        <v>4</v>
      </c>
      <c r="I815" s="1">
        <v>12169</v>
      </c>
      <c r="J815" t="s">
        <v>9</v>
      </c>
      <c r="K815" s="1">
        <v>11</v>
      </c>
      <c r="L815" s="1">
        <v>3</v>
      </c>
      <c r="M815" s="1">
        <v>21</v>
      </c>
      <c r="N815" s="1">
        <v>3</v>
      </c>
      <c r="O815" s="1">
        <v>18</v>
      </c>
      <c r="P815" s="1">
        <f>COUNTIF(HR_Data[Employee Number],HR_Data[[#This Row],[Employee Number]])</f>
        <v>1</v>
      </c>
      <c r="Q815" s="1" t="str">
        <f>IF(HR_Data[[#This Row],[Years At Company]]&lt;=HR_Data[[#This Row],[Total Working Years]],"Valid","error")</f>
        <v>Valid</v>
      </c>
      <c r="R815" s="1" t="str" cm="1">
        <f t="array" ref="R815">_xlfn.IFS(HR_Data[[#This Row],[Age]]&lt;=30,"Young", HR_Data[[#This Row],[Age]]&lt;=45,"Mid-Age",HR_Data[[#This Row],[Age]]&gt;45,"Senior")</f>
        <v>Mid-Age</v>
      </c>
      <c r="S815" s="1" t="str" cm="1">
        <f t="array" ref="S815">_xlfn.IFS(HR_Data[[#This Row],[Monthly Income]]&lt;5000,"Low", HR_Data[[#This Row],[Monthly Income]]&lt;10000,"Medium",TRUE,"High")</f>
        <v>High</v>
      </c>
      <c r="T815" s="1" t="str" cm="1">
        <f t="array" ref="T815">_xlfn.IFS(HR_Data[[#This Row],[Total Working Years]]&lt;=5,"Junior", HR_Data[[#This Row],[Total Working Years]]&lt;=15,"Mid-Level", TRUE, "Senior")</f>
        <v>Senior</v>
      </c>
    </row>
    <row r="816" spans="1:20" x14ac:dyDescent="0.25">
      <c r="A816" s="1">
        <v>1128</v>
      </c>
      <c r="B816" s="1">
        <v>40</v>
      </c>
      <c r="C816" t="s">
        <v>9</v>
      </c>
      <c r="D816" t="s">
        <v>10</v>
      </c>
      <c r="E816" t="s">
        <v>15</v>
      </c>
      <c r="F816" t="s">
        <v>11</v>
      </c>
      <c r="G816" t="s">
        <v>20</v>
      </c>
      <c r="H816" s="1">
        <v>3</v>
      </c>
      <c r="I816" s="1">
        <v>19626</v>
      </c>
      <c r="J816" t="s">
        <v>9</v>
      </c>
      <c r="K816" s="1">
        <v>14</v>
      </c>
      <c r="L816" s="1">
        <v>3</v>
      </c>
      <c r="M816" s="1">
        <v>21</v>
      </c>
      <c r="N816" s="1">
        <v>4</v>
      </c>
      <c r="O816" s="1">
        <v>20</v>
      </c>
      <c r="P816" s="1">
        <f>COUNTIF(HR_Data[Employee Number],HR_Data[[#This Row],[Employee Number]])</f>
        <v>1</v>
      </c>
      <c r="Q816" s="1" t="str">
        <f>IF(HR_Data[[#This Row],[Years At Company]]&lt;=HR_Data[[#This Row],[Total Working Years]],"Valid","error")</f>
        <v>Valid</v>
      </c>
      <c r="R816" s="1" t="str" cm="1">
        <f t="array" ref="R816">_xlfn.IFS(HR_Data[[#This Row],[Age]]&lt;=30,"Young", HR_Data[[#This Row],[Age]]&lt;=45,"Mid-Age",HR_Data[[#This Row],[Age]]&gt;45,"Senior")</f>
        <v>Mid-Age</v>
      </c>
      <c r="S816" s="1" t="str" cm="1">
        <f t="array" ref="S816">_xlfn.IFS(HR_Data[[#This Row],[Monthly Income]]&lt;5000,"Low", HR_Data[[#This Row],[Monthly Income]]&lt;10000,"Medium",TRUE,"High")</f>
        <v>High</v>
      </c>
      <c r="T816" s="1" t="str" cm="1">
        <f t="array" ref="T816">_xlfn.IFS(HR_Data[[#This Row],[Total Working Years]]&lt;=5,"Junior", HR_Data[[#This Row],[Total Working Years]]&lt;=15,"Mid-Level", TRUE, "Senior")</f>
        <v>Senior</v>
      </c>
    </row>
    <row r="817" spans="1:20" x14ac:dyDescent="0.25">
      <c r="A817" s="1">
        <v>1131</v>
      </c>
      <c r="B817" s="1">
        <v>21</v>
      </c>
      <c r="C817" t="s">
        <v>9</v>
      </c>
      <c r="D817" t="s">
        <v>10</v>
      </c>
      <c r="E817" t="s">
        <v>22</v>
      </c>
      <c r="F817" t="s">
        <v>7</v>
      </c>
      <c r="G817" t="s">
        <v>12</v>
      </c>
      <c r="H817" s="1">
        <v>2</v>
      </c>
      <c r="I817" s="1">
        <v>2070</v>
      </c>
      <c r="J817" t="s">
        <v>4</v>
      </c>
      <c r="K817" s="1">
        <v>11</v>
      </c>
      <c r="L817" s="1">
        <v>3</v>
      </c>
      <c r="M817" s="1">
        <v>2</v>
      </c>
      <c r="N817" s="1">
        <v>4</v>
      </c>
      <c r="O817" s="1">
        <v>2</v>
      </c>
      <c r="P817" s="1">
        <f>COUNTIF(HR_Data[Employee Number],HR_Data[[#This Row],[Employee Number]])</f>
        <v>1</v>
      </c>
      <c r="Q817" s="1" t="str">
        <f>IF(HR_Data[[#This Row],[Years At Company]]&lt;=HR_Data[[#This Row],[Total Working Years]],"Valid","error")</f>
        <v>Valid</v>
      </c>
      <c r="R817" s="1" t="str" cm="1">
        <f t="array" ref="R817">_xlfn.IFS(HR_Data[[#This Row],[Age]]&lt;=30,"Young", HR_Data[[#This Row],[Age]]&lt;=45,"Mid-Age",HR_Data[[#This Row],[Age]]&gt;45,"Senior")</f>
        <v>Young</v>
      </c>
      <c r="S817" s="1" t="str" cm="1">
        <f t="array" ref="S817">_xlfn.IFS(HR_Data[[#This Row],[Monthly Income]]&lt;5000,"Low", HR_Data[[#This Row],[Monthly Income]]&lt;10000,"Medium",TRUE,"High")</f>
        <v>Low</v>
      </c>
      <c r="T817" s="1" t="str" cm="1">
        <f t="array" ref="T817">_xlfn.IFS(HR_Data[[#This Row],[Total Working Years]]&lt;=5,"Junior", HR_Data[[#This Row],[Total Working Years]]&lt;=15,"Mid-Level", TRUE, "Senior")</f>
        <v>Junior</v>
      </c>
    </row>
    <row r="818" spans="1:20" x14ac:dyDescent="0.25">
      <c r="A818" s="1">
        <v>1132</v>
      </c>
      <c r="B818" s="1">
        <v>39</v>
      </c>
      <c r="C818" t="s">
        <v>9</v>
      </c>
      <c r="D818" t="s">
        <v>10</v>
      </c>
      <c r="E818" t="s">
        <v>6</v>
      </c>
      <c r="F818" t="s">
        <v>11</v>
      </c>
      <c r="G818" t="s">
        <v>14</v>
      </c>
      <c r="H818" s="1">
        <v>2</v>
      </c>
      <c r="I818" s="1">
        <v>6782</v>
      </c>
      <c r="J818" t="s">
        <v>9</v>
      </c>
      <c r="K818" s="1">
        <v>15</v>
      </c>
      <c r="L818" s="1">
        <v>3</v>
      </c>
      <c r="M818" s="1">
        <v>9</v>
      </c>
      <c r="N818" s="1">
        <v>2</v>
      </c>
      <c r="O818" s="1">
        <v>5</v>
      </c>
      <c r="P818" s="1">
        <f>COUNTIF(HR_Data[Employee Number],HR_Data[[#This Row],[Employee Number]])</f>
        <v>1</v>
      </c>
      <c r="Q818" s="1" t="str">
        <f>IF(HR_Data[[#This Row],[Years At Company]]&lt;=HR_Data[[#This Row],[Total Working Years]],"Valid","error")</f>
        <v>Valid</v>
      </c>
      <c r="R818" s="1" t="str" cm="1">
        <f t="array" ref="R818">_xlfn.IFS(HR_Data[[#This Row],[Age]]&lt;=30,"Young", HR_Data[[#This Row],[Age]]&lt;=45,"Mid-Age",HR_Data[[#This Row],[Age]]&gt;45,"Senior")</f>
        <v>Mid-Age</v>
      </c>
      <c r="S818" s="1" t="str" cm="1">
        <f t="array" ref="S818">_xlfn.IFS(HR_Data[[#This Row],[Monthly Income]]&lt;5000,"Low", HR_Data[[#This Row],[Monthly Income]]&lt;10000,"Medium",TRUE,"High")</f>
        <v>Medium</v>
      </c>
      <c r="T818" s="1" t="str" cm="1">
        <f t="array" ref="T818">_xlfn.IFS(HR_Data[[#This Row],[Total Working Years]]&lt;=5,"Junior", HR_Data[[#This Row],[Total Working Years]]&lt;=15,"Mid-Level", TRUE, "Senior")</f>
        <v>Mid-Level</v>
      </c>
    </row>
    <row r="819" spans="1:20" x14ac:dyDescent="0.25">
      <c r="A819" s="1">
        <v>1133</v>
      </c>
      <c r="B819" s="1">
        <v>36</v>
      </c>
      <c r="C819" t="s">
        <v>9</v>
      </c>
      <c r="D819" t="s">
        <v>10</v>
      </c>
      <c r="E819" t="s">
        <v>6</v>
      </c>
      <c r="F819" t="s">
        <v>11</v>
      </c>
      <c r="G819" t="s">
        <v>16</v>
      </c>
      <c r="H819" s="1">
        <v>4</v>
      </c>
      <c r="I819" s="1">
        <v>7779</v>
      </c>
      <c r="J819" t="s">
        <v>9</v>
      </c>
      <c r="K819" s="1">
        <v>20</v>
      </c>
      <c r="L819" s="1">
        <v>4</v>
      </c>
      <c r="M819" s="1">
        <v>18</v>
      </c>
      <c r="N819" s="1">
        <v>3</v>
      </c>
      <c r="O819" s="1">
        <v>11</v>
      </c>
      <c r="P819" s="1">
        <f>COUNTIF(HR_Data[Employee Number],HR_Data[[#This Row],[Employee Number]])</f>
        <v>1</v>
      </c>
      <c r="Q819" s="1" t="str">
        <f>IF(HR_Data[[#This Row],[Years At Company]]&lt;=HR_Data[[#This Row],[Total Working Years]],"Valid","error")</f>
        <v>Valid</v>
      </c>
      <c r="R819" s="1" t="str" cm="1">
        <f t="array" ref="R819">_xlfn.IFS(HR_Data[[#This Row],[Age]]&lt;=30,"Young", HR_Data[[#This Row],[Age]]&lt;=45,"Mid-Age",HR_Data[[#This Row],[Age]]&gt;45,"Senior")</f>
        <v>Mid-Age</v>
      </c>
      <c r="S819" s="1" t="str" cm="1">
        <f t="array" ref="S819">_xlfn.IFS(HR_Data[[#This Row],[Monthly Income]]&lt;5000,"Low", HR_Data[[#This Row],[Monthly Income]]&lt;10000,"Medium",TRUE,"High")</f>
        <v>Medium</v>
      </c>
      <c r="T819" s="1" t="str" cm="1">
        <f t="array" ref="T819">_xlfn.IFS(HR_Data[[#This Row],[Total Working Years]]&lt;=5,"Junior", HR_Data[[#This Row],[Total Working Years]]&lt;=15,"Mid-Level", TRUE, "Senior")</f>
        <v>Senior</v>
      </c>
    </row>
    <row r="820" spans="1:20" x14ac:dyDescent="0.25">
      <c r="A820" s="1">
        <v>1135</v>
      </c>
      <c r="B820" s="1">
        <v>31</v>
      </c>
      <c r="C820" t="s">
        <v>9</v>
      </c>
      <c r="D820" t="s">
        <v>5</v>
      </c>
      <c r="E820" t="s">
        <v>6</v>
      </c>
      <c r="F820" t="s">
        <v>11</v>
      </c>
      <c r="G820" t="s">
        <v>19</v>
      </c>
      <c r="H820" s="1">
        <v>4</v>
      </c>
      <c r="I820" s="1">
        <v>2791</v>
      </c>
      <c r="J820" t="s">
        <v>9</v>
      </c>
      <c r="K820" s="1">
        <v>12</v>
      </c>
      <c r="L820" s="1">
        <v>3</v>
      </c>
      <c r="M820" s="1">
        <v>3</v>
      </c>
      <c r="N820" s="1">
        <v>3</v>
      </c>
      <c r="O820" s="1">
        <v>2</v>
      </c>
      <c r="P820" s="1">
        <f>COUNTIF(HR_Data[Employee Number],HR_Data[[#This Row],[Employee Number]])</f>
        <v>1</v>
      </c>
      <c r="Q820" s="1" t="str">
        <f>IF(HR_Data[[#This Row],[Years At Company]]&lt;=HR_Data[[#This Row],[Total Working Years]],"Valid","error")</f>
        <v>Valid</v>
      </c>
      <c r="R820" s="1" t="str" cm="1">
        <f t="array" ref="R820">_xlfn.IFS(HR_Data[[#This Row],[Age]]&lt;=30,"Young", HR_Data[[#This Row],[Age]]&lt;=45,"Mid-Age",HR_Data[[#This Row],[Age]]&gt;45,"Senior")</f>
        <v>Mid-Age</v>
      </c>
      <c r="S820" s="1" t="str" cm="1">
        <f t="array" ref="S820">_xlfn.IFS(HR_Data[[#This Row],[Monthly Income]]&lt;5000,"Low", HR_Data[[#This Row],[Monthly Income]]&lt;10000,"Medium",TRUE,"High")</f>
        <v>Low</v>
      </c>
      <c r="T820" s="1" t="str" cm="1">
        <f t="array" ref="T820">_xlfn.IFS(HR_Data[[#This Row],[Total Working Years]]&lt;=5,"Junior", HR_Data[[#This Row],[Total Working Years]]&lt;=15,"Mid-Level", TRUE, "Senior")</f>
        <v>Junior</v>
      </c>
    </row>
    <row r="821" spans="1:20" x14ac:dyDescent="0.25">
      <c r="A821" s="1">
        <v>1136</v>
      </c>
      <c r="B821" s="1">
        <v>28</v>
      </c>
      <c r="C821" t="s">
        <v>9</v>
      </c>
      <c r="D821" t="s">
        <v>10</v>
      </c>
      <c r="E821" t="s">
        <v>6</v>
      </c>
      <c r="F821" t="s">
        <v>11</v>
      </c>
      <c r="G821" t="s">
        <v>12</v>
      </c>
      <c r="H821" s="1">
        <v>2</v>
      </c>
      <c r="I821" s="1">
        <v>3201</v>
      </c>
      <c r="J821" t="s">
        <v>9</v>
      </c>
      <c r="K821" s="1">
        <v>17</v>
      </c>
      <c r="L821" s="1">
        <v>3</v>
      </c>
      <c r="M821" s="1">
        <v>6</v>
      </c>
      <c r="N821" s="1">
        <v>1</v>
      </c>
      <c r="O821" s="1">
        <v>5</v>
      </c>
      <c r="P821" s="1">
        <f>COUNTIF(HR_Data[Employee Number],HR_Data[[#This Row],[Employee Number]])</f>
        <v>1</v>
      </c>
      <c r="Q821" s="1" t="str">
        <f>IF(HR_Data[[#This Row],[Years At Company]]&lt;=HR_Data[[#This Row],[Total Working Years]],"Valid","error")</f>
        <v>Valid</v>
      </c>
      <c r="R821" s="1" t="str" cm="1">
        <f t="array" ref="R821">_xlfn.IFS(HR_Data[[#This Row],[Age]]&lt;=30,"Young", HR_Data[[#This Row],[Age]]&lt;=45,"Mid-Age",HR_Data[[#This Row],[Age]]&gt;45,"Senior")</f>
        <v>Young</v>
      </c>
      <c r="S821" s="1" t="str" cm="1">
        <f t="array" ref="S821">_xlfn.IFS(HR_Data[[#This Row],[Monthly Income]]&lt;5000,"Low", HR_Data[[#This Row],[Monthly Income]]&lt;10000,"Medium",TRUE,"High")</f>
        <v>Low</v>
      </c>
      <c r="T821" s="1" t="str" cm="1">
        <f t="array" ref="T821">_xlfn.IFS(HR_Data[[#This Row],[Total Working Years]]&lt;=5,"Junior", HR_Data[[#This Row],[Total Working Years]]&lt;=15,"Mid-Level", TRUE, "Senior")</f>
        <v>Mid-Level</v>
      </c>
    </row>
    <row r="822" spans="1:20" x14ac:dyDescent="0.25">
      <c r="A822" s="1">
        <v>1137</v>
      </c>
      <c r="B822" s="1">
        <v>35</v>
      </c>
      <c r="C822" t="s">
        <v>9</v>
      </c>
      <c r="D822" t="s">
        <v>5</v>
      </c>
      <c r="E822" t="s">
        <v>21</v>
      </c>
      <c r="F822" t="s">
        <v>11</v>
      </c>
      <c r="G822" t="s">
        <v>8</v>
      </c>
      <c r="H822" s="1">
        <v>4</v>
      </c>
      <c r="I822" s="1">
        <v>4968</v>
      </c>
      <c r="J822" t="s">
        <v>9</v>
      </c>
      <c r="K822" s="1">
        <v>11</v>
      </c>
      <c r="L822" s="1">
        <v>3</v>
      </c>
      <c r="M822" s="1">
        <v>5</v>
      </c>
      <c r="N822" s="1">
        <v>3</v>
      </c>
      <c r="O822" s="1">
        <v>5</v>
      </c>
      <c r="P822" s="1">
        <f>COUNTIF(HR_Data[Employee Number],HR_Data[[#This Row],[Employee Number]])</f>
        <v>1</v>
      </c>
      <c r="Q822" s="1" t="str">
        <f>IF(HR_Data[[#This Row],[Years At Company]]&lt;=HR_Data[[#This Row],[Total Working Years]],"Valid","error")</f>
        <v>Valid</v>
      </c>
      <c r="R822" s="1" t="str" cm="1">
        <f t="array" ref="R822">_xlfn.IFS(HR_Data[[#This Row],[Age]]&lt;=30,"Young", HR_Data[[#This Row],[Age]]&lt;=45,"Mid-Age",HR_Data[[#This Row],[Age]]&gt;45,"Senior")</f>
        <v>Mid-Age</v>
      </c>
      <c r="S822" s="1" t="str" cm="1">
        <f t="array" ref="S822">_xlfn.IFS(HR_Data[[#This Row],[Monthly Income]]&lt;5000,"Low", HR_Data[[#This Row],[Monthly Income]]&lt;10000,"Medium",TRUE,"High")</f>
        <v>Low</v>
      </c>
      <c r="T822" s="1" t="str" cm="1">
        <f t="array" ref="T822">_xlfn.IFS(HR_Data[[#This Row],[Total Working Years]]&lt;=5,"Junior", HR_Data[[#This Row],[Total Working Years]]&lt;=15,"Mid-Level", TRUE, "Senior")</f>
        <v>Junior</v>
      </c>
    </row>
    <row r="823" spans="1:20" x14ac:dyDescent="0.25">
      <c r="A823" s="1">
        <v>1138</v>
      </c>
      <c r="B823" s="1">
        <v>49</v>
      </c>
      <c r="C823" t="s">
        <v>9</v>
      </c>
      <c r="D823" t="s">
        <v>5</v>
      </c>
      <c r="E823" t="s">
        <v>22</v>
      </c>
      <c r="F823" t="s">
        <v>11</v>
      </c>
      <c r="G823" t="s">
        <v>8</v>
      </c>
      <c r="H823" s="1">
        <v>2</v>
      </c>
      <c r="I823" s="1">
        <v>13120</v>
      </c>
      <c r="J823" t="s">
        <v>9</v>
      </c>
      <c r="K823" s="1">
        <v>17</v>
      </c>
      <c r="L823" s="1">
        <v>3</v>
      </c>
      <c r="M823" s="1">
        <v>22</v>
      </c>
      <c r="N823" s="1">
        <v>3</v>
      </c>
      <c r="O823" s="1">
        <v>9</v>
      </c>
      <c r="P823" s="1">
        <f>COUNTIF(HR_Data[Employee Number],HR_Data[[#This Row],[Employee Number]])</f>
        <v>1</v>
      </c>
      <c r="Q823" s="1" t="str">
        <f>IF(HR_Data[[#This Row],[Years At Company]]&lt;=HR_Data[[#This Row],[Total Working Years]],"Valid","error")</f>
        <v>Valid</v>
      </c>
      <c r="R823" s="1" t="str" cm="1">
        <f t="array" ref="R823">_xlfn.IFS(HR_Data[[#This Row],[Age]]&lt;=30,"Young", HR_Data[[#This Row],[Age]]&lt;=45,"Mid-Age",HR_Data[[#This Row],[Age]]&gt;45,"Senior")</f>
        <v>Senior</v>
      </c>
      <c r="S823" s="1" t="str" cm="1">
        <f t="array" ref="S823">_xlfn.IFS(HR_Data[[#This Row],[Monthly Income]]&lt;5000,"Low", HR_Data[[#This Row],[Monthly Income]]&lt;10000,"Medium",TRUE,"High")</f>
        <v>High</v>
      </c>
      <c r="T823" s="1" t="str" cm="1">
        <f t="array" ref="T823">_xlfn.IFS(HR_Data[[#This Row],[Total Working Years]]&lt;=5,"Junior", HR_Data[[#This Row],[Total Working Years]]&lt;=15,"Mid-Level", TRUE, "Senior")</f>
        <v>Senior</v>
      </c>
    </row>
    <row r="824" spans="1:20" x14ac:dyDescent="0.25">
      <c r="A824" s="1">
        <v>1140</v>
      </c>
      <c r="B824" s="1">
        <v>34</v>
      </c>
      <c r="C824" t="s">
        <v>9</v>
      </c>
      <c r="D824" t="s">
        <v>10</v>
      </c>
      <c r="E824" t="s">
        <v>6</v>
      </c>
      <c r="F824" t="s">
        <v>11</v>
      </c>
      <c r="G824" t="s">
        <v>16</v>
      </c>
      <c r="H824" s="1">
        <v>3</v>
      </c>
      <c r="I824" s="1">
        <v>4033</v>
      </c>
      <c r="J824" t="s">
        <v>9</v>
      </c>
      <c r="K824" s="1">
        <v>11</v>
      </c>
      <c r="L824" s="1">
        <v>3</v>
      </c>
      <c r="M824" s="1">
        <v>5</v>
      </c>
      <c r="N824" s="1">
        <v>2</v>
      </c>
      <c r="O824" s="1">
        <v>3</v>
      </c>
      <c r="P824" s="1">
        <f>COUNTIF(HR_Data[Employee Number],HR_Data[[#This Row],[Employee Number]])</f>
        <v>1</v>
      </c>
      <c r="Q824" s="1" t="str">
        <f>IF(HR_Data[[#This Row],[Years At Company]]&lt;=HR_Data[[#This Row],[Total Working Years]],"Valid","error")</f>
        <v>Valid</v>
      </c>
      <c r="R824" s="1" t="str" cm="1">
        <f t="array" ref="R824">_xlfn.IFS(HR_Data[[#This Row],[Age]]&lt;=30,"Young", HR_Data[[#This Row],[Age]]&lt;=45,"Mid-Age",HR_Data[[#This Row],[Age]]&gt;45,"Senior")</f>
        <v>Mid-Age</v>
      </c>
      <c r="S824" s="1" t="str" cm="1">
        <f t="array" ref="S824">_xlfn.IFS(HR_Data[[#This Row],[Monthly Income]]&lt;5000,"Low", HR_Data[[#This Row],[Monthly Income]]&lt;10000,"Medium",TRUE,"High")</f>
        <v>Low</v>
      </c>
      <c r="T824" s="1" t="str" cm="1">
        <f t="array" ref="T824">_xlfn.IFS(HR_Data[[#This Row],[Total Working Years]]&lt;=5,"Junior", HR_Data[[#This Row],[Total Working Years]]&lt;=15,"Mid-Level", TRUE, "Senior")</f>
        <v>Junior</v>
      </c>
    </row>
    <row r="825" spans="1:20" x14ac:dyDescent="0.25">
      <c r="A825" s="1">
        <v>1143</v>
      </c>
      <c r="B825" s="1">
        <v>29</v>
      </c>
      <c r="C825" t="s">
        <v>9</v>
      </c>
      <c r="D825" t="s">
        <v>10</v>
      </c>
      <c r="E825" t="s">
        <v>6</v>
      </c>
      <c r="F825" t="s">
        <v>7</v>
      </c>
      <c r="G825" t="s">
        <v>12</v>
      </c>
      <c r="H825" s="1">
        <v>2</v>
      </c>
      <c r="I825" s="1">
        <v>3291</v>
      </c>
      <c r="J825" t="s">
        <v>9</v>
      </c>
      <c r="K825" s="1">
        <v>14</v>
      </c>
      <c r="L825" s="1">
        <v>3</v>
      </c>
      <c r="M825" s="1">
        <v>8</v>
      </c>
      <c r="N825" s="1">
        <v>2</v>
      </c>
      <c r="O825" s="1">
        <v>7</v>
      </c>
      <c r="P825" s="1">
        <f>COUNTIF(HR_Data[Employee Number],HR_Data[[#This Row],[Employee Number]])</f>
        <v>1</v>
      </c>
      <c r="Q825" s="1" t="str">
        <f>IF(HR_Data[[#This Row],[Years At Company]]&lt;=HR_Data[[#This Row],[Total Working Years]],"Valid","error")</f>
        <v>Valid</v>
      </c>
      <c r="R825" s="1" t="str" cm="1">
        <f t="array" ref="R825">_xlfn.IFS(HR_Data[[#This Row],[Age]]&lt;=30,"Young", HR_Data[[#This Row],[Age]]&lt;=45,"Mid-Age",HR_Data[[#This Row],[Age]]&gt;45,"Senior")</f>
        <v>Young</v>
      </c>
      <c r="S825" s="1" t="str" cm="1">
        <f t="array" ref="S825">_xlfn.IFS(HR_Data[[#This Row],[Monthly Income]]&lt;5000,"Low", HR_Data[[#This Row],[Monthly Income]]&lt;10000,"Medium",TRUE,"High")</f>
        <v>Low</v>
      </c>
      <c r="T825" s="1" t="str" cm="1">
        <f t="array" ref="T825">_xlfn.IFS(HR_Data[[#This Row],[Total Working Years]]&lt;=5,"Junior", HR_Data[[#This Row],[Total Working Years]]&lt;=15,"Mid-Level", TRUE, "Senior")</f>
        <v>Mid-Level</v>
      </c>
    </row>
    <row r="826" spans="1:20" x14ac:dyDescent="0.25">
      <c r="A826" s="1">
        <v>1148</v>
      </c>
      <c r="B826" s="1">
        <v>42</v>
      </c>
      <c r="C826" t="s">
        <v>9</v>
      </c>
      <c r="D826" t="s">
        <v>10</v>
      </c>
      <c r="E826" t="s">
        <v>15</v>
      </c>
      <c r="F826" t="s">
        <v>11</v>
      </c>
      <c r="G826" t="s">
        <v>14</v>
      </c>
      <c r="H826" s="1">
        <v>4</v>
      </c>
      <c r="I826" s="1">
        <v>4272</v>
      </c>
      <c r="J826" t="s">
        <v>9</v>
      </c>
      <c r="K826" s="1">
        <v>19</v>
      </c>
      <c r="L826" s="1">
        <v>3</v>
      </c>
      <c r="M826" s="1">
        <v>16</v>
      </c>
      <c r="N826" s="1">
        <v>3</v>
      </c>
      <c r="O826" s="1">
        <v>1</v>
      </c>
      <c r="P826" s="1">
        <f>COUNTIF(HR_Data[Employee Number],HR_Data[[#This Row],[Employee Number]])</f>
        <v>1</v>
      </c>
      <c r="Q826" s="1" t="str">
        <f>IF(HR_Data[[#This Row],[Years At Company]]&lt;=HR_Data[[#This Row],[Total Working Years]],"Valid","error")</f>
        <v>Valid</v>
      </c>
      <c r="R826" s="1" t="str" cm="1">
        <f t="array" ref="R826">_xlfn.IFS(HR_Data[[#This Row],[Age]]&lt;=30,"Young", HR_Data[[#This Row],[Age]]&lt;=45,"Mid-Age",HR_Data[[#This Row],[Age]]&gt;45,"Senior")</f>
        <v>Mid-Age</v>
      </c>
      <c r="S826" s="1" t="str" cm="1">
        <f t="array" ref="S826">_xlfn.IFS(HR_Data[[#This Row],[Monthly Income]]&lt;5000,"Low", HR_Data[[#This Row],[Monthly Income]]&lt;10000,"Medium",TRUE,"High")</f>
        <v>Low</v>
      </c>
      <c r="T826" s="1" t="str" cm="1">
        <f t="array" ref="T826">_xlfn.IFS(HR_Data[[#This Row],[Total Working Years]]&lt;=5,"Junior", HR_Data[[#This Row],[Total Working Years]]&lt;=15,"Mid-Level", TRUE, "Senior")</f>
        <v>Senior</v>
      </c>
    </row>
    <row r="827" spans="1:20" x14ac:dyDescent="0.25">
      <c r="A827" s="1">
        <v>1150</v>
      </c>
      <c r="B827" s="1">
        <v>29</v>
      </c>
      <c r="C827" t="s">
        <v>9</v>
      </c>
      <c r="D827" t="s">
        <v>10</v>
      </c>
      <c r="E827" t="s">
        <v>15</v>
      </c>
      <c r="F827" t="s">
        <v>11</v>
      </c>
      <c r="G827" t="s">
        <v>16</v>
      </c>
      <c r="H827" s="1">
        <v>4</v>
      </c>
      <c r="I827" s="1">
        <v>5056</v>
      </c>
      <c r="J827" t="s">
        <v>4</v>
      </c>
      <c r="K827" s="1">
        <v>15</v>
      </c>
      <c r="L827" s="1">
        <v>3</v>
      </c>
      <c r="M827" s="1">
        <v>10</v>
      </c>
      <c r="N827" s="1">
        <v>2</v>
      </c>
      <c r="O827" s="1">
        <v>10</v>
      </c>
      <c r="P827" s="1">
        <f>COUNTIF(HR_Data[Employee Number],HR_Data[[#This Row],[Employee Number]])</f>
        <v>1</v>
      </c>
      <c r="Q827" s="1" t="str">
        <f>IF(HR_Data[[#This Row],[Years At Company]]&lt;=HR_Data[[#This Row],[Total Working Years]],"Valid","error")</f>
        <v>Valid</v>
      </c>
      <c r="R827" s="1" t="str" cm="1">
        <f t="array" ref="R827">_xlfn.IFS(HR_Data[[#This Row],[Age]]&lt;=30,"Young", HR_Data[[#This Row],[Age]]&lt;=45,"Mid-Age",HR_Data[[#This Row],[Age]]&gt;45,"Senior")</f>
        <v>Young</v>
      </c>
      <c r="S827" s="1" t="str" cm="1">
        <f t="array" ref="S827">_xlfn.IFS(HR_Data[[#This Row],[Monthly Income]]&lt;5000,"Low", HR_Data[[#This Row],[Monthly Income]]&lt;10000,"Medium",TRUE,"High")</f>
        <v>Medium</v>
      </c>
      <c r="T827" s="1" t="str" cm="1">
        <f t="array" ref="T827">_xlfn.IFS(HR_Data[[#This Row],[Total Working Years]]&lt;=5,"Junior", HR_Data[[#This Row],[Total Working Years]]&lt;=15,"Mid-Level", TRUE, "Senior")</f>
        <v>Mid-Level</v>
      </c>
    </row>
    <row r="828" spans="1:20" x14ac:dyDescent="0.25">
      <c r="A828" s="1">
        <v>1152</v>
      </c>
      <c r="B828" s="1">
        <v>38</v>
      </c>
      <c r="C828" t="s">
        <v>9</v>
      </c>
      <c r="D828" t="s">
        <v>23</v>
      </c>
      <c r="E828" t="s">
        <v>23</v>
      </c>
      <c r="F828" t="s">
        <v>11</v>
      </c>
      <c r="G828" t="s">
        <v>23</v>
      </c>
      <c r="H828" s="1">
        <v>3</v>
      </c>
      <c r="I828" s="1">
        <v>2844</v>
      </c>
      <c r="J828" t="s">
        <v>9</v>
      </c>
      <c r="K828" s="1">
        <v>13</v>
      </c>
      <c r="L828" s="1">
        <v>3</v>
      </c>
      <c r="M828" s="1">
        <v>7</v>
      </c>
      <c r="N828" s="1">
        <v>4</v>
      </c>
      <c r="O828" s="1">
        <v>7</v>
      </c>
      <c r="P828" s="1">
        <f>COUNTIF(HR_Data[Employee Number],HR_Data[[#This Row],[Employee Number]])</f>
        <v>1</v>
      </c>
      <c r="Q828" s="1" t="str">
        <f>IF(HR_Data[[#This Row],[Years At Company]]&lt;=HR_Data[[#This Row],[Total Working Years]],"Valid","error")</f>
        <v>Valid</v>
      </c>
      <c r="R828" s="1" t="str" cm="1">
        <f t="array" ref="R828">_xlfn.IFS(HR_Data[[#This Row],[Age]]&lt;=30,"Young", HR_Data[[#This Row],[Age]]&lt;=45,"Mid-Age",HR_Data[[#This Row],[Age]]&gt;45,"Senior")</f>
        <v>Mid-Age</v>
      </c>
      <c r="S828" s="1" t="str" cm="1">
        <f t="array" ref="S828">_xlfn.IFS(HR_Data[[#This Row],[Monthly Income]]&lt;5000,"Low", HR_Data[[#This Row],[Monthly Income]]&lt;10000,"Medium",TRUE,"High")</f>
        <v>Low</v>
      </c>
      <c r="T828" s="1" t="str" cm="1">
        <f t="array" ref="T828">_xlfn.IFS(HR_Data[[#This Row],[Total Working Years]]&lt;=5,"Junior", HR_Data[[#This Row],[Total Working Years]]&lt;=15,"Mid-Level", TRUE, "Senior")</f>
        <v>Mid-Level</v>
      </c>
    </row>
    <row r="829" spans="1:20" x14ac:dyDescent="0.25">
      <c r="A829" s="1">
        <v>1154</v>
      </c>
      <c r="B829" s="1">
        <v>28</v>
      </c>
      <c r="C829" t="s">
        <v>9</v>
      </c>
      <c r="D829" t="s">
        <v>10</v>
      </c>
      <c r="E829" t="s">
        <v>6</v>
      </c>
      <c r="F829" t="s">
        <v>11</v>
      </c>
      <c r="G829" t="s">
        <v>12</v>
      </c>
      <c r="H829" s="1">
        <v>3</v>
      </c>
      <c r="I829" s="1">
        <v>2703</v>
      </c>
      <c r="J829" t="s">
        <v>4</v>
      </c>
      <c r="K829" s="1">
        <v>14</v>
      </c>
      <c r="L829" s="1">
        <v>3</v>
      </c>
      <c r="M829" s="1">
        <v>3</v>
      </c>
      <c r="N829" s="1">
        <v>3</v>
      </c>
      <c r="O829" s="1">
        <v>3</v>
      </c>
      <c r="P829" s="1">
        <f>COUNTIF(HR_Data[Employee Number],HR_Data[[#This Row],[Employee Number]])</f>
        <v>1</v>
      </c>
      <c r="Q829" s="1" t="str">
        <f>IF(HR_Data[[#This Row],[Years At Company]]&lt;=HR_Data[[#This Row],[Total Working Years]],"Valid","error")</f>
        <v>Valid</v>
      </c>
      <c r="R829" s="1" t="str" cm="1">
        <f t="array" ref="R829">_xlfn.IFS(HR_Data[[#This Row],[Age]]&lt;=30,"Young", HR_Data[[#This Row],[Age]]&lt;=45,"Mid-Age",HR_Data[[#This Row],[Age]]&gt;45,"Senior")</f>
        <v>Young</v>
      </c>
      <c r="S829" s="1" t="str" cm="1">
        <f t="array" ref="S829">_xlfn.IFS(HR_Data[[#This Row],[Monthly Income]]&lt;5000,"Low", HR_Data[[#This Row],[Monthly Income]]&lt;10000,"Medium",TRUE,"High")</f>
        <v>Low</v>
      </c>
      <c r="T829" s="1" t="str" cm="1">
        <f t="array" ref="T829">_xlfn.IFS(HR_Data[[#This Row],[Total Working Years]]&lt;=5,"Junior", HR_Data[[#This Row],[Total Working Years]]&lt;=15,"Mid-Level", TRUE, "Senior")</f>
        <v>Junior</v>
      </c>
    </row>
    <row r="830" spans="1:20" x14ac:dyDescent="0.25">
      <c r="A830" s="1">
        <v>1156</v>
      </c>
      <c r="B830" s="1">
        <v>18</v>
      </c>
      <c r="C830" t="s">
        <v>4</v>
      </c>
      <c r="D830" t="s">
        <v>10</v>
      </c>
      <c r="E830" t="s">
        <v>15</v>
      </c>
      <c r="F830" t="s">
        <v>11</v>
      </c>
      <c r="G830" t="s">
        <v>14</v>
      </c>
      <c r="H830" s="1">
        <v>3</v>
      </c>
      <c r="I830" s="1">
        <v>1904</v>
      </c>
      <c r="J830" t="s">
        <v>9</v>
      </c>
      <c r="K830" s="1">
        <v>12</v>
      </c>
      <c r="L830" s="1">
        <v>3</v>
      </c>
      <c r="M830" s="1">
        <v>0</v>
      </c>
      <c r="N830" s="1">
        <v>3</v>
      </c>
      <c r="O830" s="1">
        <v>0</v>
      </c>
      <c r="P830" s="1">
        <f>COUNTIF(HR_Data[Employee Number],HR_Data[[#This Row],[Employee Number]])</f>
        <v>1</v>
      </c>
      <c r="Q830" s="1" t="str">
        <f>IF(HR_Data[[#This Row],[Years At Company]]&lt;=HR_Data[[#This Row],[Total Working Years]],"Valid","error")</f>
        <v>Valid</v>
      </c>
      <c r="R830" s="1" t="str" cm="1">
        <f t="array" ref="R830">_xlfn.IFS(HR_Data[[#This Row],[Age]]&lt;=30,"Young", HR_Data[[#This Row],[Age]]&lt;=45,"Mid-Age",HR_Data[[#This Row],[Age]]&gt;45,"Senior")</f>
        <v>Young</v>
      </c>
      <c r="S830" s="1" t="str" cm="1">
        <f t="array" ref="S830">_xlfn.IFS(HR_Data[[#This Row],[Monthly Income]]&lt;5000,"Low", HR_Data[[#This Row],[Monthly Income]]&lt;10000,"Medium",TRUE,"High")</f>
        <v>Low</v>
      </c>
      <c r="T830" s="1" t="str" cm="1">
        <f t="array" ref="T830">_xlfn.IFS(HR_Data[[#This Row],[Total Working Years]]&lt;=5,"Junior", HR_Data[[#This Row],[Total Working Years]]&lt;=15,"Mid-Level", TRUE, "Senior")</f>
        <v>Junior</v>
      </c>
    </row>
    <row r="831" spans="1:20" x14ac:dyDescent="0.25">
      <c r="A831" s="1">
        <v>1157</v>
      </c>
      <c r="B831" s="1">
        <v>33</v>
      </c>
      <c r="C831" t="s">
        <v>4</v>
      </c>
      <c r="D831" t="s">
        <v>5</v>
      </c>
      <c r="E831" t="s">
        <v>21</v>
      </c>
      <c r="F831" t="s">
        <v>7</v>
      </c>
      <c r="G831" t="s">
        <v>8</v>
      </c>
      <c r="H831" s="1">
        <v>1</v>
      </c>
      <c r="I831" s="1">
        <v>8224</v>
      </c>
      <c r="J831" t="s">
        <v>4</v>
      </c>
      <c r="K831" s="1">
        <v>17</v>
      </c>
      <c r="L831" s="1">
        <v>3</v>
      </c>
      <c r="M831" s="1">
        <v>6</v>
      </c>
      <c r="N831" s="1">
        <v>3</v>
      </c>
      <c r="O831" s="1">
        <v>5</v>
      </c>
      <c r="P831" s="1">
        <f>COUNTIF(HR_Data[Employee Number],HR_Data[[#This Row],[Employee Number]])</f>
        <v>1</v>
      </c>
      <c r="Q831" s="1" t="str">
        <f>IF(HR_Data[[#This Row],[Years At Company]]&lt;=HR_Data[[#This Row],[Total Working Years]],"Valid","error")</f>
        <v>Valid</v>
      </c>
      <c r="R831" s="1" t="str" cm="1">
        <f t="array" ref="R831">_xlfn.IFS(HR_Data[[#This Row],[Age]]&lt;=30,"Young", HR_Data[[#This Row],[Age]]&lt;=45,"Mid-Age",HR_Data[[#This Row],[Age]]&gt;45,"Senior")</f>
        <v>Mid-Age</v>
      </c>
      <c r="S831" s="1" t="str" cm="1">
        <f t="array" ref="S831">_xlfn.IFS(HR_Data[[#This Row],[Monthly Income]]&lt;5000,"Low", HR_Data[[#This Row],[Monthly Income]]&lt;10000,"Medium",TRUE,"High")</f>
        <v>Medium</v>
      </c>
      <c r="T831" s="1" t="str" cm="1">
        <f t="array" ref="T831">_xlfn.IFS(HR_Data[[#This Row],[Total Working Years]]&lt;=5,"Junior", HR_Data[[#This Row],[Total Working Years]]&lt;=15,"Mid-Level", TRUE, "Senior")</f>
        <v>Mid-Level</v>
      </c>
    </row>
    <row r="832" spans="1:20" x14ac:dyDescent="0.25">
      <c r="A832" s="1">
        <v>1158</v>
      </c>
      <c r="B832" s="1">
        <v>41</v>
      </c>
      <c r="C832" t="s">
        <v>9</v>
      </c>
      <c r="D832" t="s">
        <v>10</v>
      </c>
      <c r="E832" t="s">
        <v>6</v>
      </c>
      <c r="F832" t="s">
        <v>11</v>
      </c>
      <c r="G832" t="s">
        <v>14</v>
      </c>
      <c r="H832" s="1">
        <v>4</v>
      </c>
      <c r="I832" s="1">
        <v>4766</v>
      </c>
      <c r="J832" t="s">
        <v>4</v>
      </c>
      <c r="K832" s="1">
        <v>11</v>
      </c>
      <c r="L832" s="1">
        <v>3</v>
      </c>
      <c r="M832" s="1">
        <v>6</v>
      </c>
      <c r="N832" s="1">
        <v>3</v>
      </c>
      <c r="O832" s="1">
        <v>1</v>
      </c>
      <c r="P832" s="1">
        <f>COUNTIF(HR_Data[Employee Number],HR_Data[[#This Row],[Employee Number]])</f>
        <v>1</v>
      </c>
      <c r="Q832" s="1" t="str">
        <f>IF(HR_Data[[#This Row],[Years At Company]]&lt;=HR_Data[[#This Row],[Total Working Years]],"Valid","error")</f>
        <v>Valid</v>
      </c>
      <c r="R832" s="1" t="str" cm="1">
        <f t="array" ref="R832">_xlfn.IFS(HR_Data[[#This Row],[Age]]&lt;=30,"Young", HR_Data[[#This Row],[Age]]&lt;=45,"Mid-Age",HR_Data[[#This Row],[Age]]&gt;45,"Senior")</f>
        <v>Mid-Age</v>
      </c>
      <c r="S832" s="1" t="str" cm="1">
        <f t="array" ref="S832">_xlfn.IFS(HR_Data[[#This Row],[Monthly Income]]&lt;5000,"Low", HR_Data[[#This Row],[Monthly Income]]&lt;10000,"Medium",TRUE,"High")</f>
        <v>Low</v>
      </c>
      <c r="T832" s="1" t="str" cm="1">
        <f t="array" ref="T832">_xlfn.IFS(HR_Data[[#This Row],[Total Working Years]]&lt;=5,"Junior", HR_Data[[#This Row],[Total Working Years]]&lt;=15,"Mid-Level", TRUE, "Senior")</f>
        <v>Mid-Level</v>
      </c>
    </row>
    <row r="833" spans="1:20" x14ac:dyDescent="0.25">
      <c r="A833" s="1">
        <v>1160</v>
      </c>
      <c r="B833" s="1">
        <v>31</v>
      </c>
      <c r="C833" t="s">
        <v>4</v>
      </c>
      <c r="D833" t="s">
        <v>10</v>
      </c>
      <c r="E833" t="s">
        <v>15</v>
      </c>
      <c r="F833" t="s">
        <v>11</v>
      </c>
      <c r="G833" t="s">
        <v>14</v>
      </c>
      <c r="H833" s="1">
        <v>3</v>
      </c>
      <c r="I833" s="1">
        <v>2610</v>
      </c>
      <c r="J833" t="s">
        <v>9</v>
      </c>
      <c r="K833" s="1">
        <v>12</v>
      </c>
      <c r="L833" s="1">
        <v>3</v>
      </c>
      <c r="M833" s="1">
        <v>2</v>
      </c>
      <c r="N833" s="1">
        <v>2</v>
      </c>
      <c r="O833" s="1">
        <v>2</v>
      </c>
      <c r="P833" s="1">
        <f>COUNTIF(HR_Data[Employee Number],HR_Data[[#This Row],[Employee Number]])</f>
        <v>1</v>
      </c>
      <c r="Q833" s="1" t="str">
        <f>IF(HR_Data[[#This Row],[Years At Company]]&lt;=HR_Data[[#This Row],[Total Working Years]],"Valid","error")</f>
        <v>Valid</v>
      </c>
      <c r="R833" s="1" t="str" cm="1">
        <f t="array" ref="R833">_xlfn.IFS(HR_Data[[#This Row],[Age]]&lt;=30,"Young", HR_Data[[#This Row],[Age]]&lt;=45,"Mid-Age",HR_Data[[#This Row],[Age]]&gt;45,"Senior")</f>
        <v>Mid-Age</v>
      </c>
      <c r="S833" s="1" t="str" cm="1">
        <f t="array" ref="S833">_xlfn.IFS(HR_Data[[#This Row],[Monthly Income]]&lt;5000,"Low", HR_Data[[#This Row],[Monthly Income]]&lt;10000,"Medium",TRUE,"High")</f>
        <v>Low</v>
      </c>
      <c r="T833" s="1" t="str" cm="1">
        <f t="array" ref="T833">_xlfn.IFS(HR_Data[[#This Row],[Total Working Years]]&lt;=5,"Junior", HR_Data[[#This Row],[Total Working Years]]&lt;=15,"Mid-Level", TRUE, "Senior")</f>
        <v>Junior</v>
      </c>
    </row>
    <row r="834" spans="1:20" x14ac:dyDescent="0.25">
      <c r="A834" s="1">
        <v>1161</v>
      </c>
      <c r="B834" s="1">
        <v>37</v>
      </c>
      <c r="C834" t="s">
        <v>9</v>
      </c>
      <c r="D834" t="s">
        <v>10</v>
      </c>
      <c r="E834" t="s">
        <v>15</v>
      </c>
      <c r="F834" t="s">
        <v>7</v>
      </c>
      <c r="G834" t="s">
        <v>17</v>
      </c>
      <c r="H834" s="1">
        <v>4</v>
      </c>
      <c r="I834" s="1">
        <v>5731</v>
      </c>
      <c r="J834" t="s">
        <v>9</v>
      </c>
      <c r="K834" s="1">
        <v>13</v>
      </c>
      <c r="L834" s="1">
        <v>3</v>
      </c>
      <c r="M834" s="1">
        <v>9</v>
      </c>
      <c r="N834" s="1">
        <v>3</v>
      </c>
      <c r="O834" s="1">
        <v>6</v>
      </c>
      <c r="P834" s="1">
        <f>COUNTIF(HR_Data[Employee Number],HR_Data[[#This Row],[Employee Number]])</f>
        <v>1</v>
      </c>
      <c r="Q834" s="1" t="str">
        <f>IF(HR_Data[[#This Row],[Years At Company]]&lt;=HR_Data[[#This Row],[Total Working Years]],"Valid","error")</f>
        <v>Valid</v>
      </c>
      <c r="R834" s="1" t="str" cm="1">
        <f t="array" ref="R834">_xlfn.IFS(HR_Data[[#This Row],[Age]]&lt;=30,"Young", HR_Data[[#This Row],[Age]]&lt;=45,"Mid-Age",HR_Data[[#This Row],[Age]]&gt;45,"Senior")</f>
        <v>Mid-Age</v>
      </c>
      <c r="S834" s="1" t="str" cm="1">
        <f t="array" ref="S834">_xlfn.IFS(HR_Data[[#This Row],[Monthly Income]]&lt;5000,"Low", HR_Data[[#This Row],[Monthly Income]]&lt;10000,"Medium",TRUE,"High")</f>
        <v>Medium</v>
      </c>
      <c r="T834" s="1" t="str" cm="1">
        <f t="array" ref="T834">_xlfn.IFS(HR_Data[[#This Row],[Total Working Years]]&lt;=5,"Junior", HR_Data[[#This Row],[Total Working Years]]&lt;=15,"Mid-Level", TRUE, "Senior")</f>
        <v>Mid-Level</v>
      </c>
    </row>
    <row r="835" spans="1:20" x14ac:dyDescent="0.25">
      <c r="A835" s="1">
        <v>1162</v>
      </c>
      <c r="B835" s="1">
        <v>27</v>
      </c>
      <c r="C835" t="s">
        <v>9</v>
      </c>
      <c r="D835" t="s">
        <v>10</v>
      </c>
      <c r="E835" t="s">
        <v>6</v>
      </c>
      <c r="F835" t="s">
        <v>11</v>
      </c>
      <c r="G835" t="s">
        <v>12</v>
      </c>
      <c r="H835" s="1">
        <v>3</v>
      </c>
      <c r="I835" s="1">
        <v>2539</v>
      </c>
      <c r="J835" t="s">
        <v>9</v>
      </c>
      <c r="K835" s="1">
        <v>13</v>
      </c>
      <c r="L835" s="1">
        <v>3</v>
      </c>
      <c r="M835" s="1">
        <v>4</v>
      </c>
      <c r="N835" s="1">
        <v>3</v>
      </c>
      <c r="O835" s="1">
        <v>4</v>
      </c>
      <c r="P835" s="1">
        <f>COUNTIF(HR_Data[Employee Number],HR_Data[[#This Row],[Employee Number]])</f>
        <v>1</v>
      </c>
      <c r="Q835" s="1" t="str">
        <f>IF(HR_Data[[#This Row],[Years At Company]]&lt;=HR_Data[[#This Row],[Total Working Years]],"Valid","error")</f>
        <v>Valid</v>
      </c>
      <c r="R835" s="1" t="str" cm="1">
        <f t="array" ref="R835">_xlfn.IFS(HR_Data[[#This Row],[Age]]&lt;=30,"Young", HR_Data[[#This Row],[Age]]&lt;=45,"Mid-Age",HR_Data[[#This Row],[Age]]&gt;45,"Senior")</f>
        <v>Young</v>
      </c>
      <c r="S835" s="1" t="str" cm="1">
        <f t="array" ref="S835">_xlfn.IFS(HR_Data[[#This Row],[Monthly Income]]&lt;5000,"Low", HR_Data[[#This Row],[Monthly Income]]&lt;10000,"Medium",TRUE,"High")</f>
        <v>Low</v>
      </c>
      <c r="T835" s="1" t="str" cm="1">
        <f t="array" ref="T835">_xlfn.IFS(HR_Data[[#This Row],[Total Working Years]]&lt;=5,"Junior", HR_Data[[#This Row],[Total Working Years]]&lt;=15,"Mid-Level", TRUE, "Senior")</f>
        <v>Junior</v>
      </c>
    </row>
    <row r="836" spans="1:20" x14ac:dyDescent="0.25">
      <c r="A836" s="1">
        <v>1163</v>
      </c>
      <c r="B836" s="1">
        <v>34</v>
      </c>
      <c r="C836" t="s">
        <v>9</v>
      </c>
      <c r="D836" t="s">
        <v>5</v>
      </c>
      <c r="E836" t="s">
        <v>6</v>
      </c>
      <c r="F836" t="s">
        <v>7</v>
      </c>
      <c r="G836" t="s">
        <v>8</v>
      </c>
      <c r="H836" s="1">
        <v>3</v>
      </c>
      <c r="I836" s="1">
        <v>5714</v>
      </c>
      <c r="J836" t="s">
        <v>9</v>
      </c>
      <c r="K836" s="1">
        <v>20</v>
      </c>
      <c r="L836" s="1">
        <v>4</v>
      </c>
      <c r="M836" s="1">
        <v>6</v>
      </c>
      <c r="N836" s="1">
        <v>2</v>
      </c>
      <c r="O836" s="1">
        <v>6</v>
      </c>
      <c r="P836" s="1">
        <f>COUNTIF(HR_Data[Employee Number],HR_Data[[#This Row],[Employee Number]])</f>
        <v>1</v>
      </c>
      <c r="Q836" s="1" t="str">
        <f>IF(HR_Data[[#This Row],[Years At Company]]&lt;=HR_Data[[#This Row],[Total Working Years]],"Valid","error")</f>
        <v>Valid</v>
      </c>
      <c r="R836" s="1" t="str" cm="1">
        <f t="array" ref="R836">_xlfn.IFS(HR_Data[[#This Row],[Age]]&lt;=30,"Young", HR_Data[[#This Row],[Age]]&lt;=45,"Mid-Age",HR_Data[[#This Row],[Age]]&gt;45,"Senior")</f>
        <v>Mid-Age</v>
      </c>
      <c r="S836" s="1" t="str" cm="1">
        <f t="array" ref="S836">_xlfn.IFS(HR_Data[[#This Row],[Monthly Income]]&lt;5000,"Low", HR_Data[[#This Row],[Monthly Income]]&lt;10000,"Medium",TRUE,"High")</f>
        <v>Medium</v>
      </c>
      <c r="T836" s="1" t="str" cm="1">
        <f t="array" ref="T836">_xlfn.IFS(HR_Data[[#This Row],[Total Working Years]]&lt;=5,"Junior", HR_Data[[#This Row],[Total Working Years]]&lt;=15,"Mid-Level", TRUE, "Senior")</f>
        <v>Mid-Level</v>
      </c>
    </row>
    <row r="837" spans="1:20" x14ac:dyDescent="0.25">
      <c r="A837" s="1">
        <v>1164</v>
      </c>
      <c r="B837" s="1">
        <v>35</v>
      </c>
      <c r="C837" t="s">
        <v>9</v>
      </c>
      <c r="D837" t="s">
        <v>23</v>
      </c>
      <c r="E837" t="s">
        <v>22</v>
      </c>
      <c r="F837" t="s">
        <v>11</v>
      </c>
      <c r="G837" t="s">
        <v>23</v>
      </c>
      <c r="H837" s="1">
        <v>3</v>
      </c>
      <c r="I837" s="1">
        <v>4323</v>
      </c>
      <c r="J837" t="s">
        <v>9</v>
      </c>
      <c r="K837" s="1">
        <v>17</v>
      </c>
      <c r="L837" s="1">
        <v>3</v>
      </c>
      <c r="M837" s="1">
        <v>6</v>
      </c>
      <c r="N837" s="1">
        <v>1</v>
      </c>
      <c r="O837" s="1">
        <v>5</v>
      </c>
      <c r="P837" s="1">
        <f>COUNTIF(HR_Data[Employee Number],HR_Data[[#This Row],[Employee Number]])</f>
        <v>1</v>
      </c>
      <c r="Q837" s="1" t="str">
        <f>IF(HR_Data[[#This Row],[Years At Company]]&lt;=HR_Data[[#This Row],[Total Working Years]],"Valid","error")</f>
        <v>Valid</v>
      </c>
      <c r="R837" s="1" t="str" cm="1">
        <f t="array" ref="R837">_xlfn.IFS(HR_Data[[#This Row],[Age]]&lt;=30,"Young", HR_Data[[#This Row],[Age]]&lt;=45,"Mid-Age",HR_Data[[#This Row],[Age]]&gt;45,"Senior")</f>
        <v>Mid-Age</v>
      </c>
      <c r="S837" s="1" t="str" cm="1">
        <f t="array" ref="S837">_xlfn.IFS(HR_Data[[#This Row],[Monthly Income]]&lt;5000,"Low", HR_Data[[#This Row],[Monthly Income]]&lt;10000,"Medium",TRUE,"High")</f>
        <v>Low</v>
      </c>
      <c r="T837" s="1" t="str" cm="1">
        <f t="array" ref="T837">_xlfn.IFS(HR_Data[[#This Row],[Total Working Years]]&lt;=5,"Junior", HR_Data[[#This Row],[Total Working Years]]&lt;=15,"Mid-Level", TRUE, "Senior")</f>
        <v>Mid-Level</v>
      </c>
    </row>
    <row r="838" spans="1:20" x14ac:dyDescent="0.25">
      <c r="A838" s="1">
        <v>1165</v>
      </c>
      <c r="B838" s="1">
        <v>29</v>
      </c>
      <c r="C838" t="s">
        <v>4</v>
      </c>
      <c r="D838" t="s">
        <v>5</v>
      </c>
      <c r="E838" t="s">
        <v>6</v>
      </c>
      <c r="F838" t="s">
        <v>7</v>
      </c>
      <c r="G838" t="s">
        <v>8</v>
      </c>
      <c r="H838" s="1">
        <v>1</v>
      </c>
      <c r="I838" s="1">
        <v>7336</v>
      </c>
      <c r="J838" t="s">
        <v>9</v>
      </c>
      <c r="K838" s="1">
        <v>13</v>
      </c>
      <c r="L838" s="1">
        <v>3</v>
      </c>
      <c r="M838" s="1">
        <v>11</v>
      </c>
      <c r="N838" s="1">
        <v>1</v>
      </c>
      <c r="O838" s="1">
        <v>11</v>
      </c>
      <c r="P838" s="1">
        <f>COUNTIF(HR_Data[Employee Number],HR_Data[[#This Row],[Employee Number]])</f>
        <v>1</v>
      </c>
      <c r="Q838" s="1" t="str">
        <f>IF(HR_Data[[#This Row],[Years At Company]]&lt;=HR_Data[[#This Row],[Total Working Years]],"Valid","error")</f>
        <v>Valid</v>
      </c>
      <c r="R838" s="1" t="str" cm="1">
        <f t="array" ref="R838">_xlfn.IFS(HR_Data[[#This Row],[Age]]&lt;=30,"Young", HR_Data[[#This Row],[Age]]&lt;=45,"Mid-Age",HR_Data[[#This Row],[Age]]&gt;45,"Senior")</f>
        <v>Young</v>
      </c>
      <c r="S838" s="1" t="str" cm="1">
        <f t="array" ref="S838">_xlfn.IFS(HR_Data[[#This Row],[Monthly Income]]&lt;5000,"Low", HR_Data[[#This Row],[Monthly Income]]&lt;10000,"Medium",TRUE,"High")</f>
        <v>Medium</v>
      </c>
      <c r="T838" s="1" t="str" cm="1">
        <f t="array" ref="T838">_xlfn.IFS(HR_Data[[#This Row],[Total Working Years]]&lt;=5,"Junior", HR_Data[[#This Row],[Total Working Years]]&lt;=15,"Mid-Level", TRUE, "Senior")</f>
        <v>Mid-Level</v>
      </c>
    </row>
    <row r="839" spans="1:20" x14ac:dyDescent="0.25">
      <c r="A839" s="1">
        <v>1166</v>
      </c>
      <c r="B839" s="1">
        <v>40</v>
      </c>
      <c r="C839" t="s">
        <v>9</v>
      </c>
      <c r="D839" t="s">
        <v>10</v>
      </c>
      <c r="E839" t="s">
        <v>15</v>
      </c>
      <c r="F839" t="s">
        <v>7</v>
      </c>
      <c r="G839" t="s">
        <v>20</v>
      </c>
      <c r="H839" s="1">
        <v>3</v>
      </c>
      <c r="I839" s="1">
        <v>13499</v>
      </c>
      <c r="J839" t="s">
        <v>9</v>
      </c>
      <c r="K839" s="1">
        <v>17</v>
      </c>
      <c r="L839" s="1">
        <v>3</v>
      </c>
      <c r="M839" s="1">
        <v>20</v>
      </c>
      <c r="N839" s="1">
        <v>2</v>
      </c>
      <c r="O839" s="1">
        <v>18</v>
      </c>
      <c r="P839" s="1">
        <f>COUNTIF(HR_Data[Employee Number],HR_Data[[#This Row],[Employee Number]])</f>
        <v>1</v>
      </c>
      <c r="Q839" s="1" t="str">
        <f>IF(HR_Data[[#This Row],[Years At Company]]&lt;=HR_Data[[#This Row],[Total Working Years]],"Valid","error")</f>
        <v>Valid</v>
      </c>
      <c r="R839" s="1" t="str" cm="1">
        <f t="array" ref="R839">_xlfn.IFS(HR_Data[[#This Row],[Age]]&lt;=30,"Young", HR_Data[[#This Row],[Age]]&lt;=45,"Mid-Age",HR_Data[[#This Row],[Age]]&gt;45,"Senior")</f>
        <v>Mid-Age</v>
      </c>
      <c r="S839" s="1" t="str" cm="1">
        <f t="array" ref="S839">_xlfn.IFS(HR_Data[[#This Row],[Monthly Income]]&lt;5000,"Low", HR_Data[[#This Row],[Monthly Income]]&lt;10000,"Medium",TRUE,"High")</f>
        <v>High</v>
      </c>
      <c r="T839" s="1" t="str" cm="1">
        <f t="array" ref="T839">_xlfn.IFS(HR_Data[[#This Row],[Total Working Years]]&lt;=5,"Junior", HR_Data[[#This Row],[Total Working Years]]&lt;=15,"Mid-Level", TRUE, "Senior")</f>
        <v>Senior</v>
      </c>
    </row>
    <row r="840" spans="1:20" x14ac:dyDescent="0.25">
      <c r="A840" s="1">
        <v>1167</v>
      </c>
      <c r="B840" s="1">
        <v>42</v>
      </c>
      <c r="C840" t="s">
        <v>4</v>
      </c>
      <c r="D840" t="s">
        <v>5</v>
      </c>
      <c r="E840" t="s">
        <v>6</v>
      </c>
      <c r="F840" t="s">
        <v>11</v>
      </c>
      <c r="G840" t="s">
        <v>8</v>
      </c>
      <c r="H840" s="1">
        <v>1</v>
      </c>
      <c r="I840" s="1">
        <v>13758</v>
      </c>
      <c r="J840" t="s">
        <v>4</v>
      </c>
      <c r="K840" s="1">
        <v>12</v>
      </c>
      <c r="L840" s="1">
        <v>3</v>
      </c>
      <c r="M840" s="1">
        <v>22</v>
      </c>
      <c r="N840" s="1">
        <v>2</v>
      </c>
      <c r="O840" s="1">
        <v>21</v>
      </c>
      <c r="P840" s="1">
        <f>COUNTIF(HR_Data[Employee Number],HR_Data[[#This Row],[Employee Number]])</f>
        <v>1</v>
      </c>
      <c r="Q840" s="1" t="str">
        <f>IF(HR_Data[[#This Row],[Years At Company]]&lt;=HR_Data[[#This Row],[Total Working Years]],"Valid","error")</f>
        <v>Valid</v>
      </c>
      <c r="R840" s="1" t="str" cm="1">
        <f t="array" ref="R840">_xlfn.IFS(HR_Data[[#This Row],[Age]]&lt;=30,"Young", HR_Data[[#This Row],[Age]]&lt;=45,"Mid-Age",HR_Data[[#This Row],[Age]]&gt;45,"Senior")</f>
        <v>Mid-Age</v>
      </c>
      <c r="S840" s="1" t="str" cm="1">
        <f t="array" ref="S840">_xlfn.IFS(HR_Data[[#This Row],[Monthly Income]]&lt;5000,"Low", HR_Data[[#This Row],[Monthly Income]]&lt;10000,"Medium",TRUE,"High")</f>
        <v>High</v>
      </c>
      <c r="T840" s="1" t="str" cm="1">
        <f t="array" ref="T840">_xlfn.IFS(HR_Data[[#This Row],[Total Working Years]]&lt;=5,"Junior", HR_Data[[#This Row],[Total Working Years]]&lt;=15,"Mid-Level", TRUE, "Senior")</f>
        <v>Senior</v>
      </c>
    </row>
    <row r="841" spans="1:20" x14ac:dyDescent="0.25">
      <c r="A841" s="1">
        <v>1171</v>
      </c>
      <c r="B841" s="1">
        <v>42</v>
      </c>
      <c r="C841" t="s">
        <v>9</v>
      </c>
      <c r="D841" t="s">
        <v>5</v>
      </c>
      <c r="E841" t="s">
        <v>21</v>
      </c>
      <c r="F841" t="s">
        <v>11</v>
      </c>
      <c r="G841" t="s">
        <v>8</v>
      </c>
      <c r="H841" s="1">
        <v>1</v>
      </c>
      <c r="I841" s="1">
        <v>5155</v>
      </c>
      <c r="J841" t="s">
        <v>9</v>
      </c>
      <c r="K841" s="1">
        <v>13</v>
      </c>
      <c r="L841" s="1">
        <v>3</v>
      </c>
      <c r="M841" s="1">
        <v>9</v>
      </c>
      <c r="N841" s="1">
        <v>4</v>
      </c>
      <c r="O841" s="1">
        <v>6</v>
      </c>
      <c r="P841" s="1">
        <f>COUNTIF(HR_Data[Employee Number],HR_Data[[#This Row],[Employee Number]])</f>
        <v>1</v>
      </c>
      <c r="Q841" s="1" t="str">
        <f>IF(HR_Data[[#This Row],[Years At Company]]&lt;=HR_Data[[#This Row],[Total Working Years]],"Valid","error")</f>
        <v>Valid</v>
      </c>
      <c r="R841" s="1" t="str" cm="1">
        <f t="array" ref="R841">_xlfn.IFS(HR_Data[[#This Row],[Age]]&lt;=30,"Young", HR_Data[[#This Row],[Age]]&lt;=45,"Mid-Age",HR_Data[[#This Row],[Age]]&gt;45,"Senior")</f>
        <v>Mid-Age</v>
      </c>
      <c r="S841" s="1" t="str" cm="1">
        <f t="array" ref="S841">_xlfn.IFS(HR_Data[[#This Row],[Monthly Income]]&lt;5000,"Low", HR_Data[[#This Row],[Monthly Income]]&lt;10000,"Medium",TRUE,"High")</f>
        <v>Medium</v>
      </c>
      <c r="T841" s="1" t="str" cm="1">
        <f t="array" ref="T841">_xlfn.IFS(HR_Data[[#This Row],[Total Working Years]]&lt;=5,"Junior", HR_Data[[#This Row],[Total Working Years]]&lt;=15,"Mid-Level", TRUE, "Senior")</f>
        <v>Mid-Level</v>
      </c>
    </row>
    <row r="842" spans="1:20" x14ac:dyDescent="0.25">
      <c r="A842" s="1">
        <v>1172</v>
      </c>
      <c r="B842" s="1">
        <v>35</v>
      </c>
      <c r="C842" t="s">
        <v>9</v>
      </c>
      <c r="D842" t="s">
        <v>10</v>
      </c>
      <c r="E842" t="s">
        <v>15</v>
      </c>
      <c r="F842" t="s">
        <v>11</v>
      </c>
      <c r="G842" t="s">
        <v>14</v>
      </c>
      <c r="H842" s="1">
        <v>3</v>
      </c>
      <c r="I842" s="1">
        <v>2258</v>
      </c>
      <c r="J842" t="s">
        <v>9</v>
      </c>
      <c r="K842" s="1">
        <v>12</v>
      </c>
      <c r="L842" s="1">
        <v>3</v>
      </c>
      <c r="M842" s="1">
        <v>10</v>
      </c>
      <c r="N842" s="1">
        <v>3</v>
      </c>
      <c r="O842" s="1">
        <v>8</v>
      </c>
      <c r="P842" s="1">
        <f>COUNTIF(HR_Data[Employee Number],HR_Data[[#This Row],[Employee Number]])</f>
        <v>1</v>
      </c>
      <c r="Q842" s="1" t="str">
        <f>IF(HR_Data[[#This Row],[Years At Company]]&lt;=HR_Data[[#This Row],[Total Working Years]],"Valid","error")</f>
        <v>Valid</v>
      </c>
      <c r="R842" s="1" t="str" cm="1">
        <f t="array" ref="R842">_xlfn.IFS(HR_Data[[#This Row],[Age]]&lt;=30,"Young", HR_Data[[#This Row],[Age]]&lt;=45,"Mid-Age",HR_Data[[#This Row],[Age]]&gt;45,"Senior")</f>
        <v>Mid-Age</v>
      </c>
      <c r="S842" s="1" t="str" cm="1">
        <f t="array" ref="S842">_xlfn.IFS(HR_Data[[#This Row],[Monthly Income]]&lt;5000,"Low", HR_Data[[#This Row],[Monthly Income]]&lt;10000,"Medium",TRUE,"High")</f>
        <v>Low</v>
      </c>
      <c r="T842" s="1" t="str" cm="1">
        <f t="array" ref="T842">_xlfn.IFS(HR_Data[[#This Row],[Total Working Years]]&lt;=5,"Junior", HR_Data[[#This Row],[Total Working Years]]&lt;=15,"Mid-Level", TRUE, "Senior")</f>
        <v>Mid-Level</v>
      </c>
    </row>
    <row r="843" spans="1:20" x14ac:dyDescent="0.25">
      <c r="A843" s="1">
        <v>1173</v>
      </c>
      <c r="B843" s="1">
        <v>24</v>
      </c>
      <c r="C843" t="s">
        <v>9</v>
      </c>
      <c r="D843" t="s">
        <v>10</v>
      </c>
      <c r="E843" t="s">
        <v>15</v>
      </c>
      <c r="F843" t="s">
        <v>11</v>
      </c>
      <c r="G843" t="s">
        <v>14</v>
      </c>
      <c r="H843" s="1">
        <v>2</v>
      </c>
      <c r="I843" s="1">
        <v>3597</v>
      </c>
      <c r="J843" t="s">
        <v>9</v>
      </c>
      <c r="K843" s="1">
        <v>22</v>
      </c>
      <c r="L843" s="1">
        <v>4</v>
      </c>
      <c r="M843" s="1">
        <v>6</v>
      </c>
      <c r="N843" s="1">
        <v>3</v>
      </c>
      <c r="O843" s="1">
        <v>4</v>
      </c>
      <c r="P843" s="1">
        <f>COUNTIF(HR_Data[Employee Number],HR_Data[[#This Row],[Employee Number]])</f>
        <v>1</v>
      </c>
      <c r="Q843" s="1" t="str">
        <f>IF(HR_Data[[#This Row],[Years At Company]]&lt;=HR_Data[[#This Row],[Total Working Years]],"Valid","error")</f>
        <v>Valid</v>
      </c>
      <c r="R843" s="1" t="str" cm="1">
        <f t="array" ref="R843">_xlfn.IFS(HR_Data[[#This Row],[Age]]&lt;=30,"Young", HR_Data[[#This Row],[Age]]&lt;=45,"Mid-Age",HR_Data[[#This Row],[Age]]&gt;45,"Senior")</f>
        <v>Young</v>
      </c>
      <c r="S843" s="1" t="str" cm="1">
        <f t="array" ref="S843">_xlfn.IFS(HR_Data[[#This Row],[Monthly Income]]&lt;5000,"Low", HR_Data[[#This Row],[Monthly Income]]&lt;10000,"Medium",TRUE,"High")</f>
        <v>Low</v>
      </c>
      <c r="T843" s="1" t="str" cm="1">
        <f t="array" ref="T843">_xlfn.IFS(HR_Data[[#This Row],[Total Working Years]]&lt;=5,"Junior", HR_Data[[#This Row],[Total Working Years]]&lt;=15,"Mid-Level", TRUE, "Senior")</f>
        <v>Mid-Level</v>
      </c>
    </row>
    <row r="844" spans="1:20" x14ac:dyDescent="0.25">
      <c r="A844" s="1">
        <v>1175</v>
      </c>
      <c r="B844" s="1">
        <v>28</v>
      </c>
      <c r="C844" t="s">
        <v>4</v>
      </c>
      <c r="D844" t="s">
        <v>10</v>
      </c>
      <c r="E844" t="s">
        <v>6</v>
      </c>
      <c r="F844" t="s">
        <v>7</v>
      </c>
      <c r="G844" t="s">
        <v>14</v>
      </c>
      <c r="H844" s="1">
        <v>4</v>
      </c>
      <c r="I844" s="1">
        <v>2515</v>
      </c>
      <c r="J844" t="s">
        <v>4</v>
      </c>
      <c r="K844" s="1">
        <v>11</v>
      </c>
      <c r="L844" s="1">
        <v>3</v>
      </c>
      <c r="M844" s="1">
        <v>1</v>
      </c>
      <c r="N844" s="1">
        <v>2</v>
      </c>
      <c r="O844" s="1">
        <v>1</v>
      </c>
      <c r="P844" s="1">
        <f>COUNTIF(HR_Data[Employee Number],HR_Data[[#This Row],[Employee Number]])</f>
        <v>1</v>
      </c>
      <c r="Q844" s="1" t="str">
        <f>IF(HR_Data[[#This Row],[Years At Company]]&lt;=HR_Data[[#This Row],[Total Working Years]],"Valid","error")</f>
        <v>Valid</v>
      </c>
      <c r="R844" s="1" t="str" cm="1">
        <f t="array" ref="R844">_xlfn.IFS(HR_Data[[#This Row],[Age]]&lt;=30,"Young", HR_Data[[#This Row],[Age]]&lt;=45,"Mid-Age",HR_Data[[#This Row],[Age]]&gt;45,"Senior")</f>
        <v>Young</v>
      </c>
      <c r="S844" s="1" t="str" cm="1">
        <f t="array" ref="S844">_xlfn.IFS(HR_Data[[#This Row],[Monthly Income]]&lt;5000,"Low", HR_Data[[#This Row],[Monthly Income]]&lt;10000,"Medium",TRUE,"High")</f>
        <v>Low</v>
      </c>
      <c r="T844" s="1" t="str" cm="1">
        <f t="array" ref="T844">_xlfn.IFS(HR_Data[[#This Row],[Total Working Years]]&lt;=5,"Junior", HR_Data[[#This Row],[Total Working Years]]&lt;=15,"Mid-Level", TRUE, "Senior")</f>
        <v>Junior</v>
      </c>
    </row>
    <row r="845" spans="1:20" x14ac:dyDescent="0.25">
      <c r="A845" s="1">
        <v>1177</v>
      </c>
      <c r="B845" s="1">
        <v>26</v>
      </c>
      <c r="C845" t="s">
        <v>9</v>
      </c>
      <c r="D845" t="s">
        <v>10</v>
      </c>
      <c r="E845" t="s">
        <v>15</v>
      </c>
      <c r="F845" t="s">
        <v>11</v>
      </c>
      <c r="G845" t="s">
        <v>14</v>
      </c>
      <c r="H845" s="1">
        <v>4</v>
      </c>
      <c r="I845" s="1">
        <v>4420</v>
      </c>
      <c r="J845" t="s">
        <v>9</v>
      </c>
      <c r="K845" s="1">
        <v>22</v>
      </c>
      <c r="L845" s="1">
        <v>4</v>
      </c>
      <c r="M845" s="1">
        <v>8</v>
      </c>
      <c r="N845" s="1">
        <v>3</v>
      </c>
      <c r="O845" s="1">
        <v>8</v>
      </c>
      <c r="P845" s="1">
        <f>COUNTIF(HR_Data[Employee Number],HR_Data[[#This Row],[Employee Number]])</f>
        <v>1</v>
      </c>
      <c r="Q845" s="1" t="str">
        <f>IF(HR_Data[[#This Row],[Years At Company]]&lt;=HR_Data[[#This Row],[Total Working Years]],"Valid","error")</f>
        <v>Valid</v>
      </c>
      <c r="R845" s="1" t="str" cm="1">
        <f t="array" ref="R845">_xlfn.IFS(HR_Data[[#This Row],[Age]]&lt;=30,"Young", HR_Data[[#This Row],[Age]]&lt;=45,"Mid-Age",HR_Data[[#This Row],[Age]]&gt;45,"Senior")</f>
        <v>Young</v>
      </c>
      <c r="S845" s="1" t="str" cm="1">
        <f t="array" ref="S845">_xlfn.IFS(HR_Data[[#This Row],[Monthly Income]]&lt;5000,"Low", HR_Data[[#This Row],[Monthly Income]]&lt;10000,"Medium",TRUE,"High")</f>
        <v>Low</v>
      </c>
      <c r="T845" s="1" t="str" cm="1">
        <f t="array" ref="T845">_xlfn.IFS(HR_Data[[#This Row],[Total Working Years]]&lt;=5,"Junior", HR_Data[[#This Row],[Total Working Years]]&lt;=15,"Mid-Level", TRUE, "Senior")</f>
        <v>Mid-Level</v>
      </c>
    </row>
    <row r="846" spans="1:20" x14ac:dyDescent="0.25">
      <c r="A846" s="1">
        <v>1179</v>
      </c>
      <c r="B846" s="1">
        <v>30</v>
      </c>
      <c r="C846" t="s">
        <v>9</v>
      </c>
      <c r="D846" t="s">
        <v>5</v>
      </c>
      <c r="E846" t="s">
        <v>21</v>
      </c>
      <c r="F846" t="s">
        <v>11</v>
      </c>
      <c r="G846" t="s">
        <v>8</v>
      </c>
      <c r="H846" s="1">
        <v>3</v>
      </c>
      <c r="I846" s="1">
        <v>6578</v>
      </c>
      <c r="J846" t="s">
        <v>9</v>
      </c>
      <c r="K846" s="1">
        <v>18</v>
      </c>
      <c r="L846" s="1">
        <v>3</v>
      </c>
      <c r="M846" s="1">
        <v>10</v>
      </c>
      <c r="N846" s="1">
        <v>3</v>
      </c>
      <c r="O846" s="1">
        <v>10</v>
      </c>
      <c r="P846" s="1">
        <f>COUNTIF(HR_Data[Employee Number],HR_Data[[#This Row],[Employee Number]])</f>
        <v>1</v>
      </c>
      <c r="Q846" s="1" t="str">
        <f>IF(HR_Data[[#This Row],[Years At Company]]&lt;=HR_Data[[#This Row],[Total Working Years]],"Valid","error")</f>
        <v>Valid</v>
      </c>
      <c r="R846" s="1" t="str" cm="1">
        <f t="array" ref="R846">_xlfn.IFS(HR_Data[[#This Row],[Age]]&lt;=30,"Young", HR_Data[[#This Row],[Age]]&lt;=45,"Mid-Age",HR_Data[[#This Row],[Age]]&gt;45,"Senior")</f>
        <v>Young</v>
      </c>
      <c r="S846" s="1" t="str" cm="1">
        <f t="array" ref="S846">_xlfn.IFS(HR_Data[[#This Row],[Monthly Income]]&lt;5000,"Low", HR_Data[[#This Row],[Monthly Income]]&lt;10000,"Medium",TRUE,"High")</f>
        <v>Medium</v>
      </c>
      <c r="T846" s="1" t="str" cm="1">
        <f t="array" ref="T846">_xlfn.IFS(HR_Data[[#This Row],[Total Working Years]]&lt;=5,"Junior", HR_Data[[#This Row],[Total Working Years]]&lt;=15,"Mid-Level", TRUE, "Senior")</f>
        <v>Mid-Level</v>
      </c>
    </row>
    <row r="847" spans="1:20" x14ac:dyDescent="0.25">
      <c r="A847" s="1">
        <v>1180</v>
      </c>
      <c r="B847" s="1">
        <v>40</v>
      </c>
      <c r="C847" t="s">
        <v>9</v>
      </c>
      <c r="D847" t="s">
        <v>10</v>
      </c>
      <c r="E847" t="s">
        <v>15</v>
      </c>
      <c r="F847" t="s">
        <v>7</v>
      </c>
      <c r="G847" t="s">
        <v>12</v>
      </c>
      <c r="H847" s="1">
        <v>4</v>
      </c>
      <c r="I847" s="1">
        <v>4422</v>
      </c>
      <c r="J847" t="s">
        <v>4</v>
      </c>
      <c r="K847" s="1">
        <v>13</v>
      </c>
      <c r="L847" s="1">
        <v>3</v>
      </c>
      <c r="M847" s="1">
        <v>16</v>
      </c>
      <c r="N847" s="1">
        <v>1</v>
      </c>
      <c r="O847" s="1">
        <v>1</v>
      </c>
      <c r="P847" s="1">
        <f>COUNTIF(HR_Data[Employee Number],HR_Data[[#This Row],[Employee Number]])</f>
        <v>1</v>
      </c>
      <c r="Q847" s="1" t="str">
        <f>IF(HR_Data[[#This Row],[Years At Company]]&lt;=HR_Data[[#This Row],[Total Working Years]],"Valid","error")</f>
        <v>Valid</v>
      </c>
      <c r="R847" s="1" t="str" cm="1">
        <f t="array" ref="R847">_xlfn.IFS(HR_Data[[#This Row],[Age]]&lt;=30,"Young", HR_Data[[#This Row],[Age]]&lt;=45,"Mid-Age",HR_Data[[#This Row],[Age]]&gt;45,"Senior")</f>
        <v>Mid-Age</v>
      </c>
      <c r="S847" s="1" t="str" cm="1">
        <f t="array" ref="S847">_xlfn.IFS(HR_Data[[#This Row],[Monthly Income]]&lt;5000,"Low", HR_Data[[#This Row],[Monthly Income]]&lt;10000,"Medium",TRUE,"High")</f>
        <v>Low</v>
      </c>
      <c r="T847" s="1" t="str" cm="1">
        <f t="array" ref="T847">_xlfn.IFS(HR_Data[[#This Row],[Total Working Years]]&lt;=5,"Junior", HR_Data[[#This Row],[Total Working Years]]&lt;=15,"Mid-Level", TRUE, "Senior")</f>
        <v>Senior</v>
      </c>
    </row>
    <row r="848" spans="1:20" x14ac:dyDescent="0.25">
      <c r="A848" s="1">
        <v>1182</v>
      </c>
      <c r="B848" s="1">
        <v>35</v>
      </c>
      <c r="C848" t="s">
        <v>9</v>
      </c>
      <c r="D848" t="s">
        <v>10</v>
      </c>
      <c r="E848" t="s">
        <v>6</v>
      </c>
      <c r="F848" t="s">
        <v>11</v>
      </c>
      <c r="G848" t="s">
        <v>16</v>
      </c>
      <c r="H848" s="1">
        <v>2</v>
      </c>
      <c r="I848" s="1">
        <v>10274</v>
      </c>
      <c r="J848" t="s">
        <v>9</v>
      </c>
      <c r="K848" s="1">
        <v>18</v>
      </c>
      <c r="L848" s="1">
        <v>3</v>
      </c>
      <c r="M848" s="1">
        <v>15</v>
      </c>
      <c r="N848" s="1">
        <v>4</v>
      </c>
      <c r="O848" s="1">
        <v>7</v>
      </c>
      <c r="P848" s="1">
        <f>COUNTIF(HR_Data[Employee Number],HR_Data[[#This Row],[Employee Number]])</f>
        <v>1</v>
      </c>
      <c r="Q848" s="1" t="str">
        <f>IF(HR_Data[[#This Row],[Years At Company]]&lt;=HR_Data[[#This Row],[Total Working Years]],"Valid","error")</f>
        <v>Valid</v>
      </c>
      <c r="R848" s="1" t="str" cm="1">
        <f t="array" ref="R848">_xlfn.IFS(HR_Data[[#This Row],[Age]]&lt;=30,"Young", HR_Data[[#This Row],[Age]]&lt;=45,"Mid-Age",HR_Data[[#This Row],[Age]]&gt;45,"Senior")</f>
        <v>Mid-Age</v>
      </c>
      <c r="S848" s="1" t="str" cm="1">
        <f t="array" ref="S848">_xlfn.IFS(HR_Data[[#This Row],[Monthly Income]]&lt;5000,"Low", HR_Data[[#This Row],[Monthly Income]]&lt;10000,"Medium",TRUE,"High")</f>
        <v>High</v>
      </c>
      <c r="T848" s="1" t="str" cm="1">
        <f t="array" ref="T848">_xlfn.IFS(HR_Data[[#This Row],[Total Working Years]]&lt;=5,"Junior", HR_Data[[#This Row],[Total Working Years]]&lt;=15,"Mid-Level", TRUE, "Senior")</f>
        <v>Mid-Level</v>
      </c>
    </row>
    <row r="849" spans="1:20" x14ac:dyDescent="0.25">
      <c r="A849" s="1">
        <v>1184</v>
      </c>
      <c r="B849" s="1">
        <v>34</v>
      </c>
      <c r="C849" t="s">
        <v>9</v>
      </c>
      <c r="D849" t="s">
        <v>10</v>
      </c>
      <c r="E849" t="s">
        <v>15</v>
      </c>
      <c r="F849" t="s">
        <v>11</v>
      </c>
      <c r="G849" t="s">
        <v>17</v>
      </c>
      <c r="H849" s="1">
        <v>1</v>
      </c>
      <c r="I849" s="1">
        <v>5343</v>
      </c>
      <c r="J849" t="s">
        <v>9</v>
      </c>
      <c r="K849" s="1">
        <v>20</v>
      </c>
      <c r="L849" s="1">
        <v>4</v>
      </c>
      <c r="M849" s="1">
        <v>14</v>
      </c>
      <c r="N849" s="1">
        <v>3</v>
      </c>
      <c r="O849" s="1">
        <v>13</v>
      </c>
      <c r="P849" s="1">
        <f>COUNTIF(HR_Data[Employee Number],HR_Data[[#This Row],[Employee Number]])</f>
        <v>1</v>
      </c>
      <c r="Q849" s="1" t="str">
        <f>IF(HR_Data[[#This Row],[Years At Company]]&lt;=HR_Data[[#This Row],[Total Working Years]],"Valid","error")</f>
        <v>Valid</v>
      </c>
      <c r="R849" s="1" t="str" cm="1">
        <f t="array" ref="R849">_xlfn.IFS(HR_Data[[#This Row],[Age]]&lt;=30,"Young", HR_Data[[#This Row],[Age]]&lt;=45,"Mid-Age",HR_Data[[#This Row],[Age]]&gt;45,"Senior")</f>
        <v>Mid-Age</v>
      </c>
      <c r="S849" s="1" t="str" cm="1">
        <f t="array" ref="S849">_xlfn.IFS(HR_Data[[#This Row],[Monthly Income]]&lt;5000,"Low", HR_Data[[#This Row],[Monthly Income]]&lt;10000,"Medium",TRUE,"High")</f>
        <v>Medium</v>
      </c>
      <c r="T849" s="1" t="str" cm="1">
        <f t="array" ref="T849">_xlfn.IFS(HR_Data[[#This Row],[Total Working Years]]&lt;=5,"Junior", HR_Data[[#This Row],[Total Working Years]]&lt;=15,"Mid-Level", TRUE, "Senior")</f>
        <v>Mid-Level</v>
      </c>
    </row>
    <row r="850" spans="1:20" x14ac:dyDescent="0.25">
      <c r="A850" s="1">
        <v>1185</v>
      </c>
      <c r="B850" s="1">
        <v>35</v>
      </c>
      <c r="C850" t="s">
        <v>9</v>
      </c>
      <c r="D850" t="s">
        <v>10</v>
      </c>
      <c r="E850" t="s">
        <v>13</v>
      </c>
      <c r="F850" t="s">
        <v>11</v>
      </c>
      <c r="G850" t="s">
        <v>14</v>
      </c>
      <c r="H850" s="1">
        <v>4</v>
      </c>
      <c r="I850" s="1">
        <v>2376</v>
      </c>
      <c r="J850" t="s">
        <v>9</v>
      </c>
      <c r="K850" s="1">
        <v>13</v>
      </c>
      <c r="L850" s="1">
        <v>3</v>
      </c>
      <c r="M850" s="1">
        <v>2</v>
      </c>
      <c r="N850" s="1">
        <v>4</v>
      </c>
      <c r="O850" s="1">
        <v>2</v>
      </c>
      <c r="P850" s="1">
        <f>COUNTIF(HR_Data[Employee Number],HR_Data[[#This Row],[Employee Number]])</f>
        <v>1</v>
      </c>
      <c r="Q850" s="1" t="str">
        <f>IF(HR_Data[[#This Row],[Years At Company]]&lt;=HR_Data[[#This Row],[Total Working Years]],"Valid","error")</f>
        <v>Valid</v>
      </c>
      <c r="R850" s="1" t="str" cm="1">
        <f t="array" ref="R850">_xlfn.IFS(HR_Data[[#This Row],[Age]]&lt;=30,"Young", HR_Data[[#This Row],[Age]]&lt;=45,"Mid-Age",HR_Data[[#This Row],[Age]]&gt;45,"Senior")</f>
        <v>Mid-Age</v>
      </c>
      <c r="S850" s="1" t="str" cm="1">
        <f t="array" ref="S850">_xlfn.IFS(HR_Data[[#This Row],[Monthly Income]]&lt;5000,"Low", HR_Data[[#This Row],[Monthly Income]]&lt;10000,"Medium",TRUE,"High")</f>
        <v>Low</v>
      </c>
      <c r="T850" s="1" t="str" cm="1">
        <f t="array" ref="T850">_xlfn.IFS(HR_Data[[#This Row],[Total Working Years]]&lt;=5,"Junior", HR_Data[[#This Row],[Total Working Years]]&lt;=15,"Mid-Level", TRUE, "Senior")</f>
        <v>Junior</v>
      </c>
    </row>
    <row r="851" spans="1:20" x14ac:dyDescent="0.25">
      <c r="A851" s="1">
        <v>1188</v>
      </c>
      <c r="B851" s="1">
        <v>43</v>
      </c>
      <c r="C851" t="s">
        <v>4</v>
      </c>
      <c r="D851" t="s">
        <v>5</v>
      </c>
      <c r="E851" t="s">
        <v>21</v>
      </c>
      <c r="F851" t="s">
        <v>7</v>
      </c>
      <c r="G851" t="s">
        <v>8</v>
      </c>
      <c r="H851" s="1">
        <v>3</v>
      </c>
      <c r="I851" s="1">
        <v>5346</v>
      </c>
      <c r="J851" t="s">
        <v>9</v>
      </c>
      <c r="K851" s="1">
        <v>13</v>
      </c>
      <c r="L851" s="1">
        <v>3</v>
      </c>
      <c r="M851" s="1">
        <v>7</v>
      </c>
      <c r="N851" s="1">
        <v>2</v>
      </c>
      <c r="O851" s="1">
        <v>4</v>
      </c>
      <c r="P851" s="1">
        <f>COUNTIF(HR_Data[Employee Number],HR_Data[[#This Row],[Employee Number]])</f>
        <v>1</v>
      </c>
      <c r="Q851" s="1" t="str">
        <f>IF(HR_Data[[#This Row],[Years At Company]]&lt;=HR_Data[[#This Row],[Total Working Years]],"Valid","error")</f>
        <v>Valid</v>
      </c>
      <c r="R851" s="1" t="str" cm="1">
        <f t="array" ref="R851">_xlfn.IFS(HR_Data[[#This Row],[Age]]&lt;=30,"Young", HR_Data[[#This Row],[Age]]&lt;=45,"Mid-Age",HR_Data[[#This Row],[Age]]&gt;45,"Senior")</f>
        <v>Mid-Age</v>
      </c>
      <c r="S851" s="1" t="str" cm="1">
        <f t="array" ref="S851">_xlfn.IFS(HR_Data[[#This Row],[Monthly Income]]&lt;5000,"Low", HR_Data[[#This Row],[Monthly Income]]&lt;10000,"Medium",TRUE,"High")</f>
        <v>Medium</v>
      </c>
      <c r="T851" s="1" t="str" cm="1">
        <f t="array" ref="T851">_xlfn.IFS(HR_Data[[#This Row],[Total Working Years]]&lt;=5,"Junior", HR_Data[[#This Row],[Total Working Years]]&lt;=15,"Mid-Level", TRUE, "Senior")</f>
        <v>Mid-Level</v>
      </c>
    </row>
    <row r="852" spans="1:20" x14ac:dyDescent="0.25">
      <c r="A852" s="1">
        <v>1190</v>
      </c>
      <c r="B852" s="1">
        <v>32</v>
      </c>
      <c r="C852" t="s">
        <v>9</v>
      </c>
      <c r="D852" t="s">
        <v>5</v>
      </c>
      <c r="E852" t="s">
        <v>6</v>
      </c>
      <c r="F852" t="s">
        <v>7</v>
      </c>
      <c r="G852" t="s">
        <v>19</v>
      </c>
      <c r="H852" s="1">
        <v>1</v>
      </c>
      <c r="I852" s="1">
        <v>2827</v>
      </c>
      <c r="J852" t="s">
        <v>9</v>
      </c>
      <c r="K852" s="1">
        <v>12</v>
      </c>
      <c r="L852" s="1">
        <v>3</v>
      </c>
      <c r="M852" s="1">
        <v>1</v>
      </c>
      <c r="N852" s="1">
        <v>3</v>
      </c>
      <c r="O852" s="1">
        <v>1</v>
      </c>
      <c r="P852" s="1">
        <f>COUNTIF(HR_Data[Employee Number],HR_Data[[#This Row],[Employee Number]])</f>
        <v>1</v>
      </c>
      <c r="Q852" s="1" t="str">
        <f>IF(HR_Data[[#This Row],[Years At Company]]&lt;=HR_Data[[#This Row],[Total Working Years]],"Valid","error")</f>
        <v>Valid</v>
      </c>
      <c r="R852" s="1" t="str" cm="1">
        <f t="array" ref="R852">_xlfn.IFS(HR_Data[[#This Row],[Age]]&lt;=30,"Young", HR_Data[[#This Row],[Age]]&lt;=45,"Mid-Age",HR_Data[[#This Row],[Age]]&gt;45,"Senior")</f>
        <v>Mid-Age</v>
      </c>
      <c r="S852" s="1" t="str" cm="1">
        <f t="array" ref="S852">_xlfn.IFS(HR_Data[[#This Row],[Monthly Income]]&lt;5000,"Low", HR_Data[[#This Row],[Monthly Income]]&lt;10000,"Medium",TRUE,"High")</f>
        <v>Low</v>
      </c>
      <c r="T852" s="1" t="str" cm="1">
        <f t="array" ref="T852">_xlfn.IFS(HR_Data[[#This Row],[Total Working Years]]&lt;=5,"Junior", HR_Data[[#This Row],[Total Working Years]]&lt;=15,"Mid-Level", TRUE, "Senior")</f>
        <v>Junior</v>
      </c>
    </row>
    <row r="853" spans="1:20" x14ac:dyDescent="0.25">
      <c r="A853" s="1">
        <v>1191</v>
      </c>
      <c r="B853" s="1">
        <v>56</v>
      </c>
      <c r="C853" t="s">
        <v>9</v>
      </c>
      <c r="D853" t="s">
        <v>10</v>
      </c>
      <c r="E853" t="s">
        <v>22</v>
      </c>
      <c r="F853" t="s">
        <v>7</v>
      </c>
      <c r="G853" t="s">
        <v>18</v>
      </c>
      <c r="H853" s="1">
        <v>1</v>
      </c>
      <c r="I853" s="1">
        <v>19943</v>
      </c>
      <c r="J853" t="s">
        <v>9</v>
      </c>
      <c r="K853" s="1">
        <v>13</v>
      </c>
      <c r="L853" s="1">
        <v>3</v>
      </c>
      <c r="M853" s="1">
        <v>28</v>
      </c>
      <c r="N853" s="1">
        <v>3</v>
      </c>
      <c r="O853" s="1">
        <v>5</v>
      </c>
      <c r="P853" s="1">
        <f>COUNTIF(HR_Data[Employee Number],HR_Data[[#This Row],[Employee Number]])</f>
        <v>1</v>
      </c>
      <c r="Q853" s="1" t="str">
        <f>IF(HR_Data[[#This Row],[Years At Company]]&lt;=HR_Data[[#This Row],[Total Working Years]],"Valid","error")</f>
        <v>Valid</v>
      </c>
      <c r="R853" s="1" t="str" cm="1">
        <f t="array" ref="R853">_xlfn.IFS(HR_Data[[#This Row],[Age]]&lt;=30,"Young", HR_Data[[#This Row],[Age]]&lt;=45,"Mid-Age",HR_Data[[#This Row],[Age]]&gt;45,"Senior")</f>
        <v>Senior</v>
      </c>
      <c r="S853" s="1" t="str" cm="1">
        <f t="array" ref="S853">_xlfn.IFS(HR_Data[[#This Row],[Monthly Income]]&lt;5000,"Low", HR_Data[[#This Row],[Monthly Income]]&lt;10000,"Medium",TRUE,"High")</f>
        <v>High</v>
      </c>
      <c r="T853" s="1" t="str" cm="1">
        <f t="array" ref="T853">_xlfn.IFS(HR_Data[[#This Row],[Total Working Years]]&lt;=5,"Junior", HR_Data[[#This Row],[Total Working Years]]&lt;=15,"Mid-Level", TRUE, "Senior")</f>
        <v>Senior</v>
      </c>
    </row>
    <row r="854" spans="1:20" x14ac:dyDescent="0.25">
      <c r="A854" s="1">
        <v>1192</v>
      </c>
      <c r="B854" s="1">
        <v>29</v>
      </c>
      <c r="C854" t="s">
        <v>9</v>
      </c>
      <c r="D854" t="s">
        <v>10</v>
      </c>
      <c r="E854" t="s">
        <v>15</v>
      </c>
      <c r="F854" t="s">
        <v>7</v>
      </c>
      <c r="G854" t="s">
        <v>14</v>
      </c>
      <c r="H854" s="1">
        <v>4</v>
      </c>
      <c r="I854" s="1">
        <v>3131</v>
      </c>
      <c r="J854" t="s">
        <v>9</v>
      </c>
      <c r="K854" s="1">
        <v>13</v>
      </c>
      <c r="L854" s="1">
        <v>3</v>
      </c>
      <c r="M854" s="1">
        <v>10</v>
      </c>
      <c r="N854" s="1">
        <v>3</v>
      </c>
      <c r="O854" s="1">
        <v>10</v>
      </c>
      <c r="P854" s="1">
        <f>COUNTIF(HR_Data[Employee Number],HR_Data[[#This Row],[Employee Number]])</f>
        <v>1</v>
      </c>
      <c r="Q854" s="1" t="str">
        <f>IF(HR_Data[[#This Row],[Years At Company]]&lt;=HR_Data[[#This Row],[Total Working Years]],"Valid","error")</f>
        <v>Valid</v>
      </c>
      <c r="R854" s="1" t="str" cm="1">
        <f t="array" ref="R854">_xlfn.IFS(HR_Data[[#This Row],[Age]]&lt;=30,"Young", HR_Data[[#This Row],[Age]]&lt;=45,"Mid-Age",HR_Data[[#This Row],[Age]]&gt;45,"Senior")</f>
        <v>Young</v>
      </c>
      <c r="S854" s="1" t="str" cm="1">
        <f t="array" ref="S854">_xlfn.IFS(HR_Data[[#This Row],[Monthly Income]]&lt;5000,"Low", HR_Data[[#This Row],[Monthly Income]]&lt;10000,"Medium",TRUE,"High")</f>
        <v>Low</v>
      </c>
      <c r="T854" s="1" t="str" cm="1">
        <f t="array" ref="T854">_xlfn.IFS(HR_Data[[#This Row],[Total Working Years]]&lt;=5,"Junior", HR_Data[[#This Row],[Total Working Years]]&lt;=15,"Mid-Level", TRUE, "Senior")</f>
        <v>Mid-Level</v>
      </c>
    </row>
    <row r="855" spans="1:20" x14ac:dyDescent="0.25">
      <c r="A855" s="1">
        <v>1193</v>
      </c>
      <c r="B855" s="1">
        <v>19</v>
      </c>
      <c r="C855" t="s">
        <v>9</v>
      </c>
      <c r="D855" t="s">
        <v>10</v>
      </c>
      <c r="E855" t="s">
        <v>6</v>
      </c>
      <c r="F855" t="s">
        <v>11</v>
      </c>
      <c r="G855" t="s">
        <v>12</v>
      </c>
      <c r="H855" s="1">
        <v>1</v>
      </c>
      <c r="I855" s="1">
        <v>2552</v>
      </c>
      <c r="J855" t="s">
        <v>9</v>
      </c>
      <c r="K855" s="1">
        <v>25</v>
      </c>
      <c r="L855" s="1">
        <v>4</v>
      </c>
      <c r="M855" s="1">
        <v>1</v>
      </c>
      <c r="N855" s="1">
        <v>3</v>
      </c>
      <c r="O855" s="1">
        <v>1</v>
      </c>
      <c r="P855" s="1">
        <f>COUNTIF(HR_Data[Employee Number],HR_Data[[#This Row],[Employee Number]])</f>
        <v>1</v>
      </c>
      <c r="Q855" s="1" t="str">
        <f>IF(HR_Data[[#This Row],[Years At Company]]&lt;=HR_Data[[#This Row],[Total Working Years]],"Valid","error")</f>
        <v>Valid</v>
      </c>
      <c r="R855" s="1" t="str" cm="1">
        <f t="array" ref="R855">_xlfn.IFS(HR_Data[[#This Row],[Age]]&lt;=30,"Young", HR_Data[[#This Row],[Age]]&lt;=45,"Mid-Age",HR_Data[[#This Row],[Age]]&gt;45,"Senior")</f>
        <v>Young</v>
      </c>
      <c r="S855" s="1" t="str" cm="1">
        <f t="array" ref="S855">_xlfn.IFS(HR_Data[[#This Row],[Monthly Income]]&lt;5000,"Low", HR_Data[[#This Row],[Monthly Income]]&lt;10000,"Medium",TRUE,"High")</f>
        <v>Low</v>
      </c>
      <c r="T855" s="1" t="str" cm="1">
        <f t="array" ref="T855">_xlfn.IFS(HR_Data[[#This Row],[Total Working Years]]&lt;=5,"Junior", HR_Data[[#This Row],[Total Working Years]]&lt;=15,"Mid-Level", TRUE, "Senior")</f>
        <v>Junior</v>
      </c>
    </row>
    <row r="856" spans="1:20" x14ac:dyDescent="0.25">
      <c r="A856" s="1">
        <v>1195</v>
      </c>
      <c r="B856" s="1">
        <v>45</v>
      </c>
      <c r="C856" t="s">
        <v>9</v>
      </c>
      <c r="D856" t="s">
        <v>10</v>
      </c>
      <c r="E856" t="s">
        <v>15</v>
      </c>
      <c r="F856" t="s">
        <v>7</v>
      </c>
      <c r="G856" t="s">
        <v>12</v>
      </c>
      <c r="H856" s="1">
        <v>3</v>
      </c>
      <c r="I856" s="1">
        <v>4477</v>
      </c>
      <c r="J856" t="s">
        <v>4</v>
      </c>
      <c r="K856" s="1">
        <v>19</v>
      </c>
      <c r="L856" s="1">
        <v>3</v>
      </c>
      <c r="M856" s="1">
        <v>7</v>
      </c>
      <c r="N856" s="1">
        <v>2</v>
      </c>
      <c r="O856" s="1">
        <v>3</v>
      </c>
      <c r="P856" s="1">
        <f>COUNTIF(HR_Data[Employee Number],HR_Data[[#This Row],[Employee Number]])</f>
        <v>1</v>
      </c>
      <c r="Q856" s="1" t="str">
        <f>IF(HR_Data[[#This Row],[Years At Company]]&lt;=HR_Data[[#This Row],[Total Working Years]],"Valid","error")</f>
        <v>Valid</v>
      </c>
      <c r="R856" s="1" t="str" cm="1">
        <f t="array" ref="R856">_xlfn.IFS(HR_Data[[#This Row],[Age]]&lt;=30,"Young", HR_Data[[#This Row],[Age]]&lt;=45,"Mid-Age",HR_Data[[#This Row],[Age]]&gt;45,"Senior")</f>
        <v>Mid-Age</v>
      </c>
      <c r="S856" s="1" t="str" cm="1">
        <f t="array" ref="S856">_xlfn.IFS(HR_Data[[#This Row],[Monthly Income]]&lt;5000,"Low", HR_Data[[#This Row],[Monthly Income]]&lt;10000,"Medium",TRUE,"High")</f>
        <v>Low</v>
      </c>
      <c r="T856" s="1" t="str" cm="1">
        <f t="array" ref="T856">_xlfn.IFS(HR_Data[[#This Row],[Total Working Years]]&lt;=5,"Junior", HR_Data[[#This Row],[Total Working Years]]&lt;=15,"Mid-Level", TRUE, "Senior")</f>
        <v>Mid-Level</v>
      </c>
    </row>
    <row r="857" spans="1:20" x14ac:dyDescent="0.25">
      <c r="A857" s="1">
        <v>1196</v>
      </c>
      <c r="B857" s="1">
        <v>37</v>
      </c>
      <c r="C857" t="s">
        <v>9</v>
      </c>
      <c r="D857" t="s">
        <v>10</v>
      </c>
      <c r="E857" t="s">
        <v>6</v>
      </c>
      <c r="F857" t="s">
        <v>7</v>
      </c>
      <c r="G857" t="s">
        <v>16</v>
      </c>
      <c r="H857" s="1">
        <v>4</v>
      </c>
      <c r="I857" s="1">
        <v>6474</v>
      </c>
      <c r="J857" t="s">
        <v>9</v>
      </c>
      <c r="K857" s="1">
        <v>13</v>
      </c>
      <c r="L857" s="1">
        <v>3</v>
      </c>
      <c r="M857" s="1">
        <v>14</v>
      </c>
      <c r="N857" s="1">
        <v>2</v>
      </c>
      <c r="O857" s="1">
        <v>14</v>
      </c>
      <c r="P857" s="1">
        <f>COUNTIF(HR_Data[Employee Number],HR_Data[[#This Row],[Employee Number]])</f>
        <v>1</v>
      </c>
      <c r="Q857" s="1" t="str">
        <f>IF(HR_Data[[#This Row],[Years At Company]]&lt;=HR_Data[[#This Row],[Total Working Years]],"Valid","error")</f>
        <v>Valid</v>
      </c>
      <c r="R857" s="1" t="str" cm="1">
        <f t="array" ref="R857">_xlfn.IFS(HR_Data[[#This Row],[Age]]&lt;=30,"Young", HR_Data[[#This Row],[Age]]&lt;=45,"Mid-Age",HR_Data[[#This Row],[Age]]&gt;45,"Senior")</f>
        <v>Mid-Age</v>
      </c>
      <c r="S857" s="1" t="str" cm="1">
        <f t="array" ref="S857">_xlfn.IFS(HR_Data[[#This Row],[Monthly Income]]&lt;5000,"Low", HR_Data[[#This Row],[Monthly Income]]&lt;10000,"Medium",TRUE,"High")</f>
        <v>Medium</v>
      </c>
      <c r="T857" s="1" t="str" cm="1">
        <f t="array" ref="T857">_xlfn.IFS(HR_Data[[#This Row],[Total Working Years]]&lt;=5,"Junior", HR_Data[[#This Row],[Total Working Years]]&lt;=15,"Mid-Level", TRUE, "Senior")</f>
        <v>Mid-Level</v>
      </c>
    </row>
    <row r="858" spans="1:20" x14ac:dyDescent="0.25">
      <c r="A858" s="1">
        <v>1198</v>
      </c>
      <c r="B858" s="1">
        <v>20</v>
      </c>
      <c r="C858" t="s">
        <v>9</v>
      </c>
      <c r="D858" t="s">
        <v>10</v>
      </c>
      <c r="E858" t="s">
        <v>6</v>
      </c>
      <c r="F858" t="s">
        <v>11</v>
      </c>
      <c r="G858" t="s">
        <v>14</v>
      </c>
      <c r="H858" s="1">
        <v>3</v>
      </c>
      <c r="I858" s="1">
        <v>3033</v>
      </c>
      <c r="J858" t="s">
        <v>9</v>
      </c>
      <c r="K858" s="1">
        <v>12</v>
      </c>
      <c r="L858" s="1">
        <v>3</v>
      </c>
      <c r="M858" s="1">
        <v>2</v>
      </c>
      <c r="N858" s="1">
        <v>2</v>
      </c>
      <c r="O858" s="1">
        <v>2</v>
      </c>
      <c r="P858" s="1">
        <f>COUNTIF(HR_Data[Employee Number],HR_Data[[#This Row],[Employee Number]])</f>
        <v>1</v>
      </c>
      <c r="Q858" s="1" t="str">
        <f>IF(HR_Data[[#This Row],[Years At Company]]&lt;=HR_Data[[#This Row],[Total Working Years]],"Valid","error")</f>
        <v>Valid</v>
      </c>
      <c r="R858" s="1" t="str" cm="1">
        <f t="array" ref="R858">_xlfn.IFS(HR_Data[[#This Row],[Age]]&lt;=30,"Young", HR_Data[[#This Row],[Age]]&lt;=45,"Mid-Age",HR_Data[[#This Row],[Age]]&gt;45,"Senior")</f>
        <v>Young</v>
      </c>
      <c r="S858" s="1" t="str" cm="1">
        <f t="array" ref="S858">_xlfn.IFS(HR_Data[[#This Row],[Monthly Income]]&lt;5000,"Low", HR_Data[[#This Row],[Monthly Income]]&lt;10000,"Medium",TRUE,"High")</f>
        <v>Low</v>
      </c>
      <c r="T858" s="1" t="str" cm="1">
        <f t="array" ref="T858">_xlfn.IFS(HR_Data[[#This Row],[Total Working Years]]&lt;=5,"Junior", HR_Data[[#This Row],[Total Working Years]]&lt;=15,"Mid-Level", TRUE, "Senior")</f>
        <v>Junior</v>
      </c>
    </row>
    <row r="859" spans="1:20" x14ac:dyDescent="0.25">
      <c r="A859" s="1">
        <v>1200</v>
      </c>
      <c r="B859" s="1">
        <v>44</v>
      </c>
      <c r="C859" t="s">
        <v>4</v>
      </c>
      <c r="D859" t="s">
        <v>10</v>
      </c>
      <c r="E859" t="s">
        <v>6</v>
      </c>
      <c r="F859" t="s">
        <v>11</v>
      </c>
      <c r="G859" t="s">
        <v>12</v>
      </c>
      <c r="H859" s="1">
        <v>3</v>
      </c>
      <c r="I859" s="1">
        <v>2936</v>
      </c>
      <c r="J859" t="s">
        <v>4</v>
      </c>
      <c r="K859" s="1">
        <v>11</v>
      </c>
      <c r="L859" s="1">
        <v>3</v>
      </c>
      <c r="M859" s="1">
        <v>6</v>
      </c>
      <c r="N859" s="1">
        <v>3</v>
      </c>
      <c r="O859" s="1">
        <v>6</v>
      </c>
      <c r="P859" s="1">
        <f>COUNTIF(HR_Data[Employee Number],HR_Data[[#This Row],[Employee Number]])</f>
        <v>1</v>
      </c>
      <c r="Q859" s="1" t="str">
        <f>IF(HR_Data[[#This Row],[Years At Company]]&lt;=HR_Data[[#This Row],[Total Working Years]],"Valid","error")</f>
        <v>Valid</v>
      </c>
      <c r="R859" s="1" t="str" cm="1">
        <f t="array" ref="R859">_xlfn.IFS(HR_Data[[#This Row],[Age]]&lt;=30,"Young", HR_Data[[#This Row],[Age]]&lt;=45,"Mid-Age",HR_Data[[#This Row],[Age]]&gt;45,"Senior")</f>
        <v>Mid-Age</v>
      </c>
      <c r="S859" s="1" t="str" cm="1">
        <f t="array" ref="S859">_xlfn.IFS(HR_Data[[#This Row],[Monthly Income]]&lt;5000,"Low", HR_Data[[#This Row],[Monthly Income]]&lt;10000,"Medium",TRUE,"High")</f>
        <v>Low</v>
      </c>
      <c r="T859" s="1" t="str" cm="1">
        <f t="array" ref="T859">_xlfn.IFS(HR_Data[[#This Row],[Total Working Years]]&lt;=5,"Junior", HR_Data[[#This Row],[Total Working Years]]&lt;=15,"Mid-Level", TRUE, "Senior")</f>
        <v>Mid-Level</v>
      </c>
    </row>
    <row r="860" spans="1:20" x14ac:dyDescent="0.25">
      <c r="A860" s="1">
        <v>1201</v>
      </c>
      <c r="B860" s="1">
        <v>53</v>
      </c>
      <c r="C860" t="s">
        <v>9</v>
      </c>
      <c r="D860" t="s">
        <v>10</v>
      </c>
      <c r="E860" t="s">
        <v>15</v>
      </c>
      <c r="F860" t="s">
        <v>7</v>
      </c>
      <c r="G860" t="s">
        <v>18</v>
      </c>
      <c r="H860" s="1">
        <v>3</v>
      </c>
      <c r="I860" s="1">
        <v>18606</v>
      </c>
      <c r="J860" t="s">
        <v>9</v>
      </c>
      <c r="K860" s="1">
        <v>18</v>
      </c>
      <c r="L860" s="1">
        <v>3</v>
      </c>
      <c r="M860" s="1">
        <v>26</v>
      </c>
      <c r="N860" s="1">
        <v>3</v>
      </c>
      <c r="O860" s="1">
        <v>7</v>
      </c>
      <c r="P860" s="1">
        <f>COUNTIF(HR_Data[Employee Number],HR_Data[[#This Row],[Employee Number]])</f>
        <v>1</v>
      </c>
      <c r="Q860" s="1" t="str">
        <f>IF(HR_Data[[#This Row],[Years At Company]]&lt;=HR_Data[[#This Row],[Total Working Years]],"Valid","error")</f>
        <v>Valid</v>
      </c>
      <c r="R860" s="1" t="str" cm="1">
        <f t="array" ref="R860">_xlfn.IFS(HR_Data[[#This Row],[Age]]&lt;=30,"Young", HR_Data[[#This Row],[Age]]&lt;=45,"Mid-Age",HR_Data[[#This Row],[Age]]&gt;45,"Senior")</f>
        <v>Senior</v>
      </c>
      <c r="S860" s="1" t="str" cm="1">
        <f t="array" ref="S860">_xlfn.IFS(HR_Data[[#This Row],[Monthly Income]]&lt;5000,"Low", HR_Data[[#This Row],[Monthly Income]]&lt;10000,"Medium",TRUE,"High")</f>
        <v>High</v>
      </c>
      <c r="T860" s="1" t="str" cm="1">
        <f t="array" ref="T860">_xlfn.IFS(HR_Data[[#This Row],[Total Working Years]]&lt;=5,"Junior", HR_Data[[#This Row],[Total Working Years]]&lt;=15,"Mid-Level", TRUE, "Senior")</f>
        <v>Senior</v>
      </c>
    </row>
    <row r="861" spans="1:20" x14ac:dyDescent="0.25">
      <c r="A861" s="1">
        <v>1202</v>
      </c>
      <c r="B861" s="1">
        <v>29</v>
      </c>
      <c r="C861" t="s">
        <v>9</v>
      </c>
      <c r="D861" t="s">
        <v>10</v>
      </c>
      <c r="E861" t="s">
        <v>6</v>
      </c>
      <c r="F861" t="s">
        <v>7</v>
      </c>
      <c r="G861" t="s">
        <v>12</v>
      </c>
      <c r="H861" s="1">
        <v>4</v>
      </c>
      <c r="I861" s="1">
        <v>2168</v>
      </c>
      <c r="J861" t="s">
        <v>4</v>
      </c>
      <c r="K861" s="1">
        <v>18</v>
      </c>
      <c r="L861" s="1">
        <v>3</v>
      </c>
      <c r="M861" s="1">
        <v>6</v>
      </c>
      <c r="N861" s="1">
        <v>2</v>
      </c>
      <c r="O861" s="1">
        <v>5</v>
      </c>
      <c r="P861" s="1">
        <f>COUNTIF(HR_Data[Employee Number],HR_Data[[#This Row],[Employee Number]])</f>
        <v>1</v>
      </c>
      <c r="Q861" s="1" t="str">
        <f>IF(HR_Data[[#This Row],[Years At Company]]&lt;=HR_Data[[#This Row],[Total Working Years]],"Valid","error")</f>
        <v>Valid</v>
      </c>
      <c r="R861" s="1" t="str" cm="1">
        <f t="array" ref="R861">_xlfn.IFS(HR_Data[[#This Row],[Age]]&lt;=30,"Young", HR_Data[[#This Row],[Age]]&lt;=45,"Mid-Age",HR_Data[[#This Row],[Age]]&gt;45,"Senior")</f>
        <v>Young</v>
      </c>
      <c r="S861" s="1" t="str" cm="1">
        <f t="array" ref="S861">_xlfn.IFS(HR_Data[[#This Row],[Monthly Income]]&lt;5000,"Low", HR_Data[[#This Row],[Monthly Income]]&lt;10000,"Medium",TRUE,"High")</f>
        <v>Low</v>
      </c>
      <c r="T861" s="1" t="str" cm="1">
        <f t="array" ref="T861">_xlfn.IFS(HR_Data[[#This Row],[Total Working Years]]&lt;=5,"Junior", HR_Data[[#This Row],[Total Working Years]]&lt;=15,"Mid-Level", TRUE, "Senior")</f>
        <v>Mid-Level</v>
      </c>
    </row>
    <row r="862" spans="1:20" x14ac:dyDescent="0.25">
      <c r="A862" s="1">
        <v>1203</v>
      </c>
      <c r="B862" s="1">
        <v>22</v>
      </c>
      <c r="C862" t="s">
        <v>4</v>
      </c>
      <c r="D862" t="s">
        <v>10</v>
      </c>
      <c r="E862" t="s">
        <v>6</v>
      </c>
      <c r="F862" t="s">
        <v>11</v>
      </c>
      <c r="G862" t="s">
        <v>12</v>
      </c>
      <c r="H862" s="1">
        <v>4</v>
      </c>
      <c r="I862" s="1">
        <v>2853</v>
      </c>
      <c r="J862" t="s">
        <v>4</v>
      </c>
      <c r="K862" s="1">
        <v>11</v>
      </c>
      <c r="L862" s="1">
        <v>3</v>
      </c>
      <c r="M862" s="1">
        <v>1</v>
      </c>
      <c r="N862" s="1">
        <v>3</v>
      </c>
      <c r="O862" s="1">
        <v>0</v>
      </c>
      <c r="P862" s="1">
        <f>COUNTIF(HR_Data[Employee Number],HR_Data[[#This Row],[Employee Number]])</f>
        <v>1</v>
      </c>
      <c r="Q862" s="1" t="str">
        <f>IF(HR_Data[[#This Row],[Years At Company]]&lt;=HR_Data[[#This Row],[Total Working Years]],"Valid","error")</f>
        <v>Valid</v>
      </c>
      <c r="R862" s="1" t="str" cm="1">
        <f t="array" ref="R862">_xlfn.IFS(HR_Data[[#This Row],[Age]]&lt;=30,"Young", HR_Data[[#This Row],[Age]]&lt;=45,"Mid-Age",HR_Data[[#This Row],[Age]]&gt;45,"Senior")</f>
        <v>Young</v>
      </c>
      <c r="S862" s="1" t="str" cm="1">
        <f t="array" ref="S862">_xlfn.IFS(HR_Data[[#This Row],[Monthly Income]]&lt;5000,"Low", HR_Data[[#This Row],[Monthly Income]]&lt;10000,"Medium",TRUE,"High")</f>
        <v>Low</v>
      </c>
      <c r="T862" s="1" t="str" cm="1">
        <f t="array" ref="T862">_xlfn.IFS(HR_Data[[#This Row],[Total Working Years]]&lt;=5,"Junior", HR_Data[[#This Row],[Total Working Years]]&lt;=15,"Mid-Level", TRUE, "Senior")</f>
        <v>Junior</v>
      </c>
    </row>
    <row r="863" spans="1:20" x14ac:dyDescent="0.25">
      <c r="A863" s="1">
        <v>1204</v>
      </c>
      <c r="B863" s="1">
        <v>46</v>
      </c>
      <c r="C863" t="s">
        <v>9</v>
      </c>
      <c r="D863" t="s">
        <v>5</v>
      </c>
      <c r="E863" t="s">
        <v>21</v>
      </c>
      <c r="F863" t="s">
        <v>7</v>
      </c>
      <c r="G863" t="s">
        <v>18</v>
      </c>
      <c r="H863" s="1">
        <v>1</v>
      </c>
      <c r="I863" s="1">
        <v>17048</v>
      </c>
      <c r="J863" t="s">
        <v>9</v>
      </c>
      <c r="K863" s="1">
        <v>23</v>
      </c>
      <c r="L863" s="1">
        <v>4</v>
      </c>
      <c r="M863" s="1">
        <v>28</v>
      </c>
      <c r="N863" s="1">
        <v>3</v>
      </c>
      <c r="O863" s="1">
        <v>26</v>
      </c>
      <c r="P863" s="1">
        <f>COUNTIF(HR_Data[Employee Number],HR_Data[[#This Row],[Employee Number]])</f>
        <v>1</v>
      </c>
      <c r="Q863" s="1" t="str">
        <f>IF(HR_Data[[#This Row],[Years At Company]]&lt;=HR_Data[[#This Row],[Total Working Years]],"Valid","error")</f>
        <v>Valid</v>
      </c>
      <c r="R863" s="1" t="str" cm="1">
        <f t="array" ref="R863">_xlfn.IFS(HR_Data[[#This Row],[Age]]&lt;=30,"Young", HR_Data[[#This Row],[Age]]&lt;=45,"Mid-Age",HR_Data[[#This Row],[Age]]&gt;45,"Senior")</f>
        <v>Senior</v>
      </c>
      <c r="S863" s="1" t="str" cm="1">
        <f t="array" ref="S863">_xlfn.IFS(HR_Data[[#This Row],[Monthly Income]]&lt;5000,"Low", HR_Data[[#This Row],[Monthly Income]]&lt;10000,"Medium",TRUE,"High")</f>
        <v>High</v>
      </c>
      <c r="T863" s="1" t="str" cm="1">
        <f t="array" ref="T863">_xlfn.IFS(HR_Data[[#This Row],[Total Working Years]]&lt;=5,"Junior", HR_Data[[#This Row],[Total Working Years]]&lt;=15,"Mid-Level", TRUE, "Senior")</f>
        <v>Senior</v>
      </c>
    </row>
    <row r="864" spans="1:20" x14ac:dyDescent="0.25">
      <c r="A864" s="1">
        <v>1206</v>
      </c>
      <c r="B864" s="1">
        <v>44</v>
      </c>
      <c r="C864" t="s">
        <v>9</v>
      </c>
      <c r="D864" t="s">
        <v>10</v>
      </c>
      <c r="E864" t="s">
        <v>6</v>
      </c>
      <c r="F864" t="s">
        <v>11</v>
      </c>
      <c r="G864" t="s">
        <v>12</v>
      </c>
      <c r="H864" s="1">
        <v>3</v>
      </c>
      <c r="I864" s="1">
        <v>2290</v>
      </c>
      <c r="J864" t="s">
        <v>9</v>
      </c>
      <c r="K864" s="1">
        <v>13</v>
      </c>
      <c r="L864" s="1">
        <v>3</v>
      </c>
      <c r="M864" s="1">
        <v>6</v>
      </c>
      <c r="N864" s="1">
        <v>3</v>
      </c>
      <c r="O864" s="1">
        <v>0</v>
      </c>
      <c r="P864" s="1">
        <f>COUNTIF(HR_Data[Employee Number],HR_Data[[#This Row],[Employee Number]])</f>
        <v>1</v>
      </c>
      <c r="Q864" s="1" t="str">
        <f>IF(HR_Data[[#This Row],[Years At Company]]&lt;=HR_Data[[#This Row],[Total Working Years]],"Valid","error")</f>
        <v>Valid</v>
      </c>
      <c r="R864" s="1" t="str" cm="1">
        <f t="array" ref="R864">_xlfn.IFS(HR_Data[[#This Row],[Age]]&lt;=30,"Young", HR_Data[[#This Row],[Age]]&lt;=45,"Mid-Age",HR_Data[[#This Row],[Age]]&gt;45,"Senior")</f>
        <v>Mid-Age</v>
      </c>
      <c r="S864" s="1" t="str" cm="1">
        <f t="array" ref="S864">_xlfn.IFS(HR_Data[[#This Row],[Monthly Income]]&lt;5000,"Low", HR_Data[[#This Row],[Monthly Income]]&lt;10000,"Medium",TRUE,"High")</f>
        <v>Low</v>
      </c>
      <c r="T864" s="1" t="str" cm="1">
        <f t="array" ref="T864">_xlfn.IFS(HR_Data[[#This Row],[Total Working Years]]&lt;=5,"Junior", HR_Data[[#This Row],[Total Working Years]]&lt;=15,"Mid-Level", TRUE, "Senior")</f>
        <v>Mid-Level</v>
      </c>
    </row>
    <row r="865" spans="1:20" x14ac:dyDescent="0.25">
      <c r="A865" s="1">
        <v>1207</v>
      </c>
      <c r="B865" s="1">
        <v>33</v>
      </c>
      <c r="C865" t="s">
        <v>9</v>
      </c>
      <c r="D865" t="s">
        <v>23</v>
      </c>
      <c r="E865" t="s">
        <v>23</v>
      </c>
      <c r="F865" t="s">
        <v>11</v>
      </c>
      <c r="G865" t="s">
        <v>23</v>
      </c>
      <c r="H865" s="1">
        <v>3</v>
      </c>
      <c r="I865" s="1">
        <v>3600</v>
      </c>
      <c r="J865" t="s">
        <v>9</v>
      </c>
      <c r="K865" s="1">
        <v>13</v>
      </c>
      <c r="L865" s="1">
        <v>3</v>
      </c>
      <c r="M865" s="1">
        <v>5</v>
      </c>
      <c r="N865" s="1">
        <v>3</v>
      </c>
      <c r="O865" s="1">
        <v>5</v>
      </c>
      <c r="P865" s="1">
        <f>COUNTIF(HR_Data[Employee Number],HR_Data[[#This Row],[Employee Number]])</f>
        <v>1</v>
      </c>
      <c r="Q865" s="1" t="str">
        <f>IF(HR_Data[[#This Row],[Years At Company]]&lt;=HR_Data[[#This Row],[Total Working Years]],"Valid","error")</f>
        <v>Valid</v>
      </c>
      <c r="R865" s="1" t="str" cm="1">
        <f t="array" ref="R865">_xlfn.IFS(HR_Data[[#This Row],[Age]]&lt;=30,"Young", HR_Data[[#This Row],[Age]]&lt;=45,"Mid-Age",HR_Data[[#This Row],[Age]]&gt;45,"Senior")</f>
        <v>Mid-Age</v>
      </c>
      <c r="S865" s="1" t="str" cm="1">
        <f t="array" ref="S865">_xlfn.IFS(HR_Data[[#This Row],[Monthly Income]]&lt;5000,"Low", HR_Data[[#This Row],[Monthly Income]]&lt;10000,"Medium",TRUE,"High")</f>
        <v>Low</v>
      </c>
      <c r="T865" s="1" t="str" cm="1">
        <f t="array" ref="T865">_xlfn.IFS(HR_Data[[#This Row],[Total Working Years]]&lt;=5,"Junior", HR_Data[[#This Row],[Total Working Years]]&lt;=15,"Mid-Level", TRUE, "Senior")</f>
        <v>Junior</v>
      </c>
    </row>
    <row r="866" spans="1:20" x14ac:dyDescent="0.25">
      <c r="A866" s="1">
        <v>1210</v>
      </c>
      <c r="B866" s="1">
        <v>41</v>
      </c>
      <c r="C866" t="s">
        <v>4</v>
      </c>
      <c r="D866" t="s">
        <v>10</v>
      </c>
      <c r="E866" t="s">
        <v>6</v>
      </c>
      <c r="F866" t="s">
        <v>11</v>
      </c>
      <c r="G866" t="s">
        <v>12</v>
      </c>
      <c r="H866" s="1">
        <v>1</v>
      </c>
      <c r="I866" s="1">
        <v>2107</v>
      </c>
      <c r="J866" t="s">
        <v>9</v>
      </c>
      <c r="K866" s="1">
        <v>17</v>
      </c>
      <c r="L866" s="1">
        <v>3</v>
      </c>
      <c r="M866" s="1">
        <v>5</v>
      </c>
      <c r="N866" s="1">
        <v>1</v>
      </c>
      <c r="O866" s="1">
        <v>1</v>
      </c>
      <c r="P866" s="1">
        <f>COUNTIF(HR_Data[Employee Number],HR_Data[[#This Row],[Employee Number]])</f>
        <v>1</v>
      </c>
      <c r="Q866" s="1" t="str">
        <f>IF(HR_Data[[#This Row],[Years At Company]]&lt;=HR_Data[[#This Row],[Total Working Years]],"Valid","error")</f>
        <v>Valid</v>
      </c>
      <c r="R866" s="1" t="str" cm="1">
        <f t="array" ref="R866">_xlfn.IFS(HR_Data[[#This Row],[Age]]&lt;=30,"Young", HR_Data[[#This Row],[Age]]&lt;=45,"Mid-Age",HR_Data[[#This Row],[Age]]&gt;45,"Senior")</f>
        <v>Mid-Age</v>
      </c>
      <c r="S866" s="1" t="str" cm="1">
        <f t="array" ref="S866">_xlfn.IFS(HR_Data[[#This Row],[Monthly Income]]&lt;5000,"Low", HR_Data[[#This Row],[Monthly Income]]&lt;10000,"Medium",TRUE,"High")</f>
        <v>Low</v>
      </c>
      <c r="T866" s="1" t="str" cm="1">
        <f t="array" ref="T866">_xlfn.IFS(HR_Data[[#This Row],[Total Working Years]]&lt;=5,"Junior", HR_Data[[#This Row],[Total Working Years]]&lt;=15,"Mid-Level", TRUE, "Senior")</f>
        <v>Junior</v>
      </c>
    </row>
    <row r="867" spans="1:20" x14ac:dyDescent="0.25">
      <c r="A867" s="1">
        <v>1211</v>
      </c>
      <c r="B867" s="1">
        <v>30</v>
      </c>
      <c r="C867" t="s">
        <v>9</v>
      </c>
      <c r="D867" t="s">
        <v>5</v>
      </c>
      <c r="E867" t="s">
        <v>6</v>
      </c>
      <c r="F867" t="s">
        <v>11</v>
      </c>
      <c r="G867" t="s">
        <v>8</v>
      </c>
      <c r="H867" s="1">
        <v>1</v>
      </c>
      <c r="I867" s="1">
        <v>4115</v>
      </c>
      <c r="J867" t="s">
        <v>9</v>
      </c>
      <c r="K867" s="1">
        <v>19</v>
      </c>
      <c r="L867" s="1">
        <v>3</v>
      </c>
      <c r="M867" s="1">
        <v>8</v>
      </c>
      <c r="N867" s="1">
        <v>3</v>
      </c>
      <c r="O867" s="1">
        <v>4</v>
      </c>
      <c r="P867" s="1">
        <f>COUNTIF(HR_Data[Employee Number],HR_Data[[#This Row],[Employee Number]])</f>
        <v>1</v>
      </c>
      <c r="Q867" s="1" t="str">
        <f>IF(HR_Data[[#This Row],[Years At Company]]&lt;=HR_Data[[#This Row],[Total Working Years]],"Valid","error")</f>
        <v>Valid</v>
      </c>
      <c r="R867" s="1" t="str" cm="1">
        <f t="array" ref="R867">_xlfn.IFS(HR_Data[[#This Row],[Age]]&lt;=30,"Young", HR_Data[[#This Row],[Age]]&lt;=45,"Mid-Age",HR_Data[[#This Row],[Age]]&gt;45,"Senior")</f>
        <v>Young</v>
      </c>
      <c r="S867" s="1" t="str" cm="1">
        <f t="array" ref="S867">_xlfn.IFS(HR_Data[[#This Row],[Monthly Income]]&lt;5000,"Low", HR_Data[[#This Row],[Monthly Income]]&lt;10000,"Medium",TRUE,"High")</f>
        <v>Low</v>
      </c>
      <c r="T867" s="1" t="str" cm="1">
        <f t="array" ref="T867">_xlfn.IFS(HR_Data[[#This Row],[Total Working Years]]&lt;=5,"Junior", HR_Data[[#This Row],[Total Working Years]]&lt;=15,"Mid-Level", TRUE, "Senior")</f>
        <v>Mid-Level</v>
      </c>
    </row>
    <row r="868" spans="1:20" x14ac:dyDescent="0.25">
      <c r="A868" s="1">
        <v>1212</v>
      </c>
      <c r="B868" s="1">
        <v>40</v>
      </c>
      <c r="C868" t="s">
        <v>9</v>
      </c>
      <c r="D868" t="s">
        <v>5</v>
      </c>
      <c r="E868" t="s">
        <v>15</v>
      </c>
      <c r="F868" t="s">
        <v>11</v>
      </c>
      <c r="G868" t="s">
        <v>8</v>
      </c>
      <c r="H868" s="1">
        <v>2</v>
      </c>
      <c r="I868" s="1">
        <v>4327</v>
      </c>
      <c r="J868" t="s">
        <v>9</v>
      </c>
      <c r="K868" s="1">
        <v>12</v>
      </c>
      <c r="L868" s="1">
        <v>3</v>
      </c>
      <c r="M868" s="1">
        <v>5</v>
      </c>
      <c r="N868" s="1">
        <v>3</v>
      </c>
      <c r="O868" s="1">
        <v>0</v>
      </c>
      <c r="P868" s="1">
        <f>COUNTIF(HR_Data[Employee Number],HR_Data[[#This Row],[Employee Number]])</f>
        <v>1</v>
      </c>
      <c r="Q868" s="1" t="str">
        <f>IF(HR_Data[[#This Row],[Years At Company]]&lt;=HR_Data[[#This Row],[Total Working Years]],"Valid","error")</f>
        <v>Valid</v>
      </c>
      <c r="R868" s="1" t="str" cm="1">
        <f t="array" ref="R868">_xlfn.IFS(HR_Data[[#This Row],[Age]]&lt;=30,"Young", HR_Data[[#This Row],[Age]]&lt;=45,"Mid-Age",HR_Data[[#This Row],[Age]]&gt;45,"Senior")</f>
        <v>Mid-Age</v>
      </c>
      <c r="S868" s="1" t="str" cm="1">
        <f t="array" ref="S868">_xlfn.IFS(HR_Data[[#This Row],[Monthly Income]]&lt;5000,"Low", HR_Data[[#This Row],[Monthly Income]]&lt;10000,"Medium",TRUE,"High")</f>
        <v>Low</v>
      </c>
      <c r="T868" s="1" t="str" cm="1">
        <f t="array" ref="T868">_xlfn.IFS(HR_Data[[#This Row],[Total Working Years]]&lt;=5,"Junior", HR_Data[[#This Row],[Total Working Years]]&lt;=15,"Mid-Level", TRUE, "Senior")</f>
        <v>Junior</v>
      </c>
    </row>
    <row r="869" spans="1:20" x14ac:dyDescent="0.25">
      <c r="A869" s="1">
        <v>1215</v>
      </c>
      <c r="B869" s="1">
        <v>50</v>
      </c>
      <c r="C869" t="s">
        <v>9</v>
      </c>
      <c r="D869" t="s">
        <v>10</v>
      </c>
      <c r="E869" t="s">
        <v>15</v>
      </c>
      <c r="F869" t="s">
        <v>7</v>
      </c>
      <c r="G869" t="s">
        <v>18</v>
      </c>
      <c r="H869" s="1">
        <v>1</v>
      </c>
      <c r="I869" s="1">
        <v>17856</v>
      </c>
      <c r="J869" t="s">
        <v>9</v>
      </c>
      <c r="K869" s="1">
        <v>22</v>
      </c>
      <c r="L869" s="1">
        <v>4</v>
      </c>
      <c r="M869" s="1">
        <v>32</v>
      </c>
      <c r="N869" s="1">
        <v>3</v>
      </c>
      <c r="O869" s="1">
        <v>2</v>
      </c>
      <c r="P869" s="1">
        <f>COUNTIF(HR_Data[Employee Number],HR_Data[[#This Row],[Employee Number]])</f>
        <v>1</v>
      </c>
      <c r="Q869" s="1" t="str">
        <f>IF(HR_Data[[#This Row],[Years At Company]]&lt;=HR_Data[[#This Row],[Total Working Years]],"Valid","error")</f>
        <v>Valid</v>
      </c>
      <c r="R869" s="1" t="str" cm="1">
        <f t="array" ref="R869">_xlfn.IFS(HR_Data[[#This Row],[Age]]&lt;=30,"Young", HR_Data[[#This Row],[Age]]&lt;=45,"Mid-Age",HR_Data[[#This Row],[Age]]&gt;45,"Senior")</f>
        <v>Senior</v>
      </c>
      <c r="S869" s="1" t="str" cm="1">
        <f t="array" ref="S869">_xlfn.IFS(HR_Data[[#This Row],[Monthly Income]]&lt;5000,"Low", HR_Data[[#This Row],[Monthly Income]]&lt;10000,"Medium",TRUE,"High")</f>
        <v>High</v>
      </c>
      <c r="T869" s="1" t="str" cm="1">
        <f t="array" ref="T869">_xlfn.IFS(HR_Data[[#This Row],[Total Working Years]]&lt;=5,"Junior", HR_Data[[#This Row],[Total Working Years]]&lt;=15,"Mid-Level", TRUE, "Senior")</f>
        <v>Senior</v>
      </c>
    </row>
    <row r="870" spans="1:20" x14ac:dyDescent="0.25">
      <c r="A870" s="1">
        <v>1216</v>
      </c>
      <c r="B870" s="1">
        <v>28</v>
      </c>
      <c r="C870" t="s">
        <v>9</v>
      </c>
      <c r="D870" t="s">
        <v>10</v>
      </c>
      <c r="E870" t="s">
        <v>15</v>
      </c>
      <c r="F870" t="s">
        <v>11</v>
      </c>
      <c r="G870" t="s">
        <v>14</v>
      </c>
      <c r="H870" s="1">
        <v>1</v>
      </c>
      <c r="I870" s="1">
        <v>3196</v>
      </c>
      <c r="J870" t="s">
        <v>9</v>
      </c>
      <c r="K870" s="1">
        <v>12</v>
      </c>
      <c r="L870" s="1">
        <v>3</v>
      </c>
      <c r="M870" s="1">
        <v>6</v>
      </c>
      <c r="N870" s="1">
        <v>3</v>
      </c>
      <c r="O870" s="1">
        <v>6</v>
      </c>
      <c r="P870" s="1">
        <f>COUNTIF(HR_Data[Employee Number],HR_Data[[#This Row],[Employee Number]])</f>
        <v>1</v>
      </c>
      <c r="Q870" s="1" t="str">
        <f>IF(HR_Data[[#This Row],[Years At Company]]&lt;=HR_Data[[#This Row],[Total Working Years]],"Valid","error")</f>
        <v>Valid</v>
      </c>
      <c r="R870" s="1" t="str" cm="1">
        <f t="array" ref="R870">_xlfn.IFS(HR_Data[[#This Row],[Age]]&lt;=30,"Young", HR_Data[[#This Row],[Age]]&lt;=45,"Mid-Age",HR_Data[[#This Row],[Age]]&gt;45,"Senior")</f>
        <v>Young</v>
      </c>
      <c r="S870" s="1" t="str" cm="1">
        <f t="array" ref="S870">_xlfn.IFS(HR_Data[[#This Row],[Monthly Income]]&lt;5000,"Low", HR_Data[[#This Row],[Monthly Income]]&lt;10000,"Medium",TRUE,"High")</f>
        <v>Low</v>
      </c>
      <c r="T870" s="1" t="str" cm="1">
        <f t="array" ref="T870">_xlfn.IFS(HR_Data[[#This Row],[Total Working Years]]&lt;=5,"Junior", HR_Data[[#This Row],[Total Working Years]]&lt;=15,"Mid-Level", TRUE, "Senior")</f>
        <v>Mid-Level</v>
      </c>
    </row>
    <row r="871" spans="1:20" x14ac:dyDescent="0.25">
      <c r="A871" s="1">
        <v>1217</v>
      </c>
      <c r="B871" s="1">
        <v>46</v>
      </c>
      <c r="C871" t="s">
        <v>9</v>
      </c>
      <c r="D871" t="s">
        <v>10</v>
      </c>
      <c r="E871" t="s">
        <v>6</v>
      </c>
      <c r="F871" t="s">
        <v>11</v>
      </c>
      <c r="G871" t="s">
        <v>20</v>
      </c>
      <c r="H871" s="1">
        <v>2</v>
      </c>
      <c r="I871" s="1">
        <v>19081</v>
      </c>
      <c r="J871" t="s">
        <v>9</v>
      </c>
      <c r="K871" s="1">
        <v>11</v>
      </c>
      <c r="L871" s="1">
        <v>3</v>
      </c>
      <c r="M871" s="1">
        <v>25</v>
      </c>
      <c r="N871" s="1">
        <v>3</v>
      </c>
      <c r="O871" s="1">
        <v>4</v>
      </c>
      <c r="P871" s="1">
        <f>COUNTIF(HR_Data[Employee Number],HR_Data[[#This Row],[Employee Number]])</f>
        <v>1</v>
      </c>
      <c r="Q871" s="1" t="str">
        <f>IF(HR_Data[[#This Row],[Years At Company]]&lt;=HR_Data[[#This Row],[Total Working Years]],"Valid","error")</f>
        <v>Valid</v>
      </c>
      <c r="R871" s="1" t="str" cm="1">
        <f t="array" ref="R871">_xlfn.IFS(HR_Data[[#This Row],[Age]]&lt;=30,"Young", HR_Data[[#This Row],[Age]]&lt;=45,"Mid-Age",HR_Data[[#This Row],[Age]]&gt;45,"Senior")</f>
        <v>Senior</v>
      </c>
      <c r="S871" s="1" t="str" cm="1">
        <f t="array" ref="S871">_xlfn.IFS(HR_Data[[#This Row],[Monthly Income]]&lt;5000,"Low", HR_Data[[#This Row],[Monthly Income]]&lt;10000,"Medium",TRUE,"High")</f>
        <v>High</v>
      </c>
      <c r="T871" s="1" t="str" cm="1">
        <f t="array" ref="T871">_xlfn.IFS(HR_Data[[#This Row],[Total Working Years]]&lt;=5,"Junior", HR_Data[[#This Row],[Total Working Years]]&lt;=15,"Mid-Level", TRUE, "Senior")</f>
        <v>Senior</v>
      </c>
    </row>
    <row r="872" spans="1:20" x14ac:dyDescent="0.25">
      <c r="A872" s="1">
        <v>1218</v>
      </c>
      <c r="B872" s="1">
        <v>35</v>
      </c>
      <c r="C872" t="s">
        <v>9</v>
      </c>
      <c r="D872" t="s">
        <v>5</v>
      </c>
      <c r="E872" t="s">
        <v>6</v>
      </c>
      <c r="F872" t="s">
        <v>11</v>
      </c>
      <c r="G872" t="s">
        <v>8</v>
      </c>
      <c r="H872" s="1">
        <v>1</v>
      </c>
      <c r="I872" s="1">
        <v>8966</v>
      </c>
      <c r="J872" t="s">
        <v>4</v>
      </c>
      <c r="K872" s="1">
        <v>15</v>
      </c>
      <c r="L872" s="1">
        <v>3</v>
      </c>
      <c r="M872" s="1">
        <v>15</v>
      </c>
      <c r="N872" s="1">
        <v>3</v>
      </c>
      <c r="O872" s="1">
        <v>7</v>
      </c>
      <c r="P872" s="1">
        <f>COUNTIF(HR_Data[Employee Number],HR_Data[[#This Row],[Employee Number]])</f>
        <v>1</v>
      </c>
      <c r="Q872" s="1" t="str">
        <f>IF(HR_Data[[#This Row],[Years At Company]]&lt;=HR_Data[[#This Row],[Total Working Years]],"Valid","error")</f>
        <v>Valid</v>
      </c>
      <c r="R872" s="1" t="str" cm="1">
        <f t="array" ref="R872">_xlfn.IFS(HR_Data[[#This Row],[Age]]&lt;=30,"Young", HR_Data[[#This Row],[Age]]&lt;=45,"Mid-Age",HR_Data[[#This Row],[Age]]&gt;45,"Senior")</f>
        <v>Mid-Age</v>
      </c>
      <c r="S872" s="1" t="str" cm="1">
        <f t="array" ref="S872">_xlfn.IFS(HR_Data[[#This Row],[Monthly Income]]&lt;5000,"Low", HR_Data[[#This Row],[Monthly Income]]&lt;10000,"Medium",TRUE,"High")</f>
        <v>Medium</v>
      </c>
      <c r="T872" s="1" t="str" cm="1">
        <f t="array" ref="T872">_xlfn.IFS(HR_Data[[#This Row],[Total Working Years]]&lt;=5,"Junior", HR_Data[[#This Row],[Total Working Years]]&lt;=15,"Mid-Level", TRUE, "Senior")</f>
        <v>Mid-Level</v>
      </c>
    </row>
    <row r="873" spans="1:20" x14ac:dyDescent="0.25">
      <c r="A873" s="1">
        <v>1219</v>
      </c>
      <c r="B873" s="1">
        <v>24</v>
      </c>
      <c r="C873" t="s">
        <v>4</v>
      </c>
      <c r="D873" t="s">
        <v>10</v>
      </c>
      <c r="E873" t="s">
        <v>6</v>
      </c>
      <c r="F873" t="s">
        <v>7</v>
      </c>
      <c r="G873" t="s">
        <v>14</v>
      </c>
      <c r="H873" s="1">
        <v>2</v>
      </c>
      <c r="I873" s="1">
        <v>2210</v>
      </c>
      <c r="J873" t="s">
        <v>9</v>
      </c>
      <c r="K873" s="1">
        <v>13</v>
      </c>
      <c r="L873" s="1">
        <v>3</v>
      </c>
      <c r="M873" s="1">
        <v>1</v>
      </c>
      <c r="N873" s="1">
        <v>1</v>
      </c>
      <c r="O873" s="1">
        <v>1</v>
      </c>
      <c r="P873" s="1">
        <f>COUNTIF(HR_Data[Employee Number],HR_Data[[#This Row],[Employee Number]])</f>
        <v>1</v>
      </c>
      <c r="Q873" s="1" t="str">
        <f>IF(HR_Data[[#This Row],[Years At Company]]&lt;=HR_Data[[#This Row],[Total Working Years]],"Valid","error")</f>
        <v>Valid</v>
      </c>
      <c r="R873" s="1" t="str" cm="1">
        <f t="array" ref="R873">_xlfn.IFS(HR_Data[[#This Row],[Age]]&lt;=30,"Young", HR_Data[[#This Row],[Age]]&lt;=45,"Mid-Age",HR_Data[[#This Row],[Age]]&gt;45,"Senior")</f>
        <v>Young</v>
      </c>
      <c r="S873" s="1" t="str" cm="1">
        <f t="array" ref="S873">_xlfn.IFS(HR_Data[[#This Row],[Monthly Income]]&lt;5000,"Low", HR_Data[[#This Row],[Monthly Income]]&lt;10000,"Medium",TRUE,"High")</f>
        <v>Low</v>
      </c>
      <c r="T873" s="1" t="str" cm="1">
        <f t="array" ref="T873">_xlfn.IFS(HR_Data[[#This Row],[Total Working Years]]&lt;=5,"Junior", HR_Data[[#This Row],[Total Working Years]]&lt;=15,"Mid-Level", TRUE, "Senior")</f>
        <v>Junior</v>
      </c>
    </row>
    <row r="874" spans="1:20" x14ac:dyDescent="0.25">
      <c r="A874" s="1">
        <v>1220</v>
      </c>
      <c r="B874" s="1">
        <v>33</v>
      </c>
      <c r="C874" t="s">
        <v>9</v>
      </c>
      <c r="D874" t="s">
        <v>5</v>
      </c>
      <c r="E874" t="s">
        <v>15</v>
      </c>
      <c r="F874" t="s">
        <v>7</v>
      </c>
      <c r="G874" t="s">
        <v>8</v>
      </c>
      <c r="H874" s="1">
        <v>3</v>
      </c>
      <c r="I874" s="1">
        <v>4539</v>
      </c>
      <c r="J874" t="s">
        <v>9</v>
      </c>
      <c r="K874" s="1">
        <v>12</v>
      </c>
      <c r="L874" s="1">
        <v>3</v>
      </c>
      <c r="M874" s="1">
        <v>10</v>
      </c>
      <c r="N874" s="1">
        <v>2</v>
      </c>
      <c r="O874" s="1">
        <v>10</v>
      </c>
      <c r="P874" s="1">
        <f>COUNTIF(HR_Data[Employee Number],HR_Data[[#This Row],[Employee Number]])</f>
        <v>1</v>
      </c>
      <c r="Q874" s="1" t="str">
        <f>IF(HR_Data[[#This Row],[Years At Company]]&lt;=HR_Data[[#This Row],[Total Working Years]],"Valid","error")</f>
        <v>Valid</v>
      </c>
      <c r="R874" s="1" t="str" cm="1">
        <f t="array" ref="R874">_xlfn.IFS(HR_Data[[#This Row],[Age]]&lt;=30,"Young", HR_Data[[#This Row],[Age]]&lt;=45,"Mid-Age",HR_Data[[#This Row],[Age]]&gt;45,"Senior")</f>
        <v>Mid-Age</v>
      </c>
      <c r="S874" s="1" t="str" cm="1">
        <f t="array" ref="S874">_xlfn.IFS(HR_Data[[#This Row],[Monthly Income]]&lt;5000,"Low", HR_Data[[#This Row],[Monthly Income]]&lt;10000,"Medium",TRUE,"High")</f>
        <v>Low</v>
      </c>
      <c r="T874" s="1" t="str" cm="1">
        <f t="array" ref="T874">_xlfn.IFS(HR_Data[[#This Row],[Total Working Years]]&lt;=5,"Junior", HR_Data[[#This Row],[Total Working Years]]&lt;=15,"Mid-Level", TRUE, "Senior")</f>
        <v>Mid-Level</v>
      </c>
    </row>
    <row r="875" spans="1:20" x14ac:dyDescent="0.25">
      <c r="A875" s="1">
        <v>1221</v>
      </c>
      <c r="B875" s="1">
        <v>36</v>
      </c>
      <c r="C875" t="s">
        <v>9</v>
      </c>
      <c r="D875" t="s">
        <v>10</v>
      </c>
      <c r="E875" t="s">
        <v>6</v>
      </c>
      <c r="F875" t="s">
        <v>11</v>
      </c>
      <c r="G875" t="s">
        <v>14</v>
      </c>
      <c r="H875" s="1">
        <v>3</v>
      </c>
      <c r="I875" s="1">
        <v>2741</v>
      </c>
      <c r="J875" t="s">
        <v>9</v>
      </c>
      <c r="K875" s="1">
        <v>14</v>
      </c>
      <c r="L875" s="1">
        <v>3</v>
      </c>
      <c r="M875" s="1">
        <v>7</v>
      </c>
      <c r="N875" s="1">
        <v>3</v>
      </c>
      <c r="O875" s="1">
        <v>7</v>
      </c>
      <c r="P875" s="1">
        <f>COUNTIF(HR_Data[Employee Number],HR_Data[[#This Row],[Employee Number]])</f>
        <v>1</v>
      </c>
      <c r="Q875" s="1" t="str">
        <f>IF(HR_Data[[#This Row],[Years At Company]]&lt;=HR_Data[[#This Row],[Total Working Years]],"Valid","error")</f>
        <v>Valid</v>
      </c>
      <c r="R875" s="1" t="str" cm="1">
        <f t="array" ref="R875">_xlfn.IFS(HR_Data[[#This Row],[Age]]&lt;=30,"Young", HR_Data[[#This Row],[Age]]&lt;=45,"Mid-Age",HR_Data[[#This Row],[Age]]&gt;45,"Senior")</f>
        <v>Mid-Age</v>
      </c>
      <c r="S875" s="1" t="str" cm="1">
        <f t="array" ref="S875">_xlfn.IFS(HR_Data[[#This Row],[Monthly Income]]&lt;5000,"Low", HR_Data[[#This Row],[Monthly Income]]&lt;10000,"Medium",TRUE,"High")</f>
        <v>Low</v>
      </c>
      <c r="T875" s="1" t="str" cm="1">
        <f t="array" ref="T875">_xlfn.IFS(HR_Data[[#This Row],[Total Working Years]]&lt;=5,"Junior", HR_Data[[#This Row],[Total Working Years]]&lt;=15,"Mid-Level", TRUE, "Senior")</f>
        <v>Mid-Level</v>
      </c>
    </row>
    <row r="876" spans="1:20" x14ac:dyDescent="0.25">
      <c r="A876" s="1">
        <v>1224</v>
      </c>
      <c r="B876" s="1">
        <v>30</v>
      </c>
      <c r="C876" t="s">
        <v>9</v>
      </c>
      <c r="D876" t="s">
        <v>10</v>
      </c>
      <c r="E876" t="s">
        <v>6</v>
      </c>
      <c r="F876" t="s">
        <v>11</v>
      </c>
      <c r="G876" t="s">
        <v>14</v>
      </c>
      <c r="H876" s="1">
        <v>3</v>
      </c>
      <c r="I876" s="1">
        <v>3491</v>
      </c>
      <c r="J876" t="s">
        <v>9</v>
      </c>
      <c r="K876" s="1">
        <v>13</v>
      </c>
      <c r="L876" s="1">
        <v>3</v>
      </c>
      <c r="M876" s="1">
        <v>10</v>
      </c>
      <c r="N876" s="1">
        <v>2</v>
      </c>
      <c r="O876" s="1">
        <v>10</v>
      </c>
      <c r="P876" s="1">
        <f>COUNTIF(HR_Data[Employee Number],HR_Data[[#This Row],[Employee Number]])</f>
        <v>1</v>
      </c>
      <c r="Q876" s="1" t="str">
        <f>IF(HR_Data[[#This Row],[Years At Company]]&lt;=HR_Data[[#This Row],[Total Working Years]],"Valid","error")</f>
        <v>Valid</v>
      </c>
      <c r="R876" s="1" t="str" cm="1">
        <f t="array" ref="R876">_xlfn.IFS(HR_Data[[#This Row],[Age]]&lt;=30,"Young", HR_Data[[#This Row],[Age]]&lt;=45,"Mid-Age",HR_Data[[#This Row],[Age]]&gt;45,"Senior")</f>
        <v>Young</v>
      </c>
      <c r="S876" s="1" t="str" cm="1">
        <f t="array" ref="S876">_xlfn.IFS(HR_Data[[#This Row],[Monthly Income]]&lt;5000,"Low", HR_Data[[#This Row],[Monthly Income]]&lt;10000,"Medium",TRUE,"High")</f>
        <v>Low</v>
      </c>
      <c r="T876" s="1" t="str" cm="1">
        <f t="array" ref="T876">_xlfn.IFS(HR_Data[[#This Row],[Total Working Years]]&lt;=5,"Junior", HR_Data[[#This Row],[Total Working Years]]&lt;=15,"Mid-Level", TRUE, "Senior")</f>
        <v>Mid-Level</v>
      </c>
    </row>
    <row r="877" spans="1:20" x14ac:dyDescent="0.25">
      <c r="A877" s="1">
        <v>1225</v>
      </c>
      <c r="B877" s="1">
        <v>44</v>
      </c>
      <c r="C877" t="s">
        <v>9</v>
      </c>
      <c r="D877" t="s">
        <v>10</v>
      </c>
      <c r="E877" t="s">
        <v>13</v>
      </c>
      <c r="F877" t="s">
        <v>11</v>
      </c>
      <c r="G877" t="s">
        <v>12</v>
      </c>
      <c r="H877" s="1">
        <v>4</v>
      </c>
      <c r="I877" s="1">
        <v>4541</v>
      </c>
      <c r="J877" t="s">
        <v>9</v>
      </c>
      <c r="K877" s="1">
        <v>25</v>
      </c>
      <c r="L877" s="1">
        <v>4</v>
      </c>
      <c r="M877" s="1">
        <v>20</v>
      </c>
      <c r="N877" s="1">
        <v>3</v>
      </c>
      <c r="O877" s="1">
        <v>20</v>
      </c>
      <c r="P877" s="1">
        <f>COUNTIF(HR_Data[Employee Number],HR_Data[[#This Row],[Employee Number]])</f>
        <v>1</v>
      </c>
      <c r="Q877" s="1" t="str">
        <f>IF(HR_Data[[#This Row],[Years At Company]]&lt;=HR_Data[[#This Row],[Total Working Years]],"Valid","error")</f>
        <v>Valid</v>
      </c>
      <c r="R877" s="1" t="str" cm="1">
        <f t="array" ref="R877">_xlfn.IFS(HR_Data[[#This Row],[Age]]&lt;=30,"Young", HR_Data[[#This Row],[Age]]&lt;=45,"Mid-Age",HR_Data[[#This Row],[Age]]&gt;45,"Senior")</f>
        <v>Mid-Age</v>
      </c>
      <c r="S877" s="1" t="str" cm="1">
        <f t="array" ref="S877">_xlfn.IFS(HR_Data[[#This Row],[Monthly Income]]&lt;5000,"Low", HR_Data[[#This Row],[Monthly Income]]&lt;10000,"Medium",TRUE,"High")</f>
        <v>Low</v>
      </c>
      <c r="T877" s="1" t="str" cm="1">
        <f t="array" ref="T877">_xlfn.IFS(HR_Data[[#This Row],[Total Working Years]]&lt;=5,"Junior", HR_Data[[#This Row],[Total Working Years]]&lt;=15,"Mid-Level", TRUE, "Senior")</f>
        <v>Senior</v>
      </c>
    </row>
    <row r="878" spans="1:20" x14ac:dyDescent="0.25">
      <c r="A878" s="1">
        <v>1226</v>
      </c>
      <c r="B878" s="1">
        <v>20</v>
      </c>
      <c r="C878" t="s">
        <v>9</v>
      </c>
      <c r="D878" t="s">
        <v>5</v>
      </c>
      <c r="E878" t="s">
        <v>21</v>
      </c>
      <c r="F878" t="s">
        <v>11</v>
      </c>
      <c r="G878" t="s">
        <v>19</v>
      </c>
      <c r="H878" s="1">
        <v>4</v>
      </c>
      <c r="I878" s="1">
        <v>2678</v>
      </c>
      <c r="J878" t="s">
        <v>9</v>
      </c>
      <c r="K878" s="1">
        <v>17</v>
      </c>
      <c r="L878" s="1">
        <v>3</v>
      </c>
      <c r="M878" s="1">
        <v>2</v>
      </c>
      <c r="N878" s="1">
        <v>3</v>
      </c>
      <c r="O878" s="1">
        <v>2</v>
      </c>
      <c r="P878" s="1">
        <f>COUNTIF(HR_Data[Employee Number],HR_Data[[#This Row],[Employee Number]])</f>
        <v>1</v>
      </c>
      <c r="Q878" s="1" t="str">
        <f>IF(HR_Data[[#This Row],[Years At Company]]&lt;=HR_Data[[#This Row],[Total Working Years]],"Valid","error")</f>
        <v>Valid</v>
      </c>
      <c r="R878" s="1" t="str" cm="1">
        <f t="array" ref="R878">_xlfn.IFS(HR_Data[[#This Row],[Age]]&lt;=30,"Young", HR_Data[[#This Row],[Age]]&lt;=45,"Mid-Age",HR_Data[[#This Row],[Age]]&gt;45,"Senior")</f>
        <v>Young</v>
      </c>
      <c r="S878" s="1" t="str" cm="1">
        <f t="array" ref="S878">_xlfn.IFS(HR_Data[[#This Row],[Monthly Income]]&lt;5000,"Low", HR_Data[[#This Row],[Monthly Income]]&lt;10000,"Medium",TRUE,"High")</f>
        <v>Low</v>
      </c>
      <c r="T878" s="1" t="str" cm="1">
        <f t="array" ref="T878">_xlfn.IFS(HR_Data[[#This Row],[Total Working Years]]&lt;=5,"Junior", HR_Data[[#This Row],[Total Working Years]]&lt;=15,"Mid-Level", TRUE, "Senior")</f>
        <v>Junior</v>
      </c>
    </row>
    <row r="879" spans="1:20" x14ac:dyDescent="0.25">
      <c r="A879" s="1">
        <v>1228</v>
      </c>
      <c r="B879" s="1">
        <v>46</v>
      </c>
      <c r="C879" t="s">
        <v>9</v>
      </c>
      <c r="D879" t="s">
        <v>10</v>
      </c>
      <c r="E879" t="s">
        <v>22</v>
      </c>
      <c r="F879" t="s">
        <v>11</v>
      </c>
      <c r="G879" t="s">
        <v>16</v>
      </c>
      <c r="H879" s="1">
        <v>4</v>
      </c>
      <c r="I879" s="1">
        <v>7379</v>
      </c>
      <c r="J879" t="s">
        <v>9</v>
      </c>
      <c r="K879" s="1">
        <v>11</v>
      </c>
      <c r="L879" s="1">
        <v>3</v>
      </c>
      <c r="M879" s="1">
        <v>12</v>
      </c>
      <c r="N879" s="1">
        <v>2</v>
      </c>
      <c r="O879" s="1">
        <v>6</v>
      </c>
      <c r="P879" s="1">
        <f>COUNTIF(HR_Data[Employee Number],HR_Data[[#This Row],[Employee Number]])</f>
        <v>1</v>
      </c>
      <c r="Q879" s="1" t="str">
        <f>IF(HR_Data[[#This Row],[Years At Company]]&lt;=HR_Data[[#This Row],[Total Working Years]],"Valid","error")</f>
        <v>Valid</v>
      </c>
      <c r="R879" s="1" t="str" cm="1">
        <f t="array" ref="R879">_xlfn.IFS(HR_Data[[#This Row],[Age]]&lt;=30,"Young", HR_Data[[#This Row],[Age]]&lt;=45,"Mid-Age",HR_Data[[#This Row],[Age]]&gt;45,"Senior")</f>
        <v>Senior</v>
      </c>
      <c r="S879" s="1" t="str" cm="1">
        <f t="array" ref="S879">_xlfn.IFS(HR_Data[[#This Row],[Monthly Income]]&lt;5000,"Low", HR_Data[[#This Row],[Monthly Income]]&lt;10000,"Medium",TRUE,"High")</f>
        <v>Medium</v>
      </c>
      <c r="T879" s="1" t="str" cm="1">
        <f t="array" ref="T879">_xlfn.IFS(HR_Data[[#This Row],[Total Working Years]]&lt;=5,"Junior", HR_Data[[#This Row],[Total Working Years]]&lt;=15,"Mid-Level", TRUE, "Senior")</f>
        <v>Mid-Level</v>
      </c>
    </row>
    <row r="880" spans="1:20" x14ac:dyDescent="0.25">
      <c r="A880" s="1">
        <v>1231</v>
      </c>
      <c r="B880" s="1">
        <v>42</v>
      </c>
      <c r="C880" t="s">
        <v>9</v>
      </c>
      <c r="D880" t="s">
        <v>23</v>
      </c>
      <c r="E880" t="s">
        <v>15</v>
      </c>
      <c r="F880" t="s">
        <v>11</v>
      </c>
      <c r="G880" t="s">
        <v>23</v>
      </c>
      <c r="H880" s="1">
        <v>1</v>
      </c>
      <c r="I880" s="1">
        <v>6272</v>
      </c>
      <c r="J880" t="s">
        <v>9</v>
      </c>
      <c r="K880" s="1">
        <v>16</v>
      </c>
      <c r="L880" s="1">
        <v>3</v>
      </c>
      <c r="M880" s="1">
        <v>10</v>
      </c>
      <c r="N880" s="1">
        <v>4</v>
      </c>
      <c r="O880" s="1">
        <v>4</v>
      </c>
      <c r="P880" s="1">
        <f>COUNTIF(HR_Data[Employee Number],HR_Data[[#This Row],[Employee Number]])</f>
        <v>1</v>
      </c>
      <c r="Q880" s="1" t="str">
        <f>IF(HR_Data[[#This Row],[Years At Company]]&lt;=HR_Data[[#This Row],[Total Working Years]],"Valid","error")</f>
        <v>Valid</v>
      </c>
      <c r="R880" s="1" t="str" cm="1">
        <f t="array" ref="R880">_xlfn.IFS(HR_Data[[#This Row],[Age]]&lt;=30,"Young", HR_Data[[#This Row],[Age]]&lt;=45,"Mid-Age",HR_Data[[#This Row],[Age]]&gt;45,"Senior")</f>
        <v>Mid-Age</v>
      </c>
      <c r="S880" s="1" t="str" cm="1">
        <f t="array" ref="S880">_xlfn.IFS(HR_Data[[#This Row],[Monthly Income]]&lt;5000,"Low", HR_Data[[#This Row],[Monthly Income]]&lt;10000,"Medium",TRUE,"High")</f>
        <v>Medium</v>
      </c>
      <c r="T880" s="1" t="str" cm="1">
        <f t="array" ref="T880">_xlfn.IFS(HR_Data[[#This Row],[Total Working Years]]&lt;=5,"Junior", HR_Data[[#This Row],[Total Working Years]]&lt;=15,"Mid-Level", TRUE, "Senior")</f>
        <v>Mid-Level</v>
      </c>
    </row>
    <row r="881" spans="1:20" x14ac:dyDescent="0.25">
      <c r="A881" s="1">
        <v>1233</v>
      </c>
      <c r="B881" s="1">
        <v>60</v>
      </c>
      <c r="C881" t="s">
        <v>9</v>
      </c>
      <c r="D881" t="s">
        <v>5</v>
      </c>
      <c r="E881" t="s">
        <v>21</v>
      </c>
      <c r="F881" t="s">
        <v>11</v>
      </c>
      <c r="G881" t="s">
        <v>8</v>
      </c>
      <c r="H881" s="1">
        <v>4</v>
      </c>
      <c r="I881" s="1">
        <v>5220</v>
      </c>
      <c r="J881" t="s">
        <v>4</v>
      </c>
      <c r="K881" s="1">
        <v>18</v>
      </c>
      <c r="L881" s="1">
        <v>3</v>
      </c>
      <c r="M881" s="1">
        <v>12</v>
      </c>
      <c r="N881" s="1">
        <v>3</v>
      </c>
      <c r="O881" s="1">
        <v>11</v>
      </c>
      <c r="P881" s="1">
        <f>COUNTIF(HR_Data[Employee Number],HR_Data[[#This Row],[Employee Number]])</f>
        <v>1</v>
      </c>
      <c r="Q881" s="1" t="str">
        <f>IF(HR_Data[[#This Row],[Years At Company]]&lt;=HR_Data[[#This Row],[Total Working Years]],"Valid","error")</f>
        <v>Valid</v>
      </c>
      <c r="R881" s="1" t="str" cm="1">
        <f t="array" ref="R881">_xlfn.IFS(HR_Data[[#This Row],[Age]]&lt;=30,"Young", HR_Data[[#This Row],[Age]]&lt;=45,"Mid-Age",HR_Data[[#This Row],[Age]]&gt;45,"Senior")</f>
        <v>Senior</v>
      </c>
      <c r="S881" s="1" t="str" cm="1">
        <f t="array" ref="S881">_xlfn.IFS(HR_Data[[#This Row],[Monthly Income]]&lt;5000,"Low", HR_Data[[#This Row],[Monthly Income]]&lt;10000,"Medium",TRUE,"High")</f>
        <v>Medium</v>
      </c>
      <c r="T881" s="1" t="str" cm="1">
        <f t="array" ref="T881">_xlfn.IFS(HR_Data[[#This Row],[Total Working Years]]&lt;=5,"Junior", HR_Data[[#This Row],[Total Working Years]]&lt;=15,"Mid-Level", TRUE, "Senior")</f>
        <v>Mid-Level</v>
      </c>
    </row>
    <row r="882" spans="1:20" x14ac:dyDescent="0.25">
      <c r="A882" s="1">
        <v>1234</v>
      </c>
      <c r="B882" s="1">
        <v>32</v>
      </c>
      <c r="C882" t="s">
        <v>9</v>
      </c>
      <c r="D882" t="s">
        <v>10</v>
      </c>
      <c r="E882" t="s">
        <v>13</v>
      </c>
      <c r="F882" t="s">
        <v>7</v>
      </c>
      <c r="G882" t="s">
        <v>14</v>
      </c>
      <c r="H882" s="1">
        <v>2</v>
      </c>
      <c r="I882" s="1">
        <v>2743</v>
      </c>
      <c r="J882" t="s">
        <v>9</v>
      </c>
      <c r="K882" s="1">
        <v>20</v>
      </c>
      <c r="L882" s="1">
        <v>4</v>
      </c>
      <c r="M882" s="1">
        <v>2</v>
      </c>
      <c r="N882" s="1">
        <v>3</v>
      </c>
      <c r="O882" s="1">
        <v>2</v>
      </c>
      <c r="P882" s="1">
        <f>COUNTIF(HR_Data[Employee Number],HR_Data[[#This Row],[Employee Number]])</f>
        <v>1</v>
      </c>
      <c r="Q882" s="1" t="str">
        <f>IF(HR_Data[[#This Row],[Years At Company]]&lt;=HR_Data[[#This Row],[Total Working Years]],"Valid","error")</f>
        <v>Valid</v>
      </c>
      <c r="R882" s="1" t="str" cm="1">
        <f t="array" ref="R882">_xlfn.IFS(HR_Data[[#This Row],[Age]]&lt;=30,"Young", HR_Data[[#This Row],[Age]]&lt;=45,"Mid-Age",HR_Data[[#This Row],[Age]]&gt;45,"Senior")</f>
        <v>Mid-Age</v>
      </c>
      <c r="S882" s="1" t="str" cm="1">
        <f t="array" ref="S882">_xlfn.IFS(HR_Data[[#This Row],[Monthly Income]]&lt;5000,"Low", HR_Data[[#This Row],[Monthly Income]]&lt;10000,"Medium",TRUE,"High")</f>
        <v>Low</v>
      </c>
      <c r="T882" s="1" t="str" cm="1">
        <f t="array" ref="T882">_xlfn.IFS(HR_Data[[#This Row],[Total Working Years]]&lt;=5,"Junior", HR_Data[[#This Row],[Total Working Years]]&lt;=15,"Mid-Level", TRUE, "Senior")</f>
        <v>Junior</v>
      </c>
    </row>
    <row r="883" spans="1:20" x14ac:dyDescent="0.25">
      <c r="A883" s="1">
        <v>1235</v>
      </c>
      <c r="B883" s="1">
        <v>32</v>
      </c>
      <c r="C883" t="s">
        <v>9</v>
      </c>
      <c r="D883" t="s">
        <v>10</v>
      </c>
      <c r="E883" t="s">
        <v>6</v>
      </c>
      <c r="F883" t="s">
        <v>7</v>
      </c>
      <c r="G883" t="s">
        <v>12</v>
      </c>
      <c r="H883" s="1">
        <v>3</v>
      </c>
      <c r="I883" s="1">
        <v>4998</v>
      </c>
      <c r="J883" t="s">
        <v>4</v>
      </c>
      <c r="K883" s="1">
        <v>14</v>
      </c>
      <c r="L883" s="1">
        <v>3</v>
      </c>
      <c r="M883" s="1">
        <v>10</v>
      </c>
      <c r="N883" s="1">
        <v>3</v>
      </c>
      <c r="O883" s="1">
        <v>8</v>
      </c>
      <c r="P883" s="1">
        <f>COUNTIF(HR_Data[Employee Number],HR_Data[[#This Row],[Employee Number]])</f>
        <v>1</v>
      </c>
      <c r="Q883" s="1" t="str">
        <f>IF(HR_Data[[#This Row],[Years At Company]]&lt;=HR_Data[[#This Row],[Total Working Years]],"Valid","error")</f>
        <v>Valid</v>
      </c>
      <c r="R883" s="1" t="str" cm="1">
        <f t="array" ref="R883">_xlfn.IFS(HR_Data[[#This Row],[Age]]&lt;=30,"Young", HR_Data[[#This Row],[Age]]&lt;=45,"Mid-Age",HR_Data[[#This Row],[Age]]&gt;45,"Senior")</f>
        <v>Mid-Age</v>
      </c>
      <c r="S883" s="1" t="str" cm="1">
        <f t="array" ref="S883">_xlfn.IFS(HR_Data[[#This Row],[Monthly Income]]&lt;5000,"Low", HR_Data[[#This Row],[Monthly Income]]&lt;10000,"Medium",TRUE,"High")</f>
        <v>Low</v>
      </c>
      <c r="T883" s="1" t="str" cm="1">
        <f t="array" ref="T883">_xlfn.IFS(HR_Data[[#This Row],[Total Working Years]]&lt;=5,"Junior", HR_Data[[#This Row],[Total Working Years]]&lt;=15,"Mid-Level", TRUE, "Senior")</f>
        <v>Mid-Level</v>
      </c>
    </row>
    <row r="884" spans="1:20" x14ac:dyDescent="0.25">
      <c r="A884" s="1">
        <v>1237</v>
      </c>
      <c r="B884" s="1">
        <v>36</v>
      </c>
      <c r="C884" t="s">
        <v>9</v>
      </c>
      <c r="D884" t="s">
        <v>10</v>
      </c>
      <c r="E884" t="s">
        <v>22</v>
      </c>
      <c r="F884" t="s">
        <v>7</v>
      </c>
      <c r="G884" t="s">
        <v>16</v>
      </c>
      <c r="H884" s="1">
        <v>1</v>
      </c>
      <c r="I884" s="1">
        <v>10252</v>
      </c>
      <c r="J884" t="s">
        <v>4</v>
      </c>
      <c r="K884" s="1">
        <v>21</v>
      </c>
      <c r="L884" s="1">
        <v>4</v>
      </c>
      <c r="M884" s="1">
        <v>17</v>
      </c>
      <c r="N884" s="1">
        <v>3</v>
      </c>
      <c r="O884" s="1">
        <v>7</v>
      </c>
      <c r="P884" s="1">
        <f>COUNTIF(HR_Data[Employee Number],HR_Data[[#This Row],[Employee Number]])</f>
        <v>1</v>
      </c>
      <c r="Q884" s="1" t="str">
        <f>IF(HR_Data[[#This Row],[Years At Company]]&lt;=HR_Data[[#This Row],[Total Working Years]],"Valid","error")</f>
        <v>Valid</v>
      </c>
      <c r="R884" s="1" t="str" cm="1">
        <f t="array" ref="R884">_xlfn.IFS(HR_Data[[#This Row],[Age]]&lt;=30,"Young", HR_Data[[#This Row],[Age]]&lt;=45,"Mid-Age",HR_Data[[#This Row],[Age]]&gt;45,"Senior")</f>
        <v>Mid-Age</v>
      </c>
      <c r="S884" s="1" t="str" cm="1">
        <f t="array" ref="S884">_xlfn.IFS(HR_Data[[#This Row],[Monthly Income]]&lt;5000,"Low", HR_Data[[#This Row],[Monthly Income]]&lt;10000,"Medium",TRUE,"High")</f>
        <v>High</v>
      </c>
      <c r="T884" s="1" t="str" cm="1">
        <f t="array" ref="T884">_xlfn.IFS(HR_Data[[#This Row],[Total Working Years]]&lt;=5,"Junior", HR_Data[[#This Row],[Total Working Years]]&lt;=15,"Mid-Level", TRUE, "Senior")</f>
        <v>Senior</v>
      </c>
    </row>
    <row r="885" spans="1:20" x14ac:dyDescent="0.25">
      <c r="A885" s="1">
        <v>1238</v>
      </c>
      <c r="B885" s="1">
        <v>33</v>
      </c>
      <c r="C885" t="s">
        <v>9</v>
      </c>
      <c r="D885" t="s">
        <v>10</v>
      </c>
      <c r="E885" t="s">
        <v>15</v>
      </c>
      <c r="F885" t="s">
        <v>11</v>
      </c>
      <c r="G885" t="s">
        <v>12</v>
      </c>
      <c r="H885" s="1">
        <v>4</v>
      </c>
      <c r="I885" s="1">
        <v>2781</v>
      </c>
      <c r="J885" t="s">
        <v>9</v>
      </c>
      <c r="K885" s="1">
        <v>13</v>
      </c>
      <c r="L885" s="1">
        <v>3</v>
      </c>
      <c r="M885" s="1">
        <v>15</v>
      </c>
      <c r="N885" s="1">
        <v>3</v>
      </c>
      <c r="O885" s="1">
        <v>14</v>
      </c>
      <c r="P885" s="1">
        <f>COUNTIF(HR_Data[Employee Number],HR_Data[[#This Row],[Employee Number]])</f>
        <v>1</v>
      </c>
      <c r="Q885" s="1" t="str">
        <f>IF(HR_Data[[#This Row],[Years At Company]]&lt;=HR_Data[[#This Row],[Total Working Years]],"Valid","error")</f>
        <v>Valid</v>
      </c>
      <c r="R885" s="1" t="str" cm="1">
        <f t="array" ref="R885">_xlfn.IFS(HR_Data[[#This Row],[Age]]&lt;=30,"Young", HR_Data[[#This Row],[Age]]&lt;=45,"Mid-Age",HR_Data[[#This Row],[Age]]&gt;45,"Senior")</f>
        <v>Mid-Age</v>
      </c>
      <c r="S885" s="1" t="str" cm="1">
        <f t="array" ref="S885">_xlfn.IFS(HR_Data[[#This Row],[Monthly Income]]&lt;5000,"Low", HR_Data[[#This Row],[Monthly Income]]&lt;10000,"Medium",TRUE,"High")</f>
        <v>Low</v>
      </c>
      <c r="T885" s="1" t="str" cm="1">
        <f t="array" ref="T885">_xlfn.IFS(HR_Data[[#This Row],[Total Working Years]]&lt;=5,"Junior", HR_Data[[#This Row],[Total Working Years]]&lt;=15,"Mid-Level", TRUE, "Senior")</f>
        <v>Mid-Level</v>
      </c>
    </row>
    <row r="886" spans="1:20" x14ac:dyDescent="0.25">
      <c r="A886" s="1">
        <v>1239</v>
      </c>
      <c r="B886" s="1">
        <v>40</v>
      </c>
      <c r="C886" t="s">
        <v>9</v>
      </c>
      <c r="D886" t="s">
        <v>5</v>
      </c>
      <c r="E886" t="s">
        <v>22</v>
      </c>
      <c r="F886" t="s">
        <v>7</v>
      </c>
      <c r="G886" t="s">
        <v>8</v>
      </c>
      <c r="H886" s="1">
        <v>2</v>
      </c>
      <c r="I886" s="1">
        <v>6852</v>
      </c>
      <c r="J886" t="s">
        <v>9</v>
      </c>
      <c r="K886" s="1">
        <v>12</v>
      </c>
      <c r="L886" s="1">
        <v>3</v>
      </c>
      <c r="M886" s="1">
        <v>7</v>
      </c>
      <c r="N886" s="1">
        <v>4</v>
      </c>
      <c r="O886" s="1">
        <v>5</v>
      </c>
      <c r="P886" s="1">
        <f>COUNTIF(HR_Data[Employee Number],HR_Data[[#This Row],[Employee Number]])</f>
        <v>1</v>
      </c>
      <c r="Q886" s="1" t="str">
        <f>IF(HR_Data[[#This Row],[Years At Company]]&lt;=HR_Data[[#This Row],[Total Working Years]],"Valid","error")</f>
        <v>Valid</v>
      </c>
      <c r="R886" s="1" t="str" cm="1">
        <f t="array" ref="R886">_xlfn.IFS(HR_Data[[#This Row],[Age]]&lt;=30,"Young", HR_Data[[#This Row],[Age]]&lt;=45,"Mid-Age",HR_Data[[#This Row],[Age]]&gt;45,"Senior")</f>
        <v>Mid-Age</v>
      </c>
      <c r="S886" s="1" t="str" cm="1">
        <f t="array" ref="S886">_xlfn.IFS(HR_Data[[#This Row],[Monthly Income]]&lt;5000,"Low", HR_Data[[#This Row],[Monthly Income]]&lt;10000,"Medium",TRUE,"High")</f>
        <v>Medium</v>
      </c>
      <c r="T886" s="1" t="str" cm="1">
        <f t="array" ref="T886">_xlfn.IFS(HR_Data[[#This Row],[Total Working Years]]&lt;=5,"Junior", HR_Data[[#This Row],[Total Working Years]]&lt;=15,"Mid-Level", TRUE, "Senior")</f>
        <v>Mid-Level</v>
      </c>
    </row>
    <row r="887" spans="1:20" x14ac:dyDescent="0.25">
      <c r="A887" s="1">
        <v>1240</v>
      </c>
      <c r="B887" s="1">
        <v>25</v>
      </c>
      <c r="C887" t="s">
        <v>9</v>
      </c>
      <c r="D887" t="s">
        <v>5</v>
      </c>
      <c r="E887" t="s">
        <v>6</v>
      </c>
      <c r="F887" t="s">
        <v>11</v>
      </c>
      <c r="G887" t="s">
        <v>8</v>
      </c>
      <c r="H887" s="1">
        <v>4</v>
      </c>
      <c r="I887" s="1">
        <v>4950</v>
      </c>
      <c r="J887" t="s">
        <v>9</v>
      </c>
      <c r="K887" s="1">
        <v>14</v>
      </c>
      <c r="L887" s="1">
        <v>3</v>
      </c>
      <c r="M887" s="1">
        <v>5</v>
      </c>
      <c r="N887" s="1">
        <v>3</v>
      </c>
      <c r="O887" s="1">
        <v>4</v>
      </c>
      <c r="P887" s="1">
        <f>COUNTIF(HR_Data[Employee Number],HR_Data[[#This Row],[Employee Number]])</f>
        <v>1</v>
      </c>
      <c r="Q887" s="1" t="str">
        <f>IF(HR_Data[[#This Row],[Years At Company]]&lt;=HR_Data[[#This Row],[Total Working Years]],"Valid","error")</f>
        <v>Valid</v>
      </c>
      <c r="R887" s="1" t="str" cm="1">
        <f t="array" ref="R887">_xlfn.IFS(HR_Data[[#This Row],[Age]]&lt;=30,"Young", HR_Data[[#This Row],[Age]]&lt;=45,"Mid-Age",HR_Data[[#This Row],[Age]]&gt;45,"Senior")</f>
        <v>Young</v>
      </c>
      <c r="S887" s="1" t="str" cm="1">
        <f t="array" ref="S887">_xlfn.IFS(HR_Data[[#This Row],[Monthly Income]]&lt;5000,"Low", HR_Data[[#This Row],[Monthly Income]]&lt;10000,"Medium",TRUE,"High")</f>
        <v>Low</v>
      </c>
      <c r="T887" s="1" t="str" cm="1">
        <f t="array" ref="T887">_xlfn.IFS(HR_Data[[#This Row],[Total Working Years]]&lt;=5,"Junior", HR_Data[[#This Row],[Total Working Years]]&lt;=15,"Mid-Level", TRUE, "Senior")</f>
        <v>Junior</v>
      </c>
    </row>
    <row r="888" spans="1:20" x14ac:dyDescent="0.25">
      <c r="A888" s="1">
        <v>1241</v>
      </c>
      <c r="B888" s="1">
        <v>30</v>
      </c>
      <c r="C888" t="s">
        <v>9</v>
      </c>
      <c r="D888" t="s">
        <v>10</v>
      </c>
      <c r="E888" t="s">
        <v>15</v>
      </c>
      <c r="F888" t="s">
        <v>11</v>
      </c>
      <c r="G888" t="s">
        <v>12</v>
      </c>
      <c r="H888" s="1">
        <v>2</v>
      </c>
      <c r="I888" s="1">
        <v>3579</v>
      </c>
      <c r="J888" t="s">
        <v>4</v>
      </c>
      <c r="K888" s="1">
        <v>21</v>
      </c>
      <c r="L888" s="1">
        <v>4</v>
      </c>
      <c r="M888" s="1">
        <v>12</v>
      </c>
      <c r="N888" s="1">
        <v>3</v>
      </c>
      <c r="O888" s="1">
        <v>11</v>
      </c>
      <c r="P888" s="1">
        <f>COUNTIF(HR_Data[Employee Number],HR_Data[[#This Row],[Employee Number]])</f>
        <v>1</v>
      </c>
      <c r="Q888" s="1" t="str">
        <f>IF(HR_Data[[#This Row],[Years At Company]]&lt;=HR_Data[[#This Row],[Total Working Years]],"Valid","error")</f>
        <v>Valid</v>
      </c>
      <c r="R888" s="1" t="str" cm="1">
        <f t="array" ref="R888">_xlfn.IFS(HR_Data[[#This Row],[Age]]&lt;=30,"Young", HR_Data[[#This Row],[Age]]&lt;=45,"Mid-Age",HR_Data[[#This Row],[Age]]&gt;45,"Senior")</f>
        <v>Young</v>
      </c>
      <c r="S888" s="1" t="str" cm="1">
        <f t="array" ref="S888">_xlfn.IFS(HR_Data[[#This Row],[Monthly Income]]&lt;5000,"Low", HR_Data[[#This Row],[Monthly Income]]&lt;10000,"Medium",TRUE,"High")</f>
        <v>Low</v>
      </c>
      <c r="T888" s="1" t="str" cm="1">
        <f t="array" ref="T888">_xlfn.IFS(HR_Data[[#This Row],[Total Working Years]]&lt;=5,"Junior", HR_Data[[#This Row],[Total Working Years]]&lt;=15,"Mid-Level", TRUE, "Senior")</f>
        <v>Mid-Level</v>
      </c>
    </row>
    <row r="889" spans="1:20" x14ac:dyDescent="0.25">
      <c r="A889" s="1">
        <v>1242</v>
      </c>
      <c r="B889" s="1">
        <v>42</v>
      </c>
      <c r="C889" t="s">
        <v>9</v>
      </c>
      <c r="D889" t="s">
        <v>10</v>
      </c>
      <c r="E889" t="s">
        <v>15</v>
      </c>
      <c r="F889" t="s">
        <v>7</v>
      </c>
      <c r="G889" t="s">
        <v>20</v>
      </c>
      <c r="H889" s="1">
        <v>1</v>
      </c>
      <c r="I889" s="1">
        <v>13191</v>
      </c>
      <c r="J889" t="s">
        <v>4</v>
      </c>
      <c r="K889" s="1">
        <v>17</v>
      </c>
      <c r="L889" s="1">
        <v>3</v>
      </c>
      <c r="M889" s="1">
        <v>20</v>
      </c>
      <c r="N889" s="1">
        <v>3</v>
      </c>
      <c r="O889" s="1">
        <v>1</v>
      </c>
      <c r="P889" s="1">
        <f>COUNTIF(HR_Data[Employee Number],HR_Data[[#This Row],[Employee Number]])</f>
        <v>1</v>
      </c>
      <c r="Q889" s="1" t="str">
        <f>IF(HR_Data[[#This Row],[Years At Company]]&lt;=HR_Data[[#This Row],[Total Working Years]],"Valid","error")</f>
        <v>Valid</v>
      </c>
      <c r="R889" s="1" t="str" cm="1">
        <f t="array" ref="R889">_xlfn.IFS(HR_Data[[#This Row],[Age]]&lt;=30,"Young", HR_Data[[#This Row],[Age]]&lt;=45,"Mid-Age",HR_Data[[#This Row],[Age]]&gt;45,"Senior")</f>
        <v>Mid-Age</v>
      </c>
      <c r="S889" s="1" t="str" cm="1">
        <f t="array" ref="S889">_xlfn.IFS(HR_Data[[#This Row],[Monthly Income]]&lt;5000,"Low", HR_Data[[#This Row],[Monthly Income]]&lt;10000,"Medium",TRUE,"High")</f>
        <v>High</v>
      </c>
      <c r="T889" s="1" t="str" cm="1">
        <f t="array" ref="T889">_xlfn.IFS(HR_Data[[#This Row],[Total Working Years]]&lt;=5,"Junior", HR_Data[[#This Row],[Total Working Years]]&lt;=15,"Mid-Level", TRUE, "Senior")</f>
        <v>Senior</v>
      </c>
    </row>
    <row r="890" spans="1:20" x14ac:dyDescent="0.25">
      <c r="A890" s="1">
        <v>1243</v>
      </c>
      <c r="B890" s="1">
        <v>35</v>
      </c>
      <c r="C890" t="s">
        <v>9</v>
      </c>
      <c r="D890" t="s">
        <v>5</v>
      </c>
      <c r="E890" t="s">
        <v>21</v>
      </c>
      <c r="F890" t="s">
        <v>7</v>
      </c>
      <c r="G890" t="s">
        <v>8</v>
      </c>
      <c r="H890" s="1">
        <v>4</v>
      </c>
      <c r="I890" s="1">
        <v>10377</v>
      </c>
      <c r="J890" t="s">
        <v>4</v>
      </c>
      <c r="K890" s="1">
        <v>11</v>
      </c>
      <c r="L890" s="1">
        <v>3</v>
      </c>
      <c r="M890" s="1">
        <v>16</v>
      </c>
      <c r="N890" s="1">
        <v>2</v>
      </c>
      <c r="O890" s="1">
        <v>13</v>
      </c>
      <c r="P890" s="1">
        <f>COUNTIF(HR_Data[Employee Number],HR_Data[[#This Row],[Employee Number]])</f>
        <v>1</v>
      </c>
      <c r="Q890" s="1" t="str">
        <f>IF(HR_Data[[#This Row],[Years At Company]]&lt;=HR_Data[[#This Row],[Total Working Years]],"Valid","error")</f>
        <v>Valid</v>
      </c>
      <c r="R890" s="1" t="str" cm="1">
        <f t="array" ref="R890">_xlfn.IFS(HR_Data[[#This Row],[Age]]&lt;=30,"Young", HR_Data[[#This Row],[Age]]&lt;=45,"Mid-Age",HR_Data[[#This Row],[Age]]&gt;45,"Senior")</f>
        <v>Mid-Age</v>
      </c>
      <c r="S890" s="1" t="str" cm="1">
        <f t="array" ref="S890">_xlfn.IFS(HR_Data[[#This Row],[Monthly Income]]&lt;5000,"Low", HR_Data[[#This Row],[Monthly Income]]&lt;10000,"Medium",TRUE,"High")</f>
        <v>High</v>
      </c>
      <c r="T890" s="1" t="str" cm="1">
        <f t="array" ref="T890">_xlfn.IFS(HR_Data[[#This Row],[Total Working Years]]&lt;=5,"Junior", HR_Data[[#This Row],[Total Working Years]]&lt;=15,"Mid-Level", TRUE, "Senior")</f>
        <v>Senior</v>
      </c>
    </row>
    <row r="891" spans="1:20" x14ac:dyDescent="0.25">
      <c r="A891" s="1">
        <v>1244</v>
      </c>
      <c r="B891" s="1">
        <v>27</v>
      </c>
      <c r="C891" t="s">
        <v>9</v>
      </c>
      <c r="D891" t="s">
        <v>10</v>
      </c>
      <c r="E891" t="s">
        <v>6</v>
      </c>
      <c r="F891" t="s">
        <v>11</v>
      </c>
      <c r="G891" t="s">
        <v>12</v>
      </c>
      <c r="H891" s="1">
        <v>1</v>
      </c>
      <c r="I891" s="1">
        <v>2235</v>
      </c>
      <c r="J891" t="s">
        <v>4</v>
      </c>
      <c r="K891" s="1">
        <v>14</v>
      </c>
      <c r="L891" s="1">
        <v>3</v>
      </c>
      <c r="M891" s="1">
        <v>9</v>
      </c>
      <c r="N891" s="1">
        <v>2</v>
      </c>
      <c r="O891" s="1">
        <v>9</v>
      </c>
      <c r="P891" s="1">
        <f>COUNTIF(HR_Data[Employee Number],HR_Data[[#This Row],[Employee Number]])</f>
        <v>1</v>
      </c>
      <c r="Q891" s="1" t="str">
        <f>IF(HR_Data[[#This Row],[Years At Company]]&lt;=HR_Data[[#This Row],[Total Working Years]],"Valid","error")</f>
        <v>Valid</v>
      </c>
      <c r="R891" s="1" t="str" cm="1">
        <f t="array" ref="R891">_xlfn.IFS(HR_Data[[#This Row],[Age]]&lt;=30,"Young", HR_Data[[#This Row],[Age]]&lt;=45,"Mid-Age",HR_Data[[#This Row],[Age]]&gt;45,"Senior")</f>
        <v>Young</v>
      </c>
      <c r="S891" s="1" t="str" cm="1">
        <f t="array" ref="S891">_xlfn.IFS(HR_Data[[#This Row],[Monthly Income]]&lt;5000,"Low", HR_Data[[#This Row],[Monthly Income]]&lt;10000,"Medium",TRUE,"High")</f>
        <v>Low</v>
      </c>
      <c r="T891" s="1" t="str" cm="1">
        <f t="array" ref="T891">_xlfn.IFS(HR_Data[[#This Row],[Total Working Years]]&lt;=5,"Junior", HR_Data[[#This Row],[Total Working Years]]&lt;=15,"Mid-Level", TRUE, "Senior")</f>
        <v>Mid-Level</v>
      </c>
    </row>
    <row r="892" spans="1:20" x14ac:dyDescent="0.25">
      <c r="A892" s="1">
        <v>1245</v>
      </c>
      <c r="B892" s="1">
        <v>54</v>
      </c>
      <c r="C892" t="s">
        <v>9</v>
      </c>
      <c r="D892" t="s">
        <v>10</v>
      </c>
      <c r="E892" t="s">
        <v>6</v>
      </c>
      <c r="F892" t="s">
        <v>7</v>
      </c>
      <c r="G892" t="s">
        <v>16</v>
      </c>
      <c r="H892" s="1">
        <v>3</v>
      </c>
      <c r="I892" s="1">
        <v>10502</v>
      </c>
      <c r="J892" t="s">
        <v>9</v>
      </c>
      <c r="K892" s="1">
        <v>17</v>
      </c>
      <c r="L892" s="1">
        <v>3</v>
      </c>
      <c r="M892" s="1">
        <v>33</v>
      </c>
      <c r="N892" s="1">
        <v>1</v>
      </c>
      <c r="O892" s="1">
        <v>5</v>
      </c>
      <c r="P892" s="1">
        <f>COUNTIF(HR_Data[Employee Number],HR_Data[[#This Row],[Employee Number]])</f>
        <v>1</v>
      </c>
      <c r="Q892" s="1" t="str">
        <f>IF(HR_Data[[#This Row],[Years At Company]]&lt;=HR_Data[[#This Row],[Total Working Years]],"Valid","error")</f>
        <v>Valid</v>
      </c>
      <c r="R892" s="1" t="str" cm="1">
        <f t="array" ref="R892">_xlfn.IFS(HR_Data[[#This Row],[Age]]&lt;=30,"Young", HR_Data[[#This Row],[Age]]&lt;=45,"Mid-Age",HR_Data[[#This Row],[Age]]&gt;45,"Senior")</f>
        <v>Senior</v>
      </c>
      <c r="S892" s="1" t="str" cm="1">
        <f t="array" ref="S892">_xlfn.IFS(HR_Data[[#This Row],[Monthly Income]]&lt;5000,"Low", HR_Data[[#This Row],[Monthly Income]]&lt;10000,"Medium",TRUE,"High")</f>
        <v>High</v>
      </c>
      <c r="T892" s="1" t="str" cm="1">
        <f t="array" ref="T892">_xlfn.IFS(HR_Data[[#This Row],[Total Working Years]]&lt;=5,"Junior", HR_Data[[#This Row],[Total Working Years]]&lt;=15,"Mid-Level", TRUE, "Senior")</f>
        <v>Senior</v>
      </c>
    </row>
    <row r="893" spans="1:20" x14ac:dyDescent="0.25">
      <c r="A893" s="1">
        <v>1246</v>
      </c>
      <c r="B893" s="1">
        <v>44</v>
      </c>
      <c r="C893" t="s">
        <v>9</v>
      </c>
      <c r="D893" t="s">
        <v>10</v>
      </c>
      <c r="E893" t="s">
        <v>6</v>
      </c>
      <c r="F893" t="s">
        <v>7</v>
      </c>
      <c r="G893" t="s">
        <v>12</v>
      </c>
      <c r="H893" s="1">
        <v>4</v>
      </c>
      <c r="I893" s="1">
        <v>2011</v>
      </c>
      <c r="J893" t="s">
        <v>9</v>
      </c>
      <c r="K893" s="1">
        <v>13</v>
      </c>
      <c r="L893" s="1">
        <v>3</v>
      </c>
      <c r="M893" s="1">
        <v>10</v>
      </c>
      <c r="N893" s="1">
        <v>3</v>
      </c>
      <c r="O893" s="1">
        <v>10</v>
      </c>
      <c r="P893" s="1">
        <f>COUNTIF(HR_Data[Employee Number],HR_Data[[#This Row],[Employee Number]])</f>
        <v>1</v>
      </c>
      <c r="Q893" s="1" t="str">
        <f>IF(HR_Data[[#This Row],[Years At Company]]&lt;=HR_Data[[#This Row],[Total Working Years]],"Valid","error")</f>
        <v>Valid</v>
      </c>
      <c r="R893" s="1" t="str" cm="1">
        <f t="array" ref="R893">_xlfn.IFS(HR_Data[[#This Row],[Age]]&lt;=30,"Young", HR_Data[[#This Row],[Age]]&lt;=45,"Mid-Age",HR_Data[[#This Row],[Age]]&gt;45,"Senior")</f>
        <v>Mid-Age</v>
      </c>
      <c r="S893" s="1" t="str" cm="1">
        <f t="array" ref="S893">_xlfn.IFS(HR_Data[[#This Row],[Monthly Income]]&lt;5000,"Low", HR_Data[[#This Row],[Monthly Income]]&lt;10000,"Medium",TRUE,"High")</f>
        <v>Low</v>
      </c>
      <c r="T893" s="1" t="str" cm="1">
        <f t="array" ref="T893">_xlfn.IFS(HR_Data[[#This Row],[Total Working Years]]&lt;=5,"Junior", HR_Data[[#This Row],[Total Working Years]]&lt;=15,"Mid-Level", TRUE, "Senior")</f>
        <v>Mid-Level</v>
      </c>
    </row>
    <row r="894" spans="1:20" x14ac:dyDescent="0.25">
      <c r="A894" s="1">
        <v>1248</v>
      </c>
      <c r="B894" s="1">
        <v>19</v>
      </c>
      <c r="C894" t="s">
        <v>4</v>
      </c>
      <c r="D894" t="s">
        <v>10</v>
      </c>
      <c r="E894" t="s">
        <v>15</v>
      </c>
      <c r="F894" t="s">
        <v>7</v>
      </c>
      <c r="G894" t="s">
        <v>12</v>
      </c>
      <c r="H894" s="1">
        <v>2</v>
      </c>
      <c r="I894" s="1">
        <v>1859</v>
      </c>
      <c r="J894" t="s">
        <v>4</v>
      </c>
      <c r="K894" s="1">
        <v>25</v>
      </c>
      <c r="L894" s="1">
        <v>4</v>
      </c>
      <c r="M894" s="1">
        <v>1</v>
      </c>
      <c r="N894" s="1">
        <v>4</v>
      </c>
      <c r="O894" s="1">
        <v>1</v>
      </c>
      <c r="P894" s="1">
        <f>COUNTIF(HR_Data[Employee Number],HR_Data[[#This Row],[Employee Number]])</f>
        <v>1</v>
      </c>
      <c r="Q894" s="1" t="str">
        <f>IF(HR_Data[[#This Row],[Years At Company]]&lt;=HR_Data[[#This Row],[Total Working Years]],"Valid","error")</f>
        <v>Valid</v>
      </c>
      <c r="R894" s="1" t="str" cm="1">
        <f t="array" ref="R894">_xlfn.IFS(HR_Data[[#This Row],[Age]]&lt;=30,"Young", HR_Data[[#This Row],[Age]]&lt;=45,"Mid-Age",HR_Data[[#This Row],[Age]]&gt;45,"Senior")</f>
        <v>Young</v>
      </c>
      <c r="S894" s="1" t="str" cm="1">
        <f t="array" ref="S894">_xlfn.IFS(HR_Data[[#This Row],[Monthly Income]]&lt;5000,"Low", HR_Data[[#This Row],[Monthly Income]]&lt;10000,"Medium",TRUE,"High")</f>
        <v>Low</v>
      </c>
      <c r="T894" s="1" t="str" cm="1">
        <f t="array" ref="T894">_xlfn.IFS(HR_Data[[#This Row],[Total Working Years]]&lt;=5,"Junior", HR_Data[[#This Row],[Total Working Years]]&lt;=15,"Mid-Level", TRUE, "Senior")</f>
        <v>Junior</v>
      </c>
    </row>
    <row r="895" spans="1:20" x14ac:dyDescent="0.25">
      <c r="A895" s="1">
        <v>1249</v>
      </c>
      <c r="B895" s="1">
        <v>29</v>
      </c>
      <c r="C895" t="s">
        <v>9</v>
      </c>
      <c r="D895" t="s">
        <v>10</v>
      </c>
      <c r="E895" t="s">
        <v>6</v>
      </c>
      <c r="F895" t="s">
        <v>7</v>
      </c>
      <c r="G895" t="s">
        <v>12</v>
      </c>
      <c r="H895" s="1">
        <v>4</v>
      </c>
      <c r="I895" s="1">
        <v>3760</v>
      </c>
      <c r="J895" t="s">
        <v>9</v>
      </c>
      <c r="K895" s="1">
        <v>15</v>
      </c>
      <c r="L895" s="1">
        <v>3</v>
      </c>
      <c r="M895" s="1">
        <v>3</v>
      </c>
      <c r="N895" s="1">
        <v>3</v>
      </c>
      <c r="O895" s="1">
        <v>3</v>
      </c>
      <c r="P895" s="1">
        <f>COUNTIF(HR_Data[Employee Number],HR_Data[[#This Row],[Employee Number]])</f>
        <v>1</v>
      </c>
      <c r="Q895" s="1" t="str">
        <f>IF(HR_Data[[#This Row],[Years At Company]]&lt;=HR_Data[[#This Row],[Total Working Years]],"Valid","error")</f>
        <v>Valid</v>
      </c>
      <c r="R895" s="1" t="str" cm="1">
        <f t="array" ref="R895">_xlfn.IFS(HR_Data[[#This Row],[Age]]&lt;=30,"Young", HR_Data[[#This Row],[Age]]&lt;=45,"Mid-Age",HR_Data[[#This Row],[Age]]&gt;45,"Senior")</f>
        <v>Young</v>
      </c>
      <c r="S895" s="1" t="str" cm="1">
        <f t="array" ref="S895">_xlfn.IFS(HR_Data[[#This Row],[Monthly Income]]&lt;5000,"Low", HR_Data[[#This Row],[Monthly Income]]&lt;10000,"Medium",TRUE,"High")</f>
        <v>Low</v>
      </c>
      <c r="T895" s="1" t="str" cm="1">
        <f t="array" ref="T895">_xlfn.IFS(HR_Data[[#This Row],[Total Working Years]]&lt;=5,"Junior", HR_Data[[#This Row],[Total Working Years]]&lt;=15,"Mid-Level", TRUE, "Senior")</f>
        <v>Junior</v>
      </c>
    </row>
    <row r="896" spans="1:20" x14ac:dyDescent="0.25">
      <c r="A896" s="1">
        <v>1250</v>
      </c>
      <c r="B896" s="1">
        <v>54</v>
      </c>
      <c r="C896" t="s">
        <v>9</v>
      </c>
      <c r="D896" t="s">
        <v>10</v>
      </c>
      <c r="E896" t="s">
        <v>6</v>
      </c>
      <c r="F896" t="s">
        <v>11</v>
      </c>
      <c r="G896" t="s">
        <v>20</v>
      </c>
      <c r="H896" s="1">
        <v>4</v>
      </c>
      <c r="I896" s="1">
        <v>17779</v>
      </c>
      <c r="J896" t="s">
        <v>9</v>
      </c>
      <c r="K896" s="1">
        <v>14</v>
      </c>
      <c r="L896" s="1">
        <v>3</v>
      </c>
      <c r="M896" s="1">
        <v>36</v>
      </c>
      <c r="N896" s="1">
        <v>3</v>
      </c>
      <c r="O896" s="1">
        <v>10</v>
      </c>
      <c r="P896" s="1">
        <f>COUNTIF(HR_Data[Employee Number],HR_Data[[#This Row],[Employee Number]])</f>
        <v>1</v>
      </c>
      <c r="Q896" s="1" t="str">
        <f>IF(HR_Data[[#This Row],[Years At Company]]&lt;=HR_Data[[#This Row],[Total Working Years]],"Valid","error")</f>
        <v>Valid</v>
      </c>
      <c r="R896" s="1" t="str" cm="1">
        <f t="array" ref="R896">_xlfn.IFS(HR_Data[[#This Row],[Age]]&lt;=30,"Young", HR_Data[[#This Row],[Age]]&lt;=45,"Mid-Age",HR_Data[[#This Row],[Age]]&gt;45,"Senior")</f>
        <v>Senior</v>
      </c>
      <c r="S896" s="1" t="str" cm="1">
        <f t="array" ref="S896">_xlfn.IFS(HR_Data[[#This Row],[Monthly Income]]&lt;5000,"Low", HR_Data[[#This Row],[Monthly Income]]&lt;10000,"Medium",TRUE,"High")</f>
        <v>High</v>
      </c>
      <c r="T896" s="1" t="str" cm="1">
        <f t="array" ref="T896">_xlfn.IFS(HR_Data[[#This Row],[Total Working Years]]&lt;=5,"Junior", HR_Data[[#This Row],[Total Working Years]]&lt;=15,"Mid-Level", TRUE, "Senior")</f>
        <v>Senior</v>
      </c>
    </row>
    <row r="897" spans="1:20" x14ac:dyDescent="0.25">
      <c r="A897" s="1">
        <v>1251</v>
      </c>
      <c r="B897" s="1">
        <v>31</v>
      </c>
      <c r="C897" t="s">
        <v>9</v>
      </c>
      <c r="D897" t="s">
        <v>10</v>
      </c>
      <c r="E897" t="s">
        <v>15</v>
      </c>
      <c r="F897" t="s">
        <v>11</v>
      </c>
      <c r="G897" t="s">
        <v>17</v>
      </c>
      <c r="H897" s="1">
        <v>1</v>
      </c>
      <c r="I897" s="1">
        <v>6833</v>
      </c>
      <c r="J897" t="s">
        <v>4</v>
      </c>
      <c r="K897" s="1">
        <v>12</v>
      </c>
      <c r="L897" s="1">
        <v>3</v>
      </c>
      <c r="M897" s="1">
        <v>6</v>
      </c>
      <c r="N897" s="1">
        <v>2</v>
      </c>
      <c r="O897" s="1">
        <v>6</v>
      </c>
      <c r="P897" s="1">
        <f>COUNTIF(HR_Data[Employee Number],HR_Data[[#This Row],[Employee Number]])</f>
        <v>1</v>
      </c>
      <c r="Q897" s="1" t="str">
        <f>IF(HR_Data[[#This Row],[Years At Company]]&lt;=HR_Data[[#This Row],[Total Working Years]],"Valid","error")</f>
        <v>Valid</v>
      </c>
      <c r="R897" s="1" t="str" cm="1">
        <f t="array" ref="R897">_xlfn.IFS(HR_Data[[#This Row],[Age]]&lt;=30,"Young", HR_Data[[#This Row],[Age]]&lt;=45,"Mid-Age",HR_Data[[#This Row],[Age]]&gt;45,"Senior")</f>
        <v>Mid-Age</v>
      </c>
      <c r="S897" s="1" t="str" cm="1">
        <f t="array" ref="S897">_xlfn.IFS(HR_Data[[#This Row],[Monthly Income]]&lt;5000,"Low", HR_Data[[#This Row],[Monthly Income]]&lt;10000,"Medium",TRUE,"High")</f>
        <v>Medium</v>
      </c>
      <c r="T897" s="1" t="str" cm="1">
        <f t="array" ref="T897">_xlfn.IFS(HR_Data[[#This Row],[Total Working Years]]&lt;=5,"Junior", HR_Data[[#This Row],[Total Working Years]]&lt;=15,"Mid-Level", TRUE, "Senior")</f>
        <v>Mid-Level</v>
      </c>
    </row>
    <row r="898" spans="1:20" x14ac:dyDescent="0.25">
      <c r="A898" s="1">
        <v>1252</v>
      </c>
      <c r="B898" s="1">
        <v>31</v>
      </c>
      <c r="C898" t="s">
        <v>9</v>
      </c>
      <c r="D898" t="s">
        <v>10</v>
      </c>
      <c r="E898" t="s">
        <v>15</v>
      </c>
      <c r="F898" t="s">
        <v>7</v>
      </c>
      <c r="G898" t="s">
        <v>17</v>
      </c>
      <c r="H898" s="1">
        <v>1</v>
      </c>
      <c r="I898" s="1">
        <v>6812</v>
      </c>
      <c r="J898" t="s">
        <v>9</v>
      </c>
      <c r="K898" s="1">
        <v>19</v>
      </c>
      <c r="L898" s="1">
        <v>3</v>
      </c>
      <c r="M898" s="1">
        <v>10</v>
      </c>
      <c r="N898" s="1">
        <v>3</v>
      </c>
      <c r="O898" s="1">
        <v>10</v>
      </c>
      <c r="P898" s="1">
        <f>COUNTIF(HR_Data[Employee Number],HR_Data[[#This Row],[Employee Number]])</f>
        <v>1</v>
      </c>
      <c r="Q898" s="1" t="str">
        <f>IF(HR_Data[[#This Row],[Years At Company]]&lt;=HR_Data[[#This Row],[Total Working Years]],"Valid","error")</f>
        <v>Valid</v>
      </c>
      <c r="R898" s="1" t="str" cm="1">
        <f t="array" ref="R898">_xlfn.IFS(HR_Data[[#This Row],[Age]]&lt;=30,"Young", HR_Data[[#This Row],[Age]]&lt;=45,"Mid-Age",HR_Data[[#This Row],[Age]]&gt;45,"Senior")</f>
        <v>Mid-Age</v>
      </c>
      <c r="S898" s="1" t="str" cm="1">
        <f t="array" ref="S898">_xlfn.IFS(HR_Data[[#This Row],[Monthly Income]]&lt;5000,"Low", HR_Data[[#This Row],[Monthly Income]]&lt;10000,"Medium",TRUE,"High")</f>
        <v>Medium</v>
      </c>
      <c r="T898" s="1" t="str" cm="1">
        <f t="array" ref="T898">_xlfn.IFS(HR_Data[[#This Row],[Total Working Years]]&lt;=5,"Junior", HR_Data[[#This Row],[Total Working Years]]&lt;=15,"Mid-Level", TRUE, "Senior")</f>
        <v>Mid-Level</v>
      </c>
    </row>
    <row r="899" spans="1:20" x14ac:dyDescent="0.25">
      <c r="A899" s="1">
        <v>1254</v>
      </c>
      <c r="B899" s="1">
        <v>59</v>
      </c>
      <c r="C899" t="s">
        <v>9</v>
      </c>
      <c r="D899" t="s">
        <v>5</v>
      </c>
      <c r="E899" t="s">
        <v>6</v>
      </c>
      <c r="F899" t="s">
        <v>7</v>
      </c>
      <c r="G899" t="s">
        <v>8</v>
      </c>
      <c r="H899" s="1">
        <v>4</v>
      </c>
      <c r="I899" s="1">
        <v>5171</v>
      </c>
      <c r="J899" t="s">
        <v>9</v>
      </c>
      <c r="K899" s="1">
        <v>17</v>
      </c>
      <c r="L899" s="1">
        <v>3</v>
      </c>
      <c r="M899" s="1">
        <v>13</v>
      </c>
      <c r="N899" s="1">
        <v>3</v>
      </c>
      <c r="O899" s="1">
        <v>6</v>
      </c>
      <c r="P899" s="1">
        <f>COUNTIF(HR_Data[Employee Number],HR_Data[[#This Row],[Employee Number]])</f>
        <v>1</v>
      </c>
      <c r="Q899" s="1" t="str">
        <f>IF(HR_Data[[#This Row],[Years At Company]]&lt;=HR_Data[[#This Row],[Total Working Years]],"Valid","error")</f>
        <v>Valid</v>
      </c>
      <c r="R899" s="1" t="str" cm="1">
        <f t="array" ref="R899">_xlfn.IFS(HR_Data[[#This Row],[Age]]&lt;=30,"Young", HR_Data[[#This Row],[Age]]&lt;=45,"Mid-Age",HR_Data[[#This Row],[Age]]&gt;45,"Senior")</f>
        <v>Senior</v>
      </c>
      <c r="S899" s="1" t="str" cm="1">
        <f t="array" ref="S899">_xlfn.IFS(HR_Data[[#This Row],[Monthly Income]]&lt;5000,"Low", HR_Data[[#This Row],[Monthly Income]]&lt;10000,"Medium",TRUE,"High")</f>
        <v>Medium</v>
      </c>
      <c r="T899" s="1" t="str" cm="1">
        <f t="array" ref="T899">_xlfn.IFS(HR_Data[[#This Row],[Total Working Years]]&lt;=5,"Junior", HR_Data[[#This Row],[Total Working Years]]&lt;=15,"Mid-Level", TRUE, "Senior")</f>
        <v>Mid-Level</v>
      </c>
    </row>
    <row r="900" spans="1:20" x14ac:dyDescent="0.25">
      <c r="A900" s="1">
        <v>1255</v>
      </c>
      <c r="B900" s="1">
        <v>43</v>
      </c>
      <c r="C900" t="s">
        <v>9</v>
      </c>
      <c r="D900" t="s">
        <v>10</v>
      </c>
      <c r="E900" t="s">
        <v>6</v>
      </c>
      <c r="F900" t="s">
        <v>11</v>
      </c>
      <c r="G900" t="s">
        <v>20</v>
      </c>
      <c r="H900" s="1">
        <v>4</v>
      </c>
      <c r="I900" s="1">
        <v>19740</v>
      </c>
      <c r="J900" t="s">
        <v>9</v>
      </c>
      <c r="K900" s="1">
        <v>14</v>
      </c>
      <c r="L900" s="1">
        <v>3</v>
      </c>
      <c r="M900" s="1">
        <v>25</v>
      </c>
      <c r="N900" s="1">
        <v>3</v>
      </c>
      <c r="O900" s="1">
        <v>8</v>
      </c>
      <c r="P900" s="1">
        <f>COUNTIF(HR_Data[Employee Number],HR_Data[[#This Row],[Employee Number]])</f>
        <v>1</v>
      </c>
      <c r="Q900" s="1" t="str">
        <f>IF(HR_Data[[#This Row],[Years At Company]]&lt;=HR_Data[[#This Row],[Total Working Years]],"Valid","error")</f>
        <v>Valid</v>
      </c>
      <c r="R900" s="1" t="str" cm="1">
        <f t="array" ref="R900">_xlfn.IFS(HR_Data[[#This Row],[Age]]&lt;=30,"Young", HR_Data[[#This Row],[Age]]&lt;=45,"Mid-Age",HR_Data[[#This Row],[Age]]&gt;45,"Senior")</f>
        <v>Mid-Age</v>
      </c>
      <c r="S900" s="1" t="str" cm="1">
        <f t="array" ref="S900">_xlfn.IFS(HR_Data[[#This Row],[Monthly Income]]&lt;5000,"Low", HR_Data[[#This Row],[Monthly Income]]&lt;10000,"Medium",TRUE,"High")</f>
        <v>High</v>
      </c>
      <c r="T900" s="1" t="str" cm="1">
        <f t="array" ref="T900">_xlfn.IFS(HR_Data[[#This Row],[Total Working Years]]&lt;=5,"Junior", HR_Data[[#This Row],[Total Working Years]]&lt;=15,"Mid-Level", TRUE, "Senior")</f>
        <v>Senior</v>
      </c>
    </row>
    <row r="901" spans="1:20" x14ac:dyDescent="0.25">
      <c r="A901" s="1">
        <v>1256</v>
      </c>
      <c r="B901" s="1">
        <v>49</v>
      </c>
      <c r="C901" t="s">
        <v>9</v>
      </c>
      <c r="D901" t="s">
        <v>10</v>
      </c>
      <c r="E901" t="s">
        <v>15</v>
      </c>
      <c r="F901" t="s">
        <v>11</v>
      </c>
      <c r="G901" t="s">
        <v>18</v>
      </c>
      <c r="H901" s="1">
        <v>3</v>
      </c>
      <c r="I901" s="1">
        <v>18711</v>
      </c>
      <c r="J901" t="s">
        <v>9</v>
      </c>
      <c r="K901" s="1">
        <v>13</v>
      </c>
      <c r="L901" s="1">
        <v>3</v>
      </c>
      <c r="M901" s="1">
        <v>23</v>
      </c>
      <c r="N901" s="1">
        <v>4</v>
      </c>
      <c r="O901" s="1">
        <v>1</v>
      </c>
      <c r="P901" s="1">
        <f>COUNTIF(HR_Data[Employee Number],HR_Data[[#This Row],[Employee Number]])</f>
        <v>1</v>
      </c>
      <c r="Q901" s="1" t="str">
        <f>IF(HR_Data[[#This Row],[Years At Company]]&lt;=HR_Data[[#This Row],[Total Working Years]],"Valid","error")</f>
        <v>Valid</v>
      </c>
      <c r="R901" s="1" t="str" cm="1">
        <f t="array" ref="R901">_xlfn.IFS(HR_Data[[#This Row],[Age]]&lt;=30,"Young", HR_Data[[#This Row],[Age]]&lt;=45,"Mid-Age",HR_Data[[#This Row],[Age]]&gt;45,"Senior")</f>
        <v>Senior</v>
      </c>
      <c r="S901" s="1" t="str" cm="1">
        <f t="array" ref="S901">_xlfn.IFS(HR_Data[[#This Row],[Monthly Income]]&lt;5000,"Low", HR_Data[[#This Row],[Monthly Income]]&lt;10000,"Medium",TRUE,"High")</f>
        <v>High</v>
      </c>
      <c r="T901" s="1" t="str" cm="1">
        <f t="array" ref="T901">_xlfn.IFS(HR_Data[[#This Row],[Total Working Years]]&lt;=5,"Junior", HR_Data[[#This Row],[Total Working Years]]&lt;=15,"Mid-Level", TRUE, "Senior")</f>
        <v>Senior</v>
      </c>
    </row>
    <row r="902" spans="1:20" x14ac:dyDescent="0.25">
      <c r="A902" s="1">
        <v>1257</v>
      </c>
      <c r="B902" s="1">
        <v>36</v>
      </c>
      <c r="C902" t="s">
        <v>9</v>
      </c>
      <c r="D902" t="s">
        <v>10</v>
      </c>
      <c r="E902" t="s">
        <v>22</v>
      </c>
      <c r="F902" t="s">
        <v>11</v>
      </c>
      <c r="G902" t="s">
        <v>12</v>
      </c>
      <c r="H902" s="1">
        <v>2</v>
      </c>
      <c r="I902" s="1">
        <v>3692</v>
      </c>
      <c r="J902" t="s">
        <v>9</v>
      </c>
      <c r="K902" s="1">
        <v>12</v>
      </c>
      <c r="L902" s="1">
        <v>3</v>
      </c>
      <c r="M902" s="1">
        <v>12</v>
      </c>
      <c r="N902" s="1">
        <v>2</v>
      </c>
      <c r="O902" s="1">
        <v>11</v>
      </c>
      <c r="P902" s="1">
        <f>COUNTIF(HR_Data[Employee Number],HR_Data[[#This Row],[Employee Number]])</f>
        <v>1</v>
      </c>
      <c r="Q902" s="1" t="str">
        <f>IF(HR_Data[[#This Row],[Years At Company]]&lt;=HR_Data[[#This Row],[Total Working Years]],"Valid","error")</f>
        <v>Valid</v>
      </c>
      <c r="R902" s="1" t="str" cm="1">
        <f t="array" ref="R902">_xlfn.IFS(HR_Data[[#This Row],[Age]]&lt;=30,"Young", HR_Data[[#This Row],[Age]]&lt;=45,"Mid-Age",HR_Data[[#This Row],[Age]]&gt;45,"Senior")</f>
        <v>Mid-Age</v>
      </c>
      <c r="S902" s="1" t="str" cm="1">
        <f t="array" ref="S902">_xlfn.IFS(HR_Data[[#This Row],[Monthly Income]]&lt;5000,"Low", HR_Data[[#This Row],[Monthly Income]]&lt;10000,"Medium",TRUE,"High")</f>
        <v>Low</v>
      </c>
      <c r="T902" s="1" t="str" cm="1">
        <f t="array" ref="T902">_xlfn.IFS(HR_Data[[#This Row],[Total Working Years]]&lt;=5,"Junior", HR_Data[[#This Row],[Total Working Years]]&lt;=15,"Mid-Level", TRUE, "Senior")</f>
        <v>Mid-Level</v>
      </c>
    </row>
    <row r="903" spans="1:20" x14ac:dyDescent="0.25">
      <c r="A903" s="1">
        <v>1258</v>
      </c>
      <c r="B903" s="1">
        <v>48</v>
      </c>
      <c r="C903" t="s">
        <v>9</v>
      </c>
      <c r="D903" t="s">
        <v>10</v>
      </c>
      <c r="E903" t="s">
        <v>22</v>
      </c>
      <c r="F903" t="s">
        <v>11</v>
      </c>
      <c r="G903" t="s">
        <v>14</v>
      </c>
      <c r="H903" s="1">
        <v>2</v>
      </c>
      <c r="I903" s="1">
        <v>2559</v>
      </c>
      <c r="J903" t="s">
        <v>9</v>
      </c>
      <c r="K903" s="1">
        <v>11</v>
      </c>
      <c r="L903" s="1">
        <v>3</v>
      </c>
      <c r="M903" s="1">
        <v>7</v>
      </c>
      <c r="N903" s="1">
        <v>2</v>
      </c>
      <c r="O903" s="1">
        <v>1</v>
      </c>
      <c r="P903" s="1">
        <f>COUNTIF(HR_Data[Employee Number],HR_Data[[#This Row],[Employee Number]])</f>
        <v>1</v>
      </c>
      <c r="Q903" s="1" t="str">
        <f>IF(HR_Data[[#This Row],[Years At Company]]&lt;=HR_Data[[#This Row],[Total Working Years]],"Valid","error")</f>
        <v>Valid</v>
      </c>
      <c r="R903" s="1" t="str" cm="1">
        <f t="array" ref="R903">_xlfn.IFS(HR_Data[[#This Row],[Age]]&lt;=30,"Young", HR_Data[[#This Row],[Age]]&lt;=45,"Mid-Age",HR_Data[[#This Row],[Age]]&gt;45,"Senior")</f>
        <v>Senior</v>
      </c>
      <c r="S903" s="1" t="str" cm="1">
        <f t="array" ref="S903">_xlfn.IFS(HR_Data[[#This Row],[Monthly Income]]&lt;5000,"Low", HR_Data[[#This Row],[Monthly Income]]&lt;10000,"Medium",TRUE,"High")</f>
        <v>Low</v>
      </c>
      <c r="T903" s="1" t="str" cm="1">
        <f t="array" ref="T903">_xlfn.IFS(HR_Data[[#This Row],[Total Working Years]]&lt;=5,"Junior", HR_Data[[#This Row],[Total Working Years]]&lt;=15,"Mid-Level", TRUE, "Senior")</f>
        <v>Mid-Level</v>
      </c>
    </row>
    <row r="904" spans="1:20" x14ac:dyDescent="0.25">
      <c r="A904" s="1">
        <v>1259</v>
      </c>
      <c r="B904" s="1">
        <v>27</v>
      </c>
      <c r="C904" t="s">
        <v>9</v>
      </c>
      <c r="D904" t="s">
        <v>10</v>
      </c>
      <c r="E904" t="s">
        <v>6</v>
      </c>
      <c r="F904" t="s">
        <v>11</v>
      </c>
      <c r="G904" t="s">
        <v>12</v>
      </c>
      <c r="H904" s="1">
        <v>3</v>
      </c>
      <c r="I904" s="1">
        <v>2517</v>
      </c>
      <c r="J904" t="s">
        <v>9</v>
      </c>
      <c r="K904" s="1">
        <v>11</v>
      </c>
      <c r="L904" s="1">
        <v>3</v>
      </c>
      <c r="M904" s="1">
        <v>5</v>
      </c>
      <c r="N904" s="1">
        <v>3</v>
      </c>
      <c r="O904" s="1">
        <v>5</v>
      </c>
      <c r="P904" s="1">
        <f>COUNTIF(HR_Data[Employee Number],HR_Data[[#This Row],[Employee Number]])</f>
        <v>1</v>
      </c>
      <c r="Q904" s="1" t="str">
        <f>IF(HR_Data[[#This Row],[Years At Company]]&lt;=HR_Data[[#This Row],[Total Working Years]],"Valid","error")</f>
        <v>Valid</v>
      </c>
      <c r="R904" s="1" t="str" cm="1">
        <f t="array" ref="R904">_xlfn.IFS(HR_Data[[#This Row],[Age]]&lt;=30,"Young", HR_Data[[#This Row],[Age]]&lt;=45,"Mid-Age",HR_Data[[#This Row],[Age]]&gt;45,"Senior")</f>
        <v>Young</v>
      </c>
      <c r="S904" s="1" t="str" cm="1">
        <f t="array" ref="S904">_xlfn.IFS(HR_Data[[#This Row],[Monthly Income]]&lt;5000,"Low", HR_Data[[#This Row],[Monthly Income]]&lt;10000,"Medium",TRUE,"High")</f>
        <v>Low</v>
      </c>
      <c r="T904" s="1" t="str" cm="1">
        <f t="array" ref="T904">_xlfn.IFS(HR_Data[[#This Row],[Total Working Years]]&lt;=5,"Junior", HR_Data[[#This Row],[Total Working Years]]&lt;=15,"Mid-Level", TRUE, "Senior")</f>
        <v>Junior</v>
      </c>
    </row>
    <row r="905" spans="1:20" x14ac:dyDescent="0.25">
      <c r="A905" s="1">
        <v>1260</v>
      </c>
      <c r="B905" s="1">
        <v>29</v>
      </c>
      <c r="C905" t="s">
        <v>9</v>
      </c>
      <c r="D905" t="s">
        <v>10</v>
      </c>
      <c r="E905" t="s">
        <v>6</v>
      </c>
      <c r="F905" t="s">
        <v>11</v>
      </c>
      <c r="G905" t="s">
        <v>17</v>
      </c>
      <c r="H905" s="1">
        <v>4</v>
      </c>
      <c r="I905" s="1">
        <v>6623</v>
      </c>
      <c r="J905" t="s">
        <v>4</v>
      </c>
      <c r="K905" s="1">
        <v>11</v>
      </c>
      <c r="L905" s="1">
        <v>3</v>
      </c>
      <c r="M905" s="1">
        <v>6</v>
      </c>
      <c r="N905" s="1">
        <v>3</v>
      </c>
      <c r="O905" s="1">
        <v>6</v>
      </c>
      <c r="P905" s="1">
        <f>COUNTIF(HR_Data[Employee Number],HR_Data[[#This Row],[Employee Number]])</f>
        <v>1</v>
      </c>
      <c r="Q905" s="1" t="str">
        <f>IF(HR_Data[[#This Row],[Years At Company]]&lt;=HR_Data[[#This Row],[Total Working Years]],"Valid","error")</f>
        <v>Valid</v>
      </c>
      <c r="R905" s="1" t="str" cm="1">
        <f t="array" ref="R905">_xlfn.IFS(HR_Data[[#This Row],[Age]]&lt;=30,"Young", HR_Data[[#This Row],[Age]]&lt;=45,"Mid-Age",HR_Data[[#This Row],[Age]]&gt;45,"Senior")</f>
        <v>Young</v>
      </c>
      <c r="S905" s="1" t="str" cm="1">
        <f t="array" ref="S905">_xlfn.IFS(HR_Data[[#This Row],[Monthly Income]]&lt;5000,"Low", HR_Data[[#This Row],[Monthly Income]]&lt;10000,"Medium",TRUE,"High")</f>
        <v>Medium</v>
      </c>
      <c r="T905" s="1" t="str" cm="1">
        <f t="array" ref="T905">_xlfn.IFS(HR_Data[[#This Row],[Total Working Years]]&lt;=5,"Junior", HR_Data[[#This Row],[Total Working Years]]&lt;=15,"Mid-Level", TRUE, "Senior")</f>
        <v>Mid-Level</v>
      </c>
    </row>
    <row r="906" spans="1:20" x14ac:dyDescent="0.25">
      <c r="A906" s="1">
        <v>1263</v>
      </c>
      <c r="B906" s="1">
        <v>48</v>
      </c>
      <c r="C906" t="s">
        <v>9</v>
      </c>
      <c r="D906" t="s">
        <v>10</v>
      </c>
      <c r="E906" t="s">
        <v>6</v>
      </c>
      <c r="F906" t="s">
        <v>11</v>
      </c>
      <c r="G906" t="s">
        <v>20</v>
      </c>
      <c r="H906" s="1">
        <v>4</v>
      </c>
      <c r="I906" s="1">
        <v>18265</v>
      </c>
      <c r="J906" t="s">
        <v>9</v>
      </c>
      <c r="K906" s="1">
        <v>12</v>
      </c>
      <c r="L906" s="1">
        <v>3</v>
      </c>
      <c r="M906" s="1">
        <v>25</v>
      </c>
      <c r="N906" s="1">
        <v>4</v>
      </c>
      <c r="O906" s="1">
        <v>1</v>
      </c>
      <c r="P906" s="1">
        <f>COUNTIF(HR_Data[Employee Number],HR_Data[[#This Row],[Employee Number]])</f>
        <v>1</v>
      </c>
      <c r="Q906" s="1" t="str">
        <f>IF(HR_Data[[#This Row],[Years At Company]]&lt;=HR_Data[[#This Row],[Total Working Years]],"Valid","error")</f>
        <v>Valid</v>
      </c>
      <c r="R906" s="1" t="str" cm="1">
        <f t="array" ref="R906">_xlfn.IFS(HR_Data[[#This Row],[Age]]&lt;=30,"Young", HR_Data[[#This Row],[Age]]&lt;=45,"Mid-Age",HR_Data[[#This Row],[Age]]&gt;45,"Senior")</f>
        <v>Senior</v>
      </c>
      <c r="S906" s="1" t="str" cm="1">
        <f t="array" ref="S906">_xlfn.IFS(HR_Data[[#This Row],[Monthly Income]]&lt;5000,"Low", HR_Data[[#This Row],[Monthly Income]]&lt;10000,"Medium",TRUE,"High")</f>
        <v>High</v>
      </c>
      <c r="T906" s="1" t="str" cm="1">
        <f t="array" ref="T906">_xlfn.IFS(HR_Data[[#This Row],[Total Working Years]]&lt;=5,"Junior", HR_Data[[#This Row],[Total Working Years]]&lt;=15,"Mid-Level", TRUE, "Senior")</f>
        <v>Senior</v>
      </c>
    </row>
    <row r="907" spans="1:20" x14ac:dyDescent="0.25">
      <c r="A907" s="1">
        <v>1264</v>
      </c>
      <c r="B907" s="1">
        <v>29</v>
      </c>
      <c r="C907" t="s">
        <v>9</v>
      </c>
      <c r="D907" t="s">
        <v>10</v>
      </c>
      <c r="E907" t="s">
        <v>6</v>
      </c>
      <c r="F907" t="s">
        <v>7</v>
      </c>
      <c r="G907" t="s">
        <v>20</v>
      </c>
      <c r="H907" s="1">
        <v>4</v>
      </c>
      <c r="I907" s="1">
        <v>16124</v>
      </c>
      <c r="J907" t="s">
        <v>9</v>
      </c>
      <c r="K907" s="1">
        <v>14</v>
      </c>
      <c r="L907" s="1">
        <v>3</v>
      </c>
      <c r="M907" s="1">
        <v>9</v>
      </c>
      <c r="N907" s="1">
        <v>2</v>
      </c>
      <c r="O907" s="1">
        <v>7</v>
      </c>
      <c r="P907" s="1">
        <f>COUNTIF(HR_Data[Employee Number],HR_Data[[#This Row],[Employee Number]])</f>
        <v>1</v>
      </c>
      <c r="Q907" s="1" t="str">
        <f>IF(HR_Data[[#This Row],[Years At Company]]&lt;=HR_Data[[#This Row],[Total Working Years]],"Valid","error")</f>
        <v>Valid</v>
      </c>
      <c r="R907" s="1" t="str" cm="1">
        <f t="array" ref="R907">_xlfn.IFS(HR_Data[[#This Row],[Age]]&lt;=30,"Young", HR_Data[[#This Row],[Age]]&lt;=45,"Mid-Age",HR_Data[[#This Row],[Age]]&gt;45,"Senior")</f>
        <v>Young</v>
      </c>
      <c r="S907" s="1" t="str" cm="1">
        <f t="array" ref="S907">_xlfn.IFS(HR_Data[[#This Row],[Monthly Income]]&lt;5000,"Low", HR_Data[[#This Row],[Monthly Income]]&lt;10000,"Medium",TRUE,"High")</f>
        <v>High</v>
      </c>
      <c r="T907" s="1" t="str" cm="1">
        <f t="array" ref="T907">_xlfn.IFS(HR_Data[[#This Row],[Total Working Years]]&lt;=5,"Junior", HR_Data[[#This Row],[Total Working Years]]&lt;=15,"Mid-Level", TRUE, "Senior")</f>
        <v>Mid-Level</v>
      </c>
    </row>
    <row r="908" spans="1:20" x14ac:dyDescent="0.25">
      <c r="A908" s="1">
        <v>1265</v>
      </c>
      <c r="B908" s="1">
        <v>34</v>
      </c>
      <c r="C908" t="s">
        <v>9</v>
      </c>
      <c r="D908" t="s">
        <v>10</v>
      </c>
      <c r="E908" t="s">
        <v>22</v>
      </c>
      <c r="F908" t="s">
        <v>7</v>
      </c>
      <c r="G908" t="s">
        <v>12</v>
      </c>
      <c r="H908" s="1">
        <v>3</v>
      </c>
      <c r="I908" s="1">
        <v>2585</v>
      </c>
      <c r="J908" t="s">
        <v>9</v>
      </c>
      <c r="K908" s="1">
        <v>17</v>
      </c>
      <c r="L908" s="1">
        <v>3</v>
      </c>
      <c r="M908" s="1">
        <v>2</v>
      </c>
      <c r="N908" s="1">
        <v>2</v>
      </c>
      <c r="O908" s="1">
        <v>1</v>
      </c>
      <c r="P908" s="1">
        <f>COUNTIF(HR_Data[Employee Number],HR_Data[[#This Row],[Employee Number]])</f>
        <v>1</v>
      </c>
      <c r="Q908" s="1" t="str">
        <f>IF(HR_Data[[#This Row],[Years At Company]]&lt;=HR_Data[[#This Row],[Total Working Years]],"Valid","error")</f>
        <v>Valid</v>
      </c>
      <c r="R908" s="1" t="str" cm="1">
        <f t="array" ref="R908">_xlfn.IFS(HR_Data[[#This Row],[Age]]&lt;=30,"Young", HR_Data[[#This Row],[Age]]&lt;=45,"Mid-Age",HR_Data[[#This Row],[Age]]&gt;45,"Senior")</f>
        <v>Mid-Age</v>
      </c>
      <c r="S908" s="1" t="str" cm="1">
        <f t="array" ref="S908">_xlfn.IFS(HR_Data[[#This Row],[Monthly Income]]&lt;5000,"Low", HR_Data[[#This Row],[Monthly Income]]&lt;10000,"Medium",TRUE,"High")</f>
        <v>Low</v>
      </c>
      <c r="T908" s="1" t="str" cm="1">
        <f t="array" ref="T908">_xlfn.IFS(HR_Data[[#This Row],[Total Working Years]]&lt;=5,"Junior", HR_Data[[#This Row],[Total Working Years]]&lt;=15,"Mid-Level", TRUE, "Senior")</f>
        <v>Junior</v>
      </c>
    </row>
    <row r="909" spans="1:20" x14ac:dyDescent="0.25">
      <c r="A909" s="1">
        <v>1267</v>
      </c>
      <c r="B909" s="1">
        <v>44</v>
      </c>
      <c r="C909" t="s">
        <v>9</v>
      </c>
      <c r="D909" t="s">
        <v>5</v>
      </c>
      <c r="E909" t="s">
        <v>21</v>
      </c>
      <c r="F909" t="s">
        <v>11</v>
      </c>
      <c r="G909" t="s">
        <v>18</v>
      </c>
      <c r="H909" s="1">
        <v>2</v>
      </c>
      <c r="I909" s="1">
        <v>18213</v>
      </c>
      <c r="J909" t="s">
        <v>9</v>
      </c>
      <c r="K909" s="1">
        <v>11</v>
      </c>
      <c r="L909" s="1">
        <v>3</v>
      </c>
      <c r="M909" s="1">
        <v>26</v>
      </c>
      <c r="N909" s="1">
        <v>3</v>
      </c>
      <c r="O909" s="1">
        <v>22</v>
      </c>
      <c r="P909" s="1">
        <f>COUNTIF(HR_Data[Employee Number],HR_Data[[#This Row],[Employee Number]])</f>
        <v>1</v>
      </c>
      <c r="Q909" s="1" t="str">
        <f>IF(HR_Data[[#This Row],[Years At Company]]&lt;=HR_Data[[#This Row],[Total Working Years]],"Valid","error")</f>
        <v>Valid</v>
      </c>
      <c r="R909" s="1" t="str" cm="1">
        <f t="array" ref="R909">_xlfn.IFS(HR_Data[[#This Row],[Age]]&lt;=30,"Young", HR_Data[[#This Row],[Age]]&lt;=45,"Mid-Age",HR_Data[[#This Row],[Age]]&gt;45,"Senior")</f>
        <v>Mid-Age</v>
      </c>
      <c r="S909" s="1" t="str" cm="1">
        <f t="array" ref="S909">_xlfn.IFS(HR_Data[[#This Row],[Monthly Income]]&lt;5000,"Low", HR_Data[[#This Row],[Monthly Income]]&lt;10000,"Medium",TRUE,"High")</f>
        <v>High</v>
      </c>
      <c r="T909" s="1" t="str" cm="1">
        <f t="array" ref="T909">_xlfn.IFS(HR_Data[[#This Row],[Total Working Years]]&lt;=5,"Junior", HR_Data[[#This Row],[Total Working Years]]&lt;=15,"Mid-Level", TRUE, "Senior")</f>
        <v>Senior</v>
      </c>
    </row>
    <row r="910" spans="1:20" x14ac:dyDescent="0.25">
      <c r="A910" s="1">
        <v>1268</v>
      </c>
      <c r="B910" s="1">
        <v>33</v>
      </c>
      <c r="C910" t="s">
        <v>9</v>
      </c>
      <c r="D910" t="s">
        <v>5</v>
      </c>
      <c r="E910" t="s">
        <v>21</v>
      </c>
      <c r="F910" t="s">
        <v>11</v>
      </c>
      <c r="G910" t="s">
        <v>8</v>
      </c>
      <c r="H910" s="1">
        <v>3</v>
      </c>
      <c r="I910" s="1">
        <v>8380</v>
      </c>
      <c r="J910" t="s">
        <v>4</v>
      </c>
      <c r="K910" s="1">
        <v>14</v>
      </c>
      <c r="L910" s="1">
        <v>3</v>
      </c>
      <c r="M910" s="1">
        <v>10</v>
      </c>
      <c r="N910" s="1">
        <v>3</v>
      </c>
      <c r="O910" s="1">
        <v>9</v>
      </c>
      <c r="P910" s="1">
        <f>COUNTIF(HR_Data[Employee Number],HR_Data[[#This Row],[Employee Number]])</f>
        <v>1</v>
      </c>
      <c r="Q910" s="1" t="str">
        <f>IF(HR_Data[[#This Row],[Years At Company]]&lt;=HR_Data[[#This Row],[Total Working Years]],"Valid","error")</f>
        <v>Valid</v>
      </c>
      <c r="R910" s="1" t="str" cm="1">
        <f t="array" ref="R910">_xlfn.IFS(HR_Data[[#This Row],[Age]]&lt;=30,"Young", HR_Data[[#This Row],[Age]]&lt;=45,"Mid-Age",HR_Data[[#This Row],[Age]]&gt;45,"Senior")</f>
        <v>Mid-Age</v>
      </c>
      <c r="S910" s="1" t="str" cm="1">
        <f t="array" ref="S910">_xlfn.IFS(HR_Data[[#This Row],[Monthly Income]]&lt;5000,"Low", HR_Data[[#This Row],[Monthly Income]]&lt;10000,"Medium",TRUE,"High")</f>
        <v>Medium</v>
      </c>
      <c r="T910" s="1" t="str" cm="1">
        <f t="array" ref="T910">_xlfn.IFS(HR_Data[[#This Row],[Total Working Years]]&lt;=5,"Junior", HR_Data[[#This Row],[Total Working Years]]&lt;=15,"Mid-Level", TRUE, "Senior")</f>
        <v>Mid-Level</v>
      </c>
    </row>
    <row r="911" spans="1:20" x14ac:dyDescent="0.25">
      <c r="A911" s="1">
        <v>1269</v>
      </c>
      <c r="B911" s="1">
        <v>19</v>
      </c>
      <c r="C911" t="s">
        <v>9</v>
      </c>
      <c r="D911" t="s">
        <v>10</v>
      </c>
      <c r="E911" t="s">
        <v>6</v>
      </c>
      <c r="F911" t="s">
        <v>7</v>
      </c>
      <c r="G911" t="s">
        <v>12</v>
      </c>
      <c r="H911" s="1">
        <v>4</v>
      </c>
      <c r="I911" s="1">
        <v>2994</v>
      </c>
      <c r="J911" t="s">
        <v>4</v>
      </c>
      <c r="K911" s="1">
        <v>12</v>
      </c>
      <c r="L911" s="1">
        <v>3</v>
      </c>
      <c r="M911" s="1">
        <v>1</v>
      </c>
      <c r="N911" s="1">
        <v>3</v>
      </c>
      <c r="O911" s="1">
        <v>1</v>
      </c>
      <c r="P911" s="1">
        <f>COUNTIF(HR_Data[Employee Number],HR_Data[[#This Row],[Employee Number]])</f>
        <v>1</v>
      </c>
      <c r="Q911" s="1" t="str">
        <f>IF(HR_Data[[#This Row],[Years At Company]]&lt;=HR_Data[[#This Row],[Total Working Years]],"Valid","error")</f>
        <v>Valid</v>
      </c>
      <c r="R911" s="1" t="str" cm="1">
        <f t="array" ref="R911">_xlfn.IFS(HR_Data[[#This Row],[Age]]&lt;=30,"Young", HR_Data[[#This Row],[Age]]&lt;=45,"Mid-Age",HR_Data[[#This Row],[Age]]&gt;45,"Senior")</f>
        <v>Young</v>
      </c>
      <c r="S911" s="1" t="str" cm="1">
        <f t="array" ref="S911">_xlfn.IFS(HR_Data[[#This Row],[Monthly Income]]&lt;5000,"Low", HR_Data[[#This Row],[Monthly Income]]&lt;10000,"Medium",TRUE,"High")</f>
        <v>Low</v>
      </c>
      <c r="T911" s="1" t="str" cm="1">
        <f t="array" ref="T911">_xlfn.IFS(HR_Data[[#This Row],[Total Working Years]]&lt;=5,"Junior", HR_Data[[#This Row],[Total Working Years]]&lt;=15,"Mid-Level", TRUE, "Senior")</f>
        <v>Junior</v>
      </c>
    </row>
    <row r="912" spans="1:20" x14ac:dyDescent="0.25">
      <c r="A912" s="1">
        <v>1270</v>
      </c>
      <c r="B912" s="1">
        <v>23</v>
      </c>
      <c r="C912" t="s">
        <v>9</v>
      </c>
      <c r="D912" t="s">
        <v>10</v>
      </c>
      <c r="E912" t="s">
        <v>6</v>
      </c>
      <c r="F912" t="s">
        <v>11</v>
      </c>
      <c r="G912" t="s">
        <v>12</v>
      </c>
      <c r="H912" s="1">
        <v>3</v>
      </c>
      <c r="I912" s="1">
        <v>1223</v>
      </c>
      <c r="J912" t="s">
        <v>9</v>
      </c>
      <c r="K912" s="1">
        <v>22</v>
      </c>
      <c r="L912" s="1">
        <v>4</v>
      </c>
      <c r="M912" s="1">
        <v>1</v>
      </c>
      <c r="N912" s="1">
        <v>3</v>
      </c>
      <c r="O912" s="1">
        <v>1</v>
      </c>
      <c r="P912" s="1">
        <f>COUNTIF(HR_Data[Employee Number],HR_Data[[#This Row],[Employee Number]])</f>
        <v>1</v>
      </c>
      <c r="Q912" s="1" t="str">
        <f>IF(HR_Data[[#This Row],[Years At Company]]&lt;=HR_Data[[#This Row],[Total Working Years]],"Valid","error")</f>
        <v>Valid</v>
      </c>
      <c r="R912" s="1" t="str" cm="1">
        <f t="array" ref="R912">_xlfn.IFS(HR_Data[[#This Row],[Age]]&lt;=30,"Young", HR_Data[[#This Row],[Age]]&lt;=45,"Mid-Age",HR_Data[[#This Row],[Age]]&gt;45,"Senior")</f>
        <v>Young</v>
      </c>
      <c r="S912" s="1" t="str" cm="1">
        <f t="array" ref="S912">_xlfn.IFS(HR_Data[[#This Row],[Monthly Income]]&lt;5000,"Low", HR_Data[[#This Row],[Monthly Income]]&lt;10000,"Medium",TRUE,"High")</f>
        <v>Low</v>
      </c>
      <c r="T912" s="1" t="str" cm="1">
        <f t="array" ref="T912">_xlfn.IFS(HR_Data[[#This Row],[Total Working Years]]&lt;=5,"Junior", HR_Data[[#This Row],[Total Working Years]]&lt;=15,"Mid-Level", TRUE, "Senior")</f>
        <v>Junior</v>
      </c>
    </row>
    <row r="913" spans="1:20" x14ac:dyDescent="0.25">
      <c r="A913" s="1">
        <v>1273</v>
      </c>
      <c r="B913" s="1">
        <v>25</v>
      </c>
      <c r="C913" t="s">
        <v>4</v>
      </c>
      <c r="D913" t="s">
        <v>5</v>
      </c>
      <c r="E913" t="s">
        <v>6</v>
      </c>
      <c r="F913" t="s">
        <v>11</v>
      </c>
      <c r="G913" t="s">
        <v>19</v>
      </c>
      <c r="H913" s="1">
        <v>4</v>
      </c>
      <c r="I913" s="1">
        <v>1118</v>
      </c>
      <c r="J913" t="s">
        <v>4</v>
      </c>
      <c r="K913" s="1">
        <v>14</v>
      </c>
      <c r="L913" s="1">
        <v>3</v>
      </c>
      <c r="M913" s="1">
        <v>1</v>
      </c>
      <c r="N913" s="1">
        <v>3</v>
      </c>
      <c r="O913" s="1">
        <v>1</v>
      </c>
      <c r="P913" s="1">
        <f>COUNTIF(HR_Data[Employee Number],HR_Data[[#This Row],[Employee Number]])</f>
        <v>1</v>
      </c>
      <c r="Q913" s="1" t="str">
        <f>IF(HR_Data[[#This Row],[Years At Company]]&lt;=HR_Data[[#This Row],[Total Working Years]],"Valid","error")</f>
        <v>Valid</v>
      </c>
      <c r="R913" s="1" t="str" cm="1">
        <f t="array" ref="R913">_xlfn.IFS(HR_Data[[#This Row],[Age]]&lt;=30,"Young", HR_Data[[#This Row],[Age]]&lt;=45,"Mid-Age",HR_Data[[#This Row],[Age]]&gt;45,"Senior")</f>
        <v>Young</v>
      </c>
      <c r="S913" s="1" t="str" cm="1">
        <f t="array" ref="S913">_xlfn.IFS(HR_Data[[#This Row],[Monthly Income]]&lt;5000,"Low", HR_Data[[#This Row],[Monthly Income]]&lt;10000,"Medium",TRUE,"High")</f>
        <v>Low</v>
      </c>
      <c r="T913" s="1" t="str" cm="1">
        <f t="array" ref="T913">_xlfn.IFS(HR_Data[[#This Row],[Total Working Years]]&lt;=5,"Junior", HR_Data[[#This Row],[Total Working Years]]&lt;=15,"Mid-Level", TRUE, "Senior")</f>
        <v>Junior</v>
      </c>
    </row>
    <row r="914" spans="1:20" x14ac:dyDescent="0.25">
      <c r="A914" s="1">
        <v>1275</v>
      </c>
      <c r="B914" s="1">
        <v>26</v>
      </c>
      <c r="C914" t="s">
        <v>9</v>
      </c>
      <c r="D914" t="s">
        <v>10</v>
      </c>
      <c r="E914" t="s">
        <v>6</v>
      </c>
      <c r="F914" t="s">
        <v>11</v>
      </c>
      <c r="G914" t="s">
        <v>12</v>
      </c>
      <c r="H914" s="1">
        <v>4</v>
      </c>
      <c r="I914" s="1">
        <v>2875</v>
      </c>
      <c r="J914" t="s">
        <v>4</v>
      </c>
      <c r="K914" s="1">
        <v>20</v>
      </c>
      <c r="L914" s="1">
        <v>4</v>
      </c>
      <c r="M914" s="1">
        <v>8</v>
      </c>
      <c r="N914" s="1">
        <v>2</v>
      </c>
      <c r="O914" s="1">
        <v>8</v>
      </c>
      <c r="P914" s="1">
        <f>COUNTIF(HR_Data[Employee Number],HR_Data[[#This Row],[Employee Number]])</f>
        <v>1</v>
      </c>
      <c r="Q914" s="1" t="str">
        <f>IF(HR_Data[[#This Row],[Years At Company]]&lt;=HR_Data[[#This Row],[Total Working Years]],"Valid","error")</f>
        <v>Valid</v>
      </c>
      <c r="R914" s="1" t="str" cm="1">
        <f t="array" ref="R914">_xlfn.IFS(HR_Data[[#This Row],[Age]]&lt;=30,"Young", HR_Data[[#This Row],[Age]]&lt;=45,"Mid-Age",HR_Data[[#This Row],[Age]]&gt;45,"Senior")</f>
        <v>Young</v>
      </c>
      <c r="S914" s="1" t="str" cm="1">
        <f t="array" ref="S914">_xlfn.IFS(HR_Data[[#This Row],[Monthly Income]]&lt;5000,"Low", HR_Data[[#This Row],[Monthly Income]]&lt;10000,"Medium",TRUE,"High")</f>
        <v>Low</v>
      </c>
      <c r="T914" s="1" t="str" cm="1">
        <f t="array" ref="T914">_xlfn.IFS(HR_Data[[#This Row],[Total Working Years]]&lt;=5,"Junior", HR_Data[[#This Row],[Total Working Years]]&lt;=15,"Mid-Level", TRUE, "Senior")</f>
        <v>Mid-Level</v>
      </c>
    </row>
    <row r="915" spans="1:20" x14ac:dyDescent="0.25">
      <c r="A915" s="1">
        <v>1277</v>
      </c>
      <c r="B915" s="1">
        <v>45</v>
      </c>
      <c r="C915" t="s">
        <v>4</v>
      </c>
      <c r="D915" t="s">
        <v>5</v>
      </c>
      <c r="E915" t="s">
        <v>21</v>
      </c>
      <c r="F915" t="s">
        <v>7</v>
      </c>
      <c r="G915" t="s">
        <v>18</v>
      </c>
      <c r="H915" s="1">
        <v>2</v>
      </c>
      <c r="I915" s="1">
        <v>18824</v>
      </c>
      <c r="J915" t="s">
        <v>4</v>
      </c>
      <c r="K915" s="1">
        <v>16</v>
      </c>
      <c r="L915" s="1">
        <v>3</v>
      </c>
      <c r="M915" s="1">
        <v>26</v>
      </c>
      <c r="N915" s="1">
        <v>3</v>
      </c>
      <c r="O915" s="1">
        <v>24</v>
      </c>
      <c r="P915" s="1">
        <f>COUNTIF(HR_Data[Employee Number],HR_Data[[#This Row],[Employee Number]])</f>
        <v>1</v>
      </c>
      <c r="Q915" s="1" t="str">
        <f>IF(HR_Data[[#This Row],[Years At Company]]&lt;=HR_Data[[#This Row],[Total Working Years]],"Valid","error")</f>
        <v>Valid</v>
      </c>
      <c r="R915" s="1" t="str" cm="1">
        <f t="array" ref="R915">_xlfn.IFS(HR_Data[[#This Row],[Age]]&lt;=30,"Young", HR_Data[[#This Row],[Age]]&lt;=45,"Mid-Age",HR_Data[[#This Row],[Age]]&gt;45,"Senior")</f>
        <v>Mid-Age</v>
      </c>
      <c r="S915" s="1" t="str" cm="1">
        <f t="array" ref="S915">_xlfn.IFS(HR_Data[[#This Row],[Monthly Income]]&lt;5000,"Low", HR_Data[[#This Row],[Monthly Income]]&lt;10000,"Medium",TRUE,"High")</f>
        <v>High</v>
      </c>
      <c r="T915" s="1" t="str" cm="1">
        <f t="array" ref="T915">_xlfn.IFS(HR_Data[[#This Row],[Total Working Years]]&lt;=5,"Junior", HR_Data[[#This Row],[Total Working Years]]&lt;=15,"Mid-Level", TRUE, "Senior")</f>
        <v>Senior</v>
      </c>
    </row>
    <row r="916" spans="1:20" x14ac:dyDescent="0.25">
      <c r="A916" s="1">
        <v>1278</v>
      </c>
      <c r="B916" s="1">
        <v>55</v>
      </c>
      <c r="C916" t="s">
        <v>9</v>
      </c>
      <c r="D916" t="s">
        <v>10</v>
      </c>
      <c r="E916" t="s">
        <v>15</v>
      </c>
      <c r="F916" t="s">
        <v>11</v>
      </c>
      <c r="G916" t="s">
        <v>17</v>
      </c>
      <c r="H916" s="1">
        <v>2</v>
      </c>
      <c r="I916" s="1">
        <v>13577</v>
      </c>
      <c r="J916" t="s">
        <v>4</v>
      </c>
      <c r="K916" s="1">
        <v>15</v>
      </c>
      <c r="L916" s="1">
        <v>3</v>
      </c>
      <c r="M916" s="1">
        <v>34</v>
      </c>
      <c r="N916" s="1">
        <v>3</v>
      </c>
      <c r="O916" s="1">
        <v>33</v>
      </c>
      <c r="P916" s="1">
        <f>COUNTIF(HR_Data[Employee Number],HR_Data[[#This Row],[Employee Number]])</f>
        <v>1</v>
      </c>
      <c r="Q916" s="1" t="str">
        <f>IF(HR_Data[[#This Row],[Years At Company]]&lt;=HR_Data[[#This Row],[Total Working Years]],"Valid","error")</f>
        <v>Valid</v>
      </c>
      <c r="R916" s="1" t="str" cm="1">
        <f t="array" ref="R916">_xlfn.IFS(HR_Data[[#This Row],[Age]]&lt;=30,"Young", HR_Data[[#This Row],[Age]]&lt;=45,"Mid-Age",HR_Data[[#This Row],[Age]]&gt;45,"Senior")</f>
        <v>Senior</v>
      </c>
      <c r="S916" s="1" t="str" cm="1">
        <f t="array" ref="S916">_xlfn.IFS(HR_Data[[#This Row],[Monthly Income]]&lt;5000,"Low", HR_Data[[#This Row],[Monthly Income]]&lt;10000,"Medium",TRUE,"High")</f>
        <v>High</v>
      </c>
      <c r="T916" s="1" t="str" cm="1">
        <f t="array" ref="T916">_xlfn.IFS(HR_Data[[#This Row],[Total Working Years]]&lt;=5,"Junior", HR_Data[[#This Row],[Total Working Years]]&lt;=15,"Mid-Level", TRUE, "Senior")</f>
        <v>Senior</v>
      </c>
    </row>
    <row r="917" spans="1:20" x14ac:dyDescent="0.25">
      <c r="A917" s="1">
        <v>1279</v>
      </c>
      <c r="B917" s="1">
        <v>21</v>
      </c>
      <c r="C917" t="s">
        <v>4</v>
      </c>
      <c r="D917" t="s">
        <v>10</v>
      </c>
      <c r="E917" t="s">
        <v>6</v>
      </c>
      <c r="F917" t="s">
        <v>7</v>
      </c>
      <c r="G917" t="s">
        <v>14</v>
      </c>
      <c r="H917" s="1">
        <v>3</v>
      </c>
      <c r="I917" s="1">
        <v>2625</v>
      </c>
      <c r="J917" t="s">
        <v>9</v>
      </c>
      <c r="K917" s="1">
        <v>20</v>
      </c>
      <c r="L917" s="1">
        <v>4</v>
      </c>
      <c r="M917" s="1">
        <v>2</v>
      </c>
      <c r="N917" s="1">
        <v>1</v>
      </c>
      <c r="O917" s="1">
        <v>2</v>
      </c>
      <c r="P917" s="1">
        <f>COUNTIF(HR_Data[Employee Number],HR_Data[[#This Row],[Employee Number]])</f>
        <v>1</v>
      </c>
      <c r="Q917" s="1" t="str">
        <f>IF(HR_Data[[#This Row],[Years At Company]]&lt;=HR_Data[[#This Row],[Total Working Years]],"Valid","error")</f>
        <v>Valid</v>
      </c>
      <c r="R917" s="1" t="str" cm="1">
        <f t="array" ref="R917">_xlfn.IFS(HR_Data[[#This Row],[Age]]&lt;=30,"Young", HR_Data[[#This Row],[Age]]&lt;=45,"Mid-Age",HR_Data[[#This Row],[Age]]&gt;45,"Senior")</f>
        <v>Young</v>
      </c>
      <c r="S917" s="1" t="str" cm="1">
        <f t="array" ref="S917">_xlfn.IFS(HR_Data[[#This Row],[Monthly Income]]&lt;5000,"Low", HR_Data[[#This Row],[Monthly Income]]&lt;10000,"Medium",TRUE,"High")</f>
        <v>Low</v>
      </c>
      <c r="T917" s="1" t="str" cm="1">
        <f t="array" ref="T917">_xlfn.IFS(HR_Data[[#This Row],[Total Working Years]]&lt;=5,"Junior", HR_Data[[#This Row],[Total Working Years]]&lt;=15,"Mid-Level", TRUE, "Senior")</f>
        <v>Junior</v>
      </c>
    </row>
    <row r="918" spans="1:20" x14ac:dyDescent="0.25">
      <c r="A918" s="1">
        <v>1280</v>
      </c>
      <c r="B918" s="1">
        <v>46</v>
      </c>
      <c r="C918" t="s">
        <v>9</v>
      </c>
      <c r="D918" t="s">
        <v>5</v>
      </c>
      <c r="E918" t="s">
        <v>21</v>
      </c>
      <c r="F918" t="s">
        <v>7</v>
      </c>
      <c r="G918" t="s">
        <v>18</v>
      </c>
      <c r="H918" s="1">
        <v>2</v>
      </c>
      <c r="I918" s="1">
        <v>18789</v>
      </c>
      <c r="J918" t="s">
        <v>9</v>
      </c>
      <c r="K918" s="1">
        <v>14</v>
      </c>
      <c r="L918" s="1">
        <v>3</v>
      </c>
      <c r="M918" s="1">
        <v>26</v>
      </c>
      <c r="N918" s="1">
        <v>3</v>
      </c>
      <c r="O918" s="1">
        <v>11</v>
      </c>
      <c r="P918" s="1">
        <f>COUNTIF(HR_Data[Employee Number],HR_Data[[#This Row],[Employee Number]])</f>
        <v>1</v>
      </c>
      <c r="Q918" s="1" t="str">
        <f>IF(HR_Data[[#This Row],[Years At Company]]&lt;=HR_Data[[#This Row],[Total Working Years]],"Valid","error")</f>
        <v>Valid</v>
      </c>
      <c r="R918" s="1" t="str" cm="1">
        <f t="array" ref="R918">_xlfn.IFS(HR_Data[[#This Row],[Age]]&lt;=30,"Young", HR_Data[[#This Row],[Age]]&lt;=45,"Mid-Age",HR_Data[[#This Row],[Age]]&gt;45,"Senior")</f>
        <v>Senior</v>
      </c>
      <c r="S918" s="1" t="str" cm="1">
        <f t="array" ref="S918">_xlfn.IFS(HR_Data[[#This Row],[Monthly Income]]&lt;5000,"Low", HR_Data[[#This Row],[Monthly Income]]&lt;10000,"Medium",TRUE,"High")</f>
        <v>High</v>
      </c>
      <c r="T918" s="1" t="str" cm="1">
        <f t="array" ref="T918">_xlfn.IFS(HR_Data[[#This Row],[Total Working Years]]&lt;=5,"Junior", HR_Data[[#This Row],[Total Working Years]]&lt;=15,"Mid-Level", TRUE, "Senior")</f>
        <v>Senior</v>
      </c>
    </row>
    <row r="919" spans="1:20" x14ac:dyDescent="0.25">
      <c r="A919" s="1">
        <v>1281</v>
      </c>
      <c r="B919" s="1">
        <v>34</v>
      </c>
      <c r="C919" t="s">
        <v>9</v>
      </c>
      <c r="D919" t="s">
        <v>5</v>
      </c>
      <c r="E919" t="s">
        <v>21</v>
      </c>
      <c r="F919" t="s">
        <v>7</v>
      </c>
      <c r="G919" t="s">
        <v>8</v>
      </c>
      <c r="H919" s="1">
        <v>1</v>
      </c>
      <c r="I919" s="1">
        <v>4538</v>
      </c>
      <c r="J919" t="s">
        <v>4</v>
      </c>
      <c r="K919" s="1">
        <v>12</v>
      </c>
      <c r="L919" s="1">
        <v>3</v>
      </c>
      <c r="M919" s="1">
        <v>4</v>
      </c>
      <c r="N919" s="1">
        <v>3</v>
      </c>
      <c r="O919" s="1">
        <v>3</v>
      </c>
      <c r="P919" s="1">
        <f>COUNTIF(HR_Data[Employee Number],HR_Data[[#This Row],[Employee Number]])</f>
        <v>1</v>
      </c>
      <c r="Q919" s="1" t="str">
        <f>IF(HR_Data[[#This Row],[Years At Company]]&lt;=HR_Data[[#This Row],[Total Working Years]],"Valid","error")</f>
        <v>Valid</v>
      </c>
      <c r="R919" s="1" t="str" cm="1">
        <f t="array" ref="R919">_xlfn.IFS(HR_Data[[#This Row],[Age]]&lt;=30,"Young", HR_Data[[#This Row],[Age]]&lt;=45,"Mid-Age",HR_Data[[#This Row],[Age]]&gt;45,"Senior")</f>
        <v>Mid-Age</v>
      </c>
      <c r="S919" s="1" t="str" cm="1">
        <f t="array" ref="S919">_xlfn.IFS(HR_Data[[#This Row],[Monthly Income]]&lt;5000,"Low", HR_Data[[#This Row],[Monthly Income]]&lt;10000,"Medium",TRUE,"High")</f>
        <v>Low</v>
      </c>
      <c r="T919" s="1" t="str" cm="1">
        <f t="array" ref="T919">_xlfn.IFS(HR_Data[[#This Row],[Total Working Years]]&lt;=5,"Junior", HR_Data[[#This Row],[Total Working Years]]&lt;=15,"Mid-Level", TRUE, "Senior")</f>
        <v>Junior</v>
      </c>
    </row>
    <row r="920" spans="1:20" x14ac:dyDescent="0.25">
      <c r="A920" s="1">
        <v>1282</v>
      </c>
      <c r="B920" s="1">
        <v>51</v>
      </c>
      <c r="C920" t="s">
        <v>9</v>
      </c>
      <c r="D920" t="s">
        <v>5</v>
      </c>
      <c r="E920" t="s">
        <v>6</v>
      </c>
      <c r="F920" t="s">
        <v>11</v>
      </c>
      <c r="G920" t="s">
        <v>18</v>
      </c>
      <c r="H920" s="1">
        <v>2</v>
      </c>
      <c r="I920" s="1">
        <v>19847</v>
      </c>
      <c r="J920" t="s">
        <v>4</v>
      </c>
      <c r="K920" s="1">
        <v>24</v>
      </c>
      <c r="L920" s="1">
        <v>4</v>
      </c>
      <c r="M920" s="1">
        <v>31</v>
      </c>
      <c r="N920" s="1">
        <v>2</v>
      </c>
      <c r="O920" s="1">
        <v>29</v>
      </c>
      <c r="P920" s="1">
        <f>COUNTIF(HR_Data[Employee Number],HR_Data[[#This Row],[Employee Number]])</f>
        <v>1</v>
      </c>
      <c r="Q920" s="1" t="str">
        <f>IF(HR_Data[[#This Row],[Years At Company]]&lt;=HR_Data[[#This Row],[Total Working Years]],"Valid","error")</f>
        <v>Valid</v>
      </c>
      <c r="R920" s="1" t="str" cm="1">
        <f t="array" ref="R920">_xlfn.IFS(HR_Data[[#This Row],[Age]]&lt;=30,"Young", HR_Data[[#This Row],[Age]]&lt;=45,"Mid-Age",HR_Data[[#This Row],[Age]]&gt;45,"Senior")</f>
        <v>Senior</v>
      </c>
      <c r="S920" s="1" t="str" cm="1">
        <f t="array" ref="S920">_xlfn.IFS(HR_Data[[#This Row],[Monthly Income]]&lt;5000,"Low", HR_Data[[#This Row],[Monthly Income]]&lt;10000,"Medium",TRUE,"High")</f>
        <v>High</v>
      </c>
      <c r="T920" s="1" t="str" cm="1">
        <f t="array" ref="T920">_xlfn.IFS(HR_Data[[#This Row],[Total Working Years]]&lt;=5,"Junior", HR_Data[[#This Row],[Total Working Years]]&lt;=15,"Mid-Level", TRUE, "Senior")</f>
        <v>Senior</v>
      </c>
    </row>
    <row r="921" spans="1:20" x14ac:dyDescent="0.25">
      <c r="A921" s="1">
        <v>1283</v>
      </c>
      <c r="B921" s="1">
        <v>59</v>
      </c>
      <c r="C921" t="s">
        <v>9</v>
      </c>
      <c r="D921" t="s">
        <v>10</v>
      </c>
      <c r="E921" t="s">
        <v>15</v>
      </c>
      <c r="F921" t="s">
        <v>11</v>
      </c>
      <c r="G921" t="s">
        <v>16</v>
      </c>
      <c r="H921" s="1">
        <v>4</v>
      </c>
      <c r="I921" s="1">
        <v>10512</v>
      </c>
      <c r="J921" t="s">
        <v>9</v>
      </c>
      <c r="K921" s="1">
        <v>12</v>
      </c>
      <c r="L921" s="1">
        <v>3</v>
      </c>
      <c r="M921" s="1">
        <v>25</v>
      </c>
      <c r="N921" s="1">
        <v>2</v>
      </c>
      <c r="O921" s="1">
        <v>9</v>
      </c>
      <c r="P921" s="1">
        <f>COUNTIF(HR_Data[Employee Number],HR_Data[[#This Row],[Employee Number]])</f>
        <v>1</v>
      </c>
      <c r="Q921" s="1" t="str">
        <f>IF(HR_Data[[#This Row],[Years At Company]]&lt;=HR_Data[[#This Row],[Total Working Years]],"Valid","error")</f>
        <v>Valid</v>
      </c>
      <c r="R921" s="1" t="str" cm="1">
        <f t="array" ref="R921">_xlfn.IFS(HR_Data[[#This Row],[Age]]&lt;=30,"Young", HR_Data[[#This Row],[Age]]&lt;=45,"Mid-Age",HR_Data[[#This Row],[Age]]&gt;45,"Senior")</f>
        <v>Senior</v>
      </c>
      <c r="S921" s="1" t="str" cm="1">
        <f t="array" ref="S921">_xlfn.IFS(HR_Data[[#This Row],[Monthly Income]]&lt;5000,"Low", HR_Data[[#This Row],[Monthly Income]]&lt;10000,"Medium",TRUE,"High")</f>
        <v>High</v>
      </c>
      <c r="T921" s="1" t="str" cm="1">
        <f t="array" ref="T921">_xlfn.IFS(HR_Data[[#This Row],[Total Working Years]]&lt;=5,"Junior", HR_Data[[#This Row],[Total Working Years]]&lt;=15,"Mid-Level", TRUE, "Senior")</f>
        <v>Senior</v>
      </c>
    </row>
    <row r="922" spans="1:20" x14ac:dyDescent="0.25">
      <c r="A922" s="1">
        <v>1285</v>
      </c>
      <c r="B922" s="1">
        <v>34</v>
      </c>
      <c r="C922" t="s">
        <v>9</v>
      </c>
      <c r="D922" t="s">
        <v>10</v>
      </c>
      <c r="E922" t="s">
        <v>15</v>
      </c>
      <c r="F922" t="s">
        <v>7</v>
      </c>
      <c r="G922" t="s">
        <v>14</v>
      </c>
      <c r="H922" s="1">
        <v>2</v>
      </c>
      <c r="I922" s="1">
        <v>4444</v>
      </c>
      <c r="J922" t="s">
        <v>9</v>
      </c>
      <c r="K922" s="1">
        <v>13</v>
      </c>
      <c r="L922" s="1">
        <v>3</v>
      </c>
      <c r="M922" s="1">
        <v>15</v>
      </c>
      <c r="N922" s="1">
        <v>4</v>
      </c>
      <c r="O922" s="1">
        <v>11</v>
      </c>
      <c r="P922" s="1">
        <f>COUNTIF(HR_Data[Employee Number],HR_Data[[#This Row],[Employee Number]])</f>
        <v>1</v>
      </c>
      <c r="Q922" s="1" t="str">
        <f>IF(HR_Data[[#This Row],[Years At Company]]&lt;=HR_Data[[#This Row],[Total Working Years]],"Valid","error")</f>
        <v>Valid</v>
      </c>
      <c r="R922" s="1" t="str" cm="1">
        <f t="array" ref="R922">_xlfn.IFS(HR_Data[[#This Row],[Age]]&lt;=30,"Young", HR_Data[[#This Row],[Age]]&lt;=45,"Mid-Age",HR_Data[[#This Row],[Age]]&gt;45,"Senior")</f>
        <v>Mid-Age</v>
      </c>
      <c r="S922" s="1" t="str" cm="1">
        <f t="array" ref="S922">_xlfn.IFS(HR_Data[[#This Row],[Monthly Income]]&lt;5000,"Low", HR_Data[[#This Row],[Monthly Income]]&lt;10000,"Medium",TRUE,"High")</f>
        <v>Low</v>
      </c>
      <c r="T922" s="1" t="str" cm="1">
        <f t="array" ref="T922">_xlfn.IFS(HR_Data[[#This Row],[Total Working Years]]&lt;=5,"Junior", HR_Data[[#This Row],[Total Working Years]]&lt;=15,"Mid-Level", TRUE, "Senior")</f>
        <v>Mid-Level</v>
      </c>
    </row>
    <row r="923" spans="1:20" x14ac:dyDescent="0.25">
      <c r="A923" s="1">
        <v>1286</v>
      </c>
      <c r="B923" s="1">
        <v>28</v>
      </c>
      <c r="C923" t="s">
        <v>9</v>
      </c>
      <c r="D923" t="s">
        <v>10</v>
      </c>
      <c r="E923" t="s">
        <v>15</v>
      </c>
      <c r="F923" t="s">
        <v>11</v>
      </c>
      <c r="G923" t="s">
        <v>14</v>
      </c>
      <c r="H923" s="1">
        <v>3</v>
      </c>
      <c r="I923" s="1">
        <v>2154</v>
      </c>
      <c r="J923" t="s">
        <v>4</v>
      </c>
      <c r="K923" s="1">
        <v>11</v>
      </c>
      <c r="L923" s="1">
        <v>3</v>
      </c>
      <c r="M923" s="1">
        <v>5</v>
      </c>
      <c r="N923" s="1">
        <v>2</v>
      </c>
      <c r="O923" s="1">
        <v>4</v>
      </c>
      <c r="P923" s="1">
        <f>COUNTIF(HR_Data[Employee Number],HR_Data[[#This Row],[Employee Number]])</f>
        <v>1</v>
      </c>
      <c r="Q923" s="1" t="str">
        <f>IF(HR_Data[[#This Row],[Years At Company]]&lt;=HR_Data[[#This Row],[Total Working Years]],"Valid","error")</f>
        <v>Valid</v>
      </c>
      <c r="R923" s="1" t="str" cm="1">
        <f t="array" ref="R923">_xlfn.IFS(HR_Data[[#This Row],[Age]]&lt;=30,"Young", HR_Data[[#This Row],[Age]]&lt;=45,"Mid-Age",HR_Data[[#This Row],[Age]]&gt;45,"Senior")</f>
        <v>Young</v>
      </c>
      <c r="S923" s="1" t="str" cm="1">
        <f t="array" ref="S923">_xlfn.IFS(HR_Data[[#This Row],[Monthly Income]]&lt;5000,"Low", HR_Data[[#This Row],[Monthly Income]]&lt;10000,"Medium",TRUE,"High")</f>
        <v>Low</v>
      </c>
      <c r="T923" s="1" t="str" cm="1">
        <f t="array" ref="T923">_xlfn.IFS(HR_Data[[#This Row],[Total Working Years]]&lt;=5,"Junior", HR_Data[[#This Row],[Total Working Years]]&lt;=15,"Mid-Level", TRUE, "Senior")</f>
        <v>Junior</v>
      </c>
    </row>
    <row r="924" spans="1:20" x14ac:dyDescent="0.25">
      <c r="A924" s="1">
        <v>1288</v>
      </c>
      <c r="B924" s="1">
        <v>44</v>
      </c>
      <c r="C924" t="s">
        <v>9</v>
      </c>
      <c r="D924" t="s">
        <v>10</v>
      </c>
      <c r="E924" t="s">
        <v>6</v>
      </c>
      <c r="F924" t="s">
        <v>11</v>
      </c>
      <c r="G924" t="s">
        <v>18</v>
      </c>
      <c r="H924" s="1">
        <v>1</v>
      </c>
      <c r="I924" s="1">
        <v>19190</v>
      </c>
      <c r="J924" t="s">
        <v>9</v>
      </c>
      <c r="K924" s="1">
        <v>14</v>
      </c>
      <c r="L924" s="1">
        <v>3</v>
      </c>
      <c r="M924" s="1">
        <v>26</v>
      </c>
      <c r="N924" s="1">
        <v>2</v>
      </c>
      <c r="O924" s="1">
        <v>25</v>
      </c>
      <c r="P924" s="1">
        <f>COUNTIF(HR_Data[Employee Number],HR_Data[[#This Row],[Employee Number]])</f>
        <v>1</v>
      </c>
      <c r="Q924" s="1" t="str">
        <f>IF(HR_Data[[#This Row],[Years At Company]]&lt;=HR_Data[[#This Row],[Total Working Years]],"Valid","error")</f>
        <v>Valid</v>
      </c>
      <c r="R924" s="1" t="str" cm="1">
        <f t="array" ref="R924">_xlfn.IFS(HR_Data[[#This Row],[Age]]&lt;=30,"Young", HR_Data[[#This Row],[Age]]&lt;=45,"Mid-Age",HR_Data[[#This Row],[Age]]&gt;45,"Senior")</f>
        <v>Mid-Age</v>
      </c>
      <c r="S924" s="1" t="str" cm="1">
        <f t="array" ref="S924">_xlfn.IFS(HR_Data[[#This Row],[Monthly Income]]&lt;5000,"Low", HR_Data[[#This Row],[Monthly Income]]&lt;10000,"Medium",TRUE,"High")</f>
        <v>High</v>
      </c>
      <c r="T924" s="1" t="str" cm="1">
        <f t="array" ref="T924">_xlfn.IFS(HR_Data[[#This Row],[Total Working Years]]&lt;=5,"Junior", HR_Data[[#This Row],[Total Working Years]]&lt;=15,"Mid-Level", TRUE, "Senior")</f>
        <v>Senior</v>
      </c>
    </row>
    <row r="925" spans="1:20" x14ac:dyDescent="0.25">
      <c r="A925" s="1">
        <v>1289</v>
      </c>
      <c r="B925" s="1">
        <v>34</v>
      </c>
      <c r="C925" t="s">
        <v>9</v>
      </c>
      <c r="D925" t="s">
        <v>23</v>
      </c>
      <c r="E925" t="s">
        <v>6</v>
      </c>
      <c r="F925" t="s">
        <v>11</v>
      </c>
      <c r="G925" t="s">
        <v>23</v>
      </c>
      <c r="H925" s="1">
        <v>2</v>
      </c>
      <c r="I925" s="1">
        <v>4490</v>
      </c>
      <c r="J925" t="s">
        <v>9</v>
      </c>
      <c r="K925" s="1">
        <v>11</v>
      </c>
      <c r="L925" s="1">
        <v>3</v>
      </c>
      <c r="M925" s="1">
        <v>14</v>
      </c>
      <c r="N925" s="1">
        <v>4</v>
      </c>
      <c r="O925" s="1">
        <v>10</v>
      </c>
      <c r="P925" s="1">
        <f>COUNTIF(HR_Data[Employee Number],HR_Data[[#This Row],[Employee Number]])</f>
        <v>1</v>
      </c>
      <c r="Q925" s="1" t="str">
        <f>IF(HR_Data[[#This Row],[Years At Company]]&lt;=HR_Data[[#This Row],[Total Working Years]],"Valid","error")</f>
        <v>Valid</v>
      </c>
      <c r="R925" s="1" t="str" cm="1">
        <f t="array" ref="R925">_xlfn.IFS(HR_Data[[#This Row],[Age]]&lt;=30,"Young", HR_Data[[#This Row],[Age]]&lt;=45,"Mid-Age",HR_Data[[#This Row],[Age]]&gt;45,"Senior")</f>
        <v>Mid-Age</v>
      </c>
      <c r="S925" s="1" t="str" cm="1">
        <f t="array" ref="S925">_xlfn.IFS(HR_Data[[#This Row],[Monthly Income]]&lt;5000,"Low", HR_Data[[#This Row],[Monthly Income]]&lt;10000,"Medium",TRUE,"High")</f>
        <v>Low</v>
      </c>
      <c r="T925" s="1" t="str" cm="1">
        <f t="array" ref="T925">_xlfn.IFS(HR_Data[[#This Row],[Total Working Years]]&lt;=5,"Junior", HR_Data[[#This Row],[Total Working Years]]&lt;=15,"Mid-Level", TRUE, "Senior")</f>
        <v>Mid-Level</v>
      </c>
    </row>
    <row r="926" spans="1:20" x14ac:dyDescent="0.25">
      <c r="A926" s="1">
        <v>1291</v>
      </c>
      <c r="B926" s="1">
        <v>35</v>
      </c>
      <c r="C926" t="s">
        <v>9</v>
      </c>
      <c r="D926" t="s">
        <v>10</v>
      </c>
      <c r="E926" t="s">
        <v>6</v>
      </c>
      <c r="F926" t="s">
        <v>11</v>
      </c>
      <c r="G926" t="s">
        <v>12</v>
      </c>
      <c r="H926" s="1">
        <v>3</v>
      </c>
      <c r="I926" s="1">
        <v>3506</v>
      </c>
      <c r="J926" t="s">
        <v>4</v>
      </c>
      <c r="K926" s="1">
        <v>14</v>
      </c>
      <c r="L926" s="1">
        <v>3</v>
      </c>
      <c r="M926" s="1">
        <v>4</v>
      </c>
      <c r="N926" s="1">
        <v>3</v>
      </c>
      <c r="O926" s="1">
        <v>3</v>
      </c>
      <c r="P926" s="1">
        <f>COUNTIF(HR_Data[Employee Number],HR_Data[[#This Row],[Employee Number]])</f>
        <v>1</v>
      </c>
      <c r="Q926" s="1" t="str">
        <f>IF(HR_Data[[#This Row],[Years At Company]]&lt;=HR_Data[[#This Row],[Total Working Years]],"Valid","error")</f>
        <v>Valid</v>
      </c>
      <c r="R926" s="1" t="str" cm="1">
        <f t="array" ref="R926">_xlfn.IFS(HR_Data[[#This Row],[Age]]&lt;=30,"Young", HR_Data[[#This Row],[Age]]&lt;=45,"Mid-Age",HR_Data[[#This Row],[Age]]&gt;45,"Senior")</f>
        <v>Mid-Age</v>
      </c>
      <c r="S926" s="1" t="str" cm="1">
        <f t="array" ref="S926">_xlfn.IFS(HR_Data[[#This Row],[Monthly Income]]&lt;5000,"Low", HR_Data[[#This Row],[Monthly Income]]&lt;10000,"Medium",TRUE,"High")</f>
        <v>Low</v>
      </c>
      <c r="T926" s="1" t="str" cm="1">
        <f t="array" ref="T926">_xlfn.IFS(HR_Data[[#This Row],[Total Working Years]]&lt;=5,"Junior", HR_Data[[#This Row],[Total Working Years]]&lt;=15,"Mid-Level", TRUE, "Senior")</f>
        <v>Junior</v>
      </c>
    </row>
    <row r="927" spans="1:20" x14ac:dyDescent="0.25">
      <c r="A927" s="1">
        <v>1292</v>
      </c>
      <c r="B927" s="1">
        <v>42</v>
      </c>
      <c r="C927" t="s">
        <v>9</v>
      </c>
      <c r="D927" t="s">
        <v>10</v>
      </c>
      <c r="E927" t="s">
        <v>15</v>
      </c>
      <c r="F927" t="s">
        <v>7</v>
      </c>
      <c r="G927" t="s">
        <v>12</v>
      </c>
      <c r="H927" s="1">
        <v>2</v>
      </c>
      <c r="I927" s="1">
        <v>2372</v>
      </c>
      <c r="J927" t="s">
        <v>4</v>
      </c>
      <c r="K927" s="1">
        <v>16</v>
      </c>
      <c r="L927" s="1">
        <v>3</v>
      </c>
      <c r="M927" s="1">
        <v>18</v>
      </c>
      <c r="N927" s="1">
        <v>3</v>
      </c>
      <c r="O927" s="1">
        <v>1</v>
      </c>
      <c r="P927" s="1">
        <f>COUNTIF(HR_Data[Employee Number],HR_Data[[#This Row],[Employee Number]])</f>
        <v>1</v>
      </c>
      <c r="Q927" s="1" t="str">
        <f>IF(HR_Data[[#This Row],[Years At Company]]&lt;=HR_Data[[#This Row],[Total Working Years]],"Valid","error")</f>
        <v>Valid</v>
      </c>
      <c r="R927" s="1" t="str" cm="1">
        <f t="array" ref="R927">_xlfn.IFS(HR_Data[[#This Row],[Age]]&lt;=30,"Young", HR_Data[[#This Row],[Age]]&lt;=45,"Mid-Age",HR_Data[[#This Row],[Age]]&gt;45,"Senior")</f>
        <v>Mid-Age</v>
      </c>
      <c r="S927" s="1" t="str" cm="1">
        <f t="array" ref="S927">_xlfn.IFS(HR_Data[[#This Row],[Monthly Income]]&lt;5000,"Low", HR_Data[[#This Row],[Monthly Income]]&lt;10000,"Medium",TRUE,"High")</f>
        <v>Low</v>
      </c>
      <c r="T927" s="1" t="str" cm="1">
        <f t="array" ref="T927">_xlfn.IFS(HR_Data[[#This Row],[Total Working Years]]&lt;=5,"Junior", HR_Data[[#This Row],[Total Working Years]]&lt;=15,"Mid-Level", TRUE, "Senior")</f>
        <v>Senior</v>
      </c>
    </row>
    <row r="928" spans="1:20" x14ac:dyDescent="0.25">
      <c r="A928" s="1">
        <v>1293</v>
      </c>
      <c r="B928" s="1">
        <v>43</v>
      </c>
      <c r="C928" t="s">
        <v>9</v>
      </c>
      <c r="D928" t="s">
        <v>5</v>
      </c>
      <c r="E928" t="s">
        <v>21</v>
      </c>
      <c r="F928" t="s">
        <v>7</v>
      </c>
      <c r="G928" t="s">
        <v>8</v>
      </c>
      <c r="H928" s="1">
        <v>4</v>
      </c>
      <c r="I928" s="1">
        <v>10231</v>
      </c>
      <c r="J928" t="s">
        <v>9</v>
      </c>
      <c r="K928" s="1">
        <v>14</v>
      </c>
      <c r="L928" s="1">
        <v>3</v>
      </c>
      <c r="M928" s="1">
        <v>23</v>
      </c>
      <c r="N928" s="1">
        <v>4</v>
      </c>
      <c r="O928" s="1">
        <v>21</v>
      </c>
      <c r="P928" s="1">
        <f>COUNTIF(HR_Data[Employee Number],HR_Data[[#This Row],[Employee Number]])</f>
        <v>1</v>
      </c>
      <c r="Q928" s="1" t="str">
        <f>IF(HR_Data[[#This Row],[Years At Company]]&lt;=HR_Data[[#This Row],[Total Working Years]],"Valid","error")</f>
        <v>Valid</v>
      </c>
      <c r="R928" s="1" t="str" cm="1">
        <f t="array" ref="R928">_xlfn.IFS(HR_Data[[#This Row],[Age]]&lt;=30,"Young", HR_Data[[#This Row],[Age]]&lt;=45,"Mid-Age",HR_Data[[#This Row],[Age]]&gt;45,"Senior")</f>
        <v>Mid-Age</v>
      </c>
      <c r="S928" s="1" t="str" cm="1">
        <f t="array" ref="S928">_xlfn.IFS(HR_Data[[#This Row],[Monthly Income]]&lt;5000,"Low", HR_Data[[#This Row],[Monthly Income]]&lt;10000,"Medium",TRUE,"High")</f>
        <v>High</v>
      </c>
      <c r="T928" s="1" t="str" cm="1">
        <f t="array" ref="T928">_xlfn.IFS(HR_Data[[#This Row],[Total Working Years]]&lt;=5,"Junior", HR_Data[[#This Row],[Total Working Years]]&lt;=15,"Mid-Level", TRUE, "Senior")</f>
        <v>Senior</v>
      </c>
    </row>
    <row r="929" spans="1:20" x14ac:dyDescent="0.25">
      <c r="A929" s="1">
        <v>1294</v>
      </c>
      <c r="B929" s="1">
        <v>36</v>
      </c>
      <c r="C929" t="s">
        <v>9</v>
      </c>
      <c r="D929" t="s">
        <v>10</v>
      </c>
      <c r="E929" t="s">
        <v>6</v>
      </c>
      <c r="F929" t="s">
        <v>7</v>
      </c>
      <c r="G929" t="s">
        <v>16</v>
      </c>
      <c r="H929" s="1">
        <v>2</v>
      </c>
      <c r="I929" s="1">
        <v>5410</v>
      </c>
      <c r="J929" t="s">
        <v>4</v>
      </c>
      <c r="K929" s="1">
        <v>11</v>
      </c>
      <c r="L929" s="1">
        <v>3</v>
      </c>
      <c r="M929" s="1">
        <v>18</v>
      </c>
      <c r="N929" s="1">
        <v>3</v>
      </c>
      <c r="O929" s="1">
        <v>16</v>
      </c>
      <c r="P929" s="1">
        <f>COUNTIF(HR_Data[Employee Number],HR_Data[[#This Row],[Employee Number]])</f>
        <v>1</v>
      </c>
      <c r="Q929" s="1" t="str">
        <f>IF(HR_Data[[#This Row],[Years At Company]]&lt;=HR_Data[[#This Row],[Total Working Years]],"Valid","error")</f>
        <v>Valid</v>
      </c>
      <c r="R929" s="1" t="str" cm="1">
        <f t="array" ref="R929">_xlfn.IFS(HR_Data[[#This Row],[Age]]&lt;=30,"Young", HR_Data[[#This Row],[Age]]&lt;=45,"Mid-Age",HR_Data[[#This Row],[Age]]&gt;45,"Senior")</f>
        <v>Mid-Age</v>
      </c>
      <c r="S929" s="1" t="str" cm="1">
        <f t="array" ref="S929">_xlfn.IFS(HR_Data[[#This Row],[Monthly Income]]&lt;5000,"Low", HR_Data[[#This Row],[Monthly Income]]&lt;10000,"Medium",TRUE,"High")</f>
        <v>Medium</v>
      </c>
      <c r="T929" s="1" t="str" cm="1">
        <f t="array" ref="T929">_xlfn.IFS(HR_Data[[#This Row],[Total Working Years]]&lt;=5,"Junior", HR_Data[[#This Row],[Total Working Years]]&lt;=15,"Mid-Level", TRUE, "Senior")</f>
        <v>Senior</v>
      </c>
    </row>
    <row r="930" spans="1:20" x14ac:dyDescent="0.25">
      <c r="A930" s="1">
        <v>1295</v>
      </c>
      <c r="B930" s="1">
        <v>44</v>
      </c>
      <c r="C930" t="s">
        <v>4</v>
      </c>
      <c r="D930" t="s">
        <v>10</v>
      </c>
      <c r="E930" t="s">
        <v>15</v>
      </c>
      <c r="F930" t="s">
        <v>7</v>
      </c>
      <c r="G930" t="s">
        <v>17</v>
      </c>
      <c r="H930" s="1">
        <v>4</v>
      </c>
      <c r="I930" s="1">
        <v>7978</v>
      </c>
      <c r="J930" t="s">
        <v>9</v>
      </c>
      <c r="K930" s="1">
        <v>11</v>
      </c>
      <c r="L930" s="1">
        <v>3</v>
      </c>
      <c r="M930" s="1">
        <v>10</v>
      </c>
      <c r="N930" s="1">
        <v>3</v>
      </c>
      <c r="O930" s="1">
        <v>10</v>
      </c>
      <c r="P930" s="1">
        <f>COUNTIF(HR_Data[Employee Number],HR_Data[[#This Row],[Employee Number]])</f>
        <v>1</v>
      </c>
      <c r="Q930" s="1" t="str">
        <f>IF(HR_Data[[#This Row],[Years At Company]]&lt;=HR_Data[[#This Row],[Total Working Years]],"Valid","error")</f>
        <v>Valid</v>
      </c>
      <c r="R930" s="1" t="str" cm="1">
        <f t="array" ref="R930">_xlfn.IFS(HR_Data[[#This Row],[Age]]&lt;=30,"Young", HR_Data[[#This Row],[Age]]&lt;=45,"Mid-Age",HR_Data[[#This Row],[Age]]&gt;45,"Senior")</f>
        <v>Mid-Age</v>
      </c>
      <c r="S930" s="1" t="str" cm="1">
        <f t="array" ref="S930">_xlfn.IFS(HR_Data[[#This Row],[Monthly Income]]&lt;5000,"Low", HR_Data[[#This Row],[Monthly Income]]&lt;10000,"Medium",TRUE,"High")</f>
        <v>Medium</v>
      </c>
      <c r="T930" s="1" t="str" cm="1">
        <f t="array" ref="T930">_xlfn.IFS(HR_Data[[#This Row],[Total Working Years]]&lt;=5,"Junior", HR_Data[[#This Row],[Total Working Years]]&lt;=15,"Mid-Level", TRUE, "Senior")</f>
        <v>Mid-Level</v>
      </c>
    </row>
    <row r="931" spans="1:20" x14ac:dyDescent="0.25">
      <c r="A931" s="1">
        <v>1296</v>
      </c>
      <c r="B931" s="1">
        <v>28</v>
      </c>
      <c r="C931" t="s">
        <v>9</v>
      </c>
      <c r="D931" t="s">
        <v>10</v>
      </c>
      <c r="E931" t="s">
        <v>6</v>
      </c>
      <c r="F931" t="s">
        <v>11</v>
      </c>
      <c r="G931" t="s">
        <v>14</v>
      </c>
      <c r="H931" s="1">
        <v>4</v>
      </c>
      <c r="I931" s="1">
        <v>3867</v>
      </c>
      <c r="J931" t="s">
        <v>4</v>
      </c>
      <c r="K931" s="1">
        <v>12</v>
      </c>
      <c r="L931" s="1">
        <v>3</v>
      </c>
      <c r="M931" s="1">
        <v>2</v>
      </c>
      <c r="N931" s="1">
        <v>3</v>
      </c>
      <c r="O931" s="1">
        <v>2</v>
      </c>
      <c r="P931" s="1">
        <f>COUNTIF(HR_Data[Employee Number],HR_Data[[#This Row],[Employee Number]])</f>
        <v>1</v>
      </c>
      <c r="Q931" s="1" t="str">
        <f>IF(HR_Data[[#This Row],[Years At Company]]&lt;=HR_Data[[#This Row],[Total Working Years]],"Valid","error")</f>
        <v>Valid</v>
      </c>
      <c r="R931" s="1" t="str" cm="1">
        <f t="array" ref="R931">_xlfn.IFS(HR_Data[[#This Row],[Age]]&lt;=30,"Young", HR_Data[[#This Row],[Age]]&lt;=45,"Mid-Age",HR_Data[[#This Row],[Age]]&gt;45,"Senior")</f>
        <v>Young</v>
      </c>
      <c r="S931" s="1" t="str" cm="1">
        <f t="array" ref="S931">_xlfn.IFS(HR_Data[[#This Row],[Monthly Income]]&lt;5000,"Low", HR_Data[[#This Row],[Monthly Income]]&lt;10000,"Medium",TRUE,"High")</f>
        <v>Low</v>
      </c>
      <c r="T931" s="1" t="str" cm="1">
        <f t="array" ref="T931">_xlfn.IFS(HR_Data[[#This Row],[Total Working Years]]&lt;=5,"Junior", HR_Data[[#This Row],[Total Working Years]]&lt;=15,"Mid-Level", TRUE, "Senior")</f>
        <v>Junior</v>
      </c>
    </row>
    <row r="932" spans="1:20" x14ac:dyDescent="0.25">
      <c r="A932" s="1">
        <v>1297</v>
      </c>
      <c r="B932" s="1">
        <v>51</v>
      </c>
      <c r="C932" t="s">
        <v>9</v>
      </c>
      <c r="D932" t="s">
        <v>10</v>
      </c>
      <c r="E932" t="s">
        <v>15</v>
      </c>
      <c r="F932" t="s">
        <v>7</v>
      </c>
      <c r="G932" t="s">
        <v>14</v>
      </c>
      <c r="H932" s="1">
        <v>3</v>
      </c>
      <c r="I932" s="1">
        <v>2838</v>
      </c>
      <c r="J932" t="s">
        <v>9</v>
      </c>
      <c r="K932" s="1">
        <v>14</v>
      </c>
      <c r="L932" s="1">
        <v>3</v>
      </c>
      <c r="M932" s="1">
        <v>8</v>
      </c>
      <c r="N932" s="1">
        <v>2</v>
      </c>
      <c r="O932" s="1">
        <v>7</v>
      </c>
      <c r="P932" s="1">
        <f>COUNTIF(HR_Data[Employee Number],HR_Data[[#This Row],[Employee Number]])</f>
        <v>1</v>
      </c>
      <c r="Q932" s="1" t="str">
        <f>IF(HR_Data[[#This Row],[Years At Company]]&lt;=HR_Data[[#This Row],[Total Working Years]],"Valid","error")</f>
        <v>Valid</v>
      </c>
      <c r="R932" s="1" t="str" cm="1">
        <f t="array" ref="R932">_xlfn.IFS(HR_Data[[#This Row],[Age]]&lt;=30,"Young", HR_Data[[#This Row],[Age]]&lt;=45,"Mid-Age",HR_Data[[#This Row],[Age]]&gt;45,"Senior")</f>
        <v>Senior</v>
      </c>
      <c r="S932" s="1" t="str" cm="1">
        <f t="array" ref="S932">_xlfn.IFS(HR_Data[[#This Row],[Monthly Income]]&lt;5000,"Low", HR_Data[[#This Row],[Monthly Income]]&lt;10000,"Medium",TRUE,"High")</f>
        <v>Low</v>
      </c>
      <c r="T932" s="1" t="str" cm="1">
        <f t="array" ref="T932">_xlfn.IFS(HR_Data[[#This Row],[Total Working Years]]&lt;=5,"Junior", HR_Data[[#This Row],[Total Working Years]]&lt;=15,"Mid-Level", TRUE, "Senior")</f>
        <v>Mid-Level</v>
      </c>
    </row>
    <row r="933" spans="1:20" x14ac:dyDescent="0.25">
      <c r="A933" s="1">
        <v>1298</v>
      </c>
      <c r="B933" s="1">
        <v>30</v>
      </c>
      <c r="C933" t="s">
        <v>9</v>
      </c>
      <c r="D933" t="s">
        <v>10</v>
      </c>
      <c r="E933" t="s">
        <v>15</v>
      </c>
      <c r="F933" t="s">
        <v>7</v>
      </c>
      <c r="G933" t="s">
        <v>16</v>
      </c>
      <c r="H933" s="1">
        <v>3</v>
      </c>
      <c r="I933" s="1">
        <v>4695</v>
      </c>
      <c r="J933" t="s">
        <v>4</v>
      </c>
      <c r="K933" s="1">
        <v>18</v>
      </c>
      <c r="L933" s="1">
        <v>3</v>
      </c>
      <c r="M933" s="1">
        <v>10</v>
      </c>
      <c r="N933" s="1">
        <v>3</v>
      </c>
      <c r="O933" s="1">
        <v>8</v>
      </c>
      <c r="P933" s="1">
        <f>COUNTIF(HR_Data[Employee Number],HR_Data[[#This Row],[Employee Number]])</f>
        <v>1</v>
      </c>
      <c r="Q933" s="1" t="str">
        <f>IF(HR_Data[[#This Row],[Years At Company]]&lt;=HR_Data[[#This Row],[Total Working Years]],"Valid","error")</f>
        <v>Valid</v>
      </c>
      <c r="R933" s="1" t="str" cm="1">
        <f t="array" ref="R933">_xlfn.IFS(HR_Data[[#This Row],[Age]]&lt;=30,"Young", HR_Data[[#This Row],[Age]]&lt;=45,"Mid-Age",HR_Data[[#This Row],[Age]]&gt;45,"Senior")</f>
        <v>Young</v>
      </c>
      <c r="S933" s="1" t="str" cm="1">
        <f t="array" ref="S933">_xlfn.IFS(HR_Data[[#This Row],[Monthly Income]]&lt;5000,"Low", HR_Data[[#This Row],[Monthly Income]]&lt;10000,"Medium",TRUE,"High")</f>
        <v>Low</v>
      </c>
      <c r="T933" s="1" t="str" cm="1">
        <f t="array" ref="T933">_xlfn.IFS(HR_Data[[#This Row],[Total Working Years]]&lt;=5,"Junior", HR_Data[[#This Row],[Total Working Years]]&lt;=15,"Mid-Level", TRUE, "Senior")</f>
        <v>Mid-Level</v>
      </c>
    </row>
    <row r="934" spans="1:20" x14ac:dyDescent="0.25">
      <c r="A934" s="1">
        <v>1299</v>
      </c>
      <c r="B934" s="1">
        <v>29</v>
      </c>
      <c r="C934" t="s">
        <v>4</v>
      </c>
      <c r="D934" t="s">
        <v>10</v>
      </c>
      <c r="E934" t="s">
        <v>22</v>
      </c>
      <c r="F934" t="s">
        <v>7</v>
      </c>
      <c r="G934" t="s">
        <v>14</v>
      </c>
      <c r="H934" s="1">
        <v>3</v>
      </c>
      <c r="I934" s="1">
        <v>3339</v>
      </c>
      <c r="J934" t="s">
        <v>4</v>
      </c>
      <c r="K934" s="1">
        <v>13</v>
      </c>
      <c r="L934" s="1">
        <v>3</v>
      </c>
      <c r="M934" s="1">
        <v>10</v>
      </c>
      <c r="N934" s="1">
        <v>3</v>
      </c>
      <c r="O934" s="1">
        <v>7</v>
      </c>
      <c r="P934" s="1">
        <f>COUNTIF(HR_Data[Employee Number],HR_Data[[#This Row],[Employee Number]])</f>
        <v>1</v>
      </c>
      <c r="Q934" s="1" t="str">
        <f>IF(HR_Data[[#This Row],[Years At Company]]&lt;=HR_Data[[#This Row],[Total Working Years]],"Valid","error")</f>
        <v>Valid</v>
      </c>
      <c r="R934" s="1" t="str" cm="1">
        <f t="array" ref="R934">_xlfn.IFS(HR_Data[[#This Row],[Age]]&lt;=30,"Young", HR_Data[[#This Row],[Age]]&lt;=45,"Mid-Age",HR_Data[[#This Row],[Age]]&gt;45,"Senior")</f>
        <v>Young</v>
      </c>
      <c r="S934" s="1" t="str" cm="1">
        <f t="array" ref="S934">_xlfn.IFS(HR_Data[[#This Row],[Monthly Income]]&lt;5000,"Low", HR_Data[[#This Row],[Monthly Income]]&lt;10000,"Medium",TRUE,"High")</f>
        <v>Low</v>
      </c>
      <c r="T934" s="1" t="str" cm="1">
        <f t="array" ref="T934">_xlfn.IFS(HR_Data[[#This Row],[Total Working Years]]&lt;=5,"Junior", HR_Data[[#This Row],[Total Working Years]]&lt;=15,"Mid-Level", TRUE, "Senior")</f>
        <v>Mid-Level</v>
      </c>
    </row>
    <row r="935" spans="1:20" x14ac:dyDescent="0.25">
      <c r="A935" s="1">
        <v>1301</v>
      </c>
      <c r="B935" s="1">
        <v>28</v>
      </c>
      <c r="C935" t="s">
        <v>9</v>
      </c>
      <c r="D935" t="s">
        <v>10</v>
      </c>
      <c r="E935" t="s">
        <v>22</v>
      </c>
      <c r="F935" t="s">
        <v>11</v>
      </c>
      <c r="G935" t="s">
        <v>12</v>
      </c>
      <c r="H935" s="1">
        <v>1</v>
      </c>
      <c r="I935" s="1">
        <v>2080</v>
      </c>
      <c r="J935" t="s">
        <v>9</v>
      </c>
      <c r="K935" s="1">
        <v>11</v>
      </c>
      <c r="L935" s="1">
        <v>3</v>
      </c>
      <c r="M935" s="1">
        <v>5</v>
      </c>
      <c r="N935" s="1">
        <v>2</v>
      </c>
      <c r="O935" s="1">
        <v>3</v>
      </c>
      <c r="P935" s="1">
        <f>COUNTIF(HR_Data[Employee Number],HR_Data[[#This Row],[Employee Number]])</f>
        <v>1</v>
      </c>
      <c r="Q935" s="1" t="str">
        <f>IF(HR_Data[[#This Row],[Years At Company]]&lt;=HR_Data[[#This Row],[Total Working Years]],"Valid","error")</f>
        <v>Valid</v>
      </c>
      <c r="R935" s="1" t="str" cm="1">
        <f t="array" ref="R935">_xlfn.IFS(HR_Data[[#This Row],[Age]]&lt;=30,"Young", HR_Data[[#This Row],[Age]]&lt;=45,"Mid-Age",HR_Data[[#This Row],[Age]]&gt;45,"Senior")</f>
        <v>Young</v>
      </c>
      <c r="S935" s="1" t="str" cm="1">
        <f t="array" ref="S935">_xlfn.IFS(HR_Data[[#This Row],[Monthly Income]]&lt;5000,"Low", HR_Data[[#This Row],[Monthly Income]]&lt;10000,"Medium",TRUE,"High")</f>
        <v>Low</v>
      </c>
      <c r="T935" s="1" t="str" cm="1">
        <f t="array" ref="T935">_xlfn.IFS(HR_Data[[#This Row],[Total Working Years]]&lt;=5,"Junior", HR_Data[[#This Row],[Total Working Years]]&lt;=15,"Mid-Level", TRUE, "Senior")</f>
        <v>Junior</v>
      </c>
    </row>
    <row r="936" spans="1:20" x14ac:dyDescent="0.25">
      <c r="A936" s="1">
        <v>1303</v>
      </c>
      <c r="B936" s="1">
        <v>25</v>
      </c>
      <c r="C936" t="s">
        <v>9</v>
      </c>
      <c r="D936" t="s">
        <v>10</v>
      </c>
      <c r="E936" t="s">
        <v>15</v>
      </c>
      <c r="F936" t="s">
        <v>7</v>
      </c>
      <c r="G936" t="s">
        <v>12</v>
      </c>
      <c r="H936" s="1">
        <v>2</v>
      </c>
      <c r="I936" s="1">
        <v>2096</v>
      </c>
      <c r="J936" t="s">
        <v>9</v>
      </c>
      <c r="K936" s="1">
        <v>18</v>
      </c>
      <c r="L936" s="1">
        <v>3</v>
      </c>
      <c r="M936" s="1">
        <v>2</v>
      </c>
      <c r="N936" s="1">
        <v>2</v>
      </c>
      <c r="O936" s="1">
        <v>2</v>
      </c>
      <c r="P936" s="1">
        <f>COUNTIF(HR_Data[Employee Number],HR_Data[[#This Row],[Employee Number]])</f>
        <v>1</v>
      </c>
      <c r="Q936" s="1" t="str">
        <f>IF(HR_Data[[#This Row],[Years At Company]]&lt;=HR_Data[[#This Row],[Total Working Years]],"Valid","error")</f>
        <v>Valid</v>
      </c>
      <c r="R936" s="1" t="str" cm="1">
        <f t="array" ref="R936">_xlfn.IFS(HR_Data[[#This Row],[Age]]&lt;=30,"Young", HR_Data[[#This Row],[Age]]&lt;=45,"Mid-Age",HR_Data[[#This Row],[Age]]&gt;45,"Senior")</f>
        <v>Young</v>
      </c>
      <c r="S936" s="1" t="str" cm="1">
        <f t="array" ref="S936">_xlfn.IFS(HR_Data[[#This Row],[Monthly Income]]&lt;5000,"Low", HR_Data[[#This Row],[Monthly Income]]&lt;10000,"Medium",TRUE,"High")</f>
        <v>Low</v>
      </c>
      <c r="T936" s="1" t="str" cm="1">
        <f t="array" ref="T936">_xlfn.IFS(HR_Data[[#This Row],[Total Working Years]]&lt;=5,"Junior", HR_Data[[#This Row],[Total Working Years]]&lt;=15,"Mid-Level", TRUE, "Senior")</f>
        <v>Junior</v>
      </c>
    </row>
    <row r="937" spans="1:20" x14ac:dyDescent="0.25">
      <c r="A937" s="1">
        <v>1304</v>
      </c>
      <c r="B937" s="1">
        <v>32</v>
      </c>
      <c r="C937" t="s">
        <v>9</v>
      </c>
      <c r="D937" t="s">
        <v>5</v>
      </c>
      <c r="E937" t="s">
        <v>15</v>
      </c>
      <c r="F937" t="s">
        <v>11</v>
      </c>
      <c r="G937" t="s">
        <v>8</v>
      </c>
      <c r="H937" s="1">
        <v>4</v>
      </c>
      <c r="I937" s="1">
        <v>6209</v>
      </c>
      <c r="J937" t="s">
        <v>9</v>
      </c>
      <c r="K937" s="1">
        <v>15</v>
      </c>
      <c r="L937" s="1">
        <v>3</v>
      </c>
      <c r="M937" s="1">
        <v>10</v>
      </c>
      <c r="N937" s="1">
        <v>4</v>
      </c>
      <c r="O937" s="1">
        <v>10</v>
      </c>
      <c r="P937" s="1">
        <f>COUNTIF(HR_Data[Employee Number],HR_Data[[#This Row],[Employee Number]])</f>
        <v>1</v>
      </c>
      <c r="Q937" s="1" t="str">
        <f>IF(HR_Data[[#This Row],[Years At Company]]&lt;=HR_Data[[#This Row],[Total Working Years]],"Valid","error")</f>
        <v>Valid</v>
      </c>
      <c r="R937" s="1" t="str" cm="1">
        <f t="array" ref="R937">_xlfn.IFS(HR_Data[[#This Row],[Age]]&lt;=30,"Young", HR_Data[[#This Row],[Age]]&lt;=45,"Mid-Age",HR_Data[[#This Row],[Age]]&gt;45,"Senior")</f>
        <v>Mid-Age</v>
      </c>
      <c r="S937" s="1" t="str" cm="1">
        <f t="array" ref="S937">_xlfn.IFS(HR_Data[[#This Row],[Monthly Income]]&lt;5000,"Low", HR_Data[[#This Row],[Monthly Income]]&lt;10000,"Medium",TRUE,"High")</f>
        <v>Medium</v>
      </c>
      <c r="T937" s="1" t="str" cm="1">
        <f t="array" ref="T937">_xlfn.IFS(HR_Data[[#This Row],[Total Working Years]]&lt;=5,"Junior", HR_Data[[#This Row],[Total Working Years]]&lt;=15,"Mid-Level", TRUE, "Senior")</f>
        <v>Mid-Level</v>
      </c>
    </row>
    <row r="938" spans="1:20" x14ac:dyDescent="0.25">
      <c r="A938" s="1">
        <v>1306</v>
      </c>
      <c r="B938" s="1">
        <v>45</v>
      </c>
      <c r="C938" t="s">
        <v>9</v>
      </c>
      <c r="D938" t="s">
        <v>10</v>
      </c>
      <c r="E938" t="s">
        <v>15</v>
      </c>
      <c r="F938" t="s">
        <v>7</v>
      </c>
      <c r="G938" t="s">
        <v>18</v>
      </c>
      <c r="H938" s="1">
        <v>2</v>
      </c>
      <c r="I938" s="1">
        <v>18061</v>
      </c>
      <c r="J938" t="s">
        <v>9</v>
      </c>
      <c r="K938" s="1">
        <v>22</v>
      </c>
      <c r="L938" s="1">
        <v>4</v>
      </c>
      <c r="M938" s="1">
        <v>22</v>
      </c>
      <c r="N938" s="1">
        <v>3</v>
      </c>
      <c r="O938" s="1">
        <v>0</v>
      </c>
      <c r="P938" s="1">
        <f>COUNTIF(HR_Data[Employee Number],HR_Data[[#This Row],[Employee Number]])</f>
        <v>1</v>
      </c>
      <c r="Q938" s="1" t="str">
        <f>IF(HR_Data[[#This Row],[Years At Company]]&lt;=HR_Data[[#This Row],[Total Working Years]],"Valid","error")</f>
        <v>Valid</v>
      </c>
      <c r="R938" s="1" t="str" cm="1">
        <f t="array" ref="R938">_xlfn.IFS(HR_Data[[#This Row],[Age]]&lt;=30,"Young", HR_Data[[#This Row],[Age]]&lt;=45,"Mid-Age",HR_Data[[#This Row],[Age]]&gt;45,"Senior")</f>
        <v>Mid-Age</v>
      </c>
      <c r="S938" s="1" t="str" cm="1">
        <f t="array" ref="S938">_xlfn.IFS(HR_Data[[#This Row],[Monthly Income]]&lt;5000,"Low", HR_Data[[#This Row],[Monthly Income]]&lt;10000,"Medium",TRUE,"High")</f>
        <v>High</v>
      </c>
      <c r="T938" s="1" t="str" cm="1">
        <f t="array" ref="T938">_xlfn.IFS(HR_Data[[#This Row],[Total Working Years]]&lt;=5,"Junior", HR_Data[[#This Row],[Total Working Years]]&lt;=15,"Mid-Level", TRUE, "Senior")</f>
        <v>Senior</v>
      </c>
    </row>
    <row r="939" spans="1:20" x14ac:dyDescent="0.25">
      <c r="A939" s="1">
        <v>1307</v>
      </c>
      <c r="B939" s="1">
        <v>39</v>
      </c>
      <c r="C939" t="s">
        <v>9</v>
      </c>
      <c r="D939" t="s">
        <v>10</v>
      </c>
      <c r="E939" t="s">
        <v>15</v>
      </c>
      <c r="F939" t="s">
        <v>7</v>
      </c>
      <c r="G939" t="s">
        <v>18</v>
      </c>
      <c r="H939" s="1">
        <v>2</v>
      </c>
      <c r="I939" s="1">
        <v>17123</v>
      </c>
      <c r="J939" t="s">
        <v>4</v>
      </c>
      <c r="K939" s="1">
        <v>13</v>
      </c>
      <c r="L939" s="1">
        <v>3</v>
      </c>
      <c r="M939" s="1">
        <v>21</v>
      </c>
      <c r="N939" s="1">
        <v>3</v>
      </c>
      <c r="O939" s="1">
        <v>19</v>
      </c>
      <c r="P939" s="1">
        <f>COUNTIF(HR_Data[Employee Number],HR_Data[[#This Row],[Employee Number]])</f>
        <v>1</v>
      </c>
      <c r="Q939" s="1" t="str">
        <f>IF(HR_Data[[#This Row],[Years At Company]]&lt;=HR_Data[[#This Row],[Total Working Years]],"Valid","error")</f>
        <v>Valid</v>
      </c>
      <c r="R939" s="1" t="str" cm="1">
        <f t="array" ref="R939">_xlfn.IFS(HR_Data[[#This Row],[Age]]&lt;=30,"Young", HR_Data[[#This Row],[Age]]&lt;=45,"Mid-Age",HR_Data[[#This Row],[Age]]&gt;45,"Senior")</f>
        <v>Mid-Age</v>
      </c>
      <c r="S939" s="1" t="str" cm="1">
        <f t="array" ref="S939">_xlfn.IFS(HR_Data[[#This Row],[Monthly Income]]&lt;5000,"Low", HR_Data[[#This Row],[Monthly Income]]&lt;10000,"Medium",TRUE,"High")</f>
        <v>High</v>
      </c>
      <c r="T939" s="1" t="str" cm="1">
        <f t="array" ref="T939">_xlfn.IFS(HR_Data[[#This Row],[Total Working Years]]&lt;=5,"Junior", HR_Data[[#This Row],[Total Working Years]]&lt;=15,"Mid-Level", TRUE, "Senior")</f>
        <v>Senior</v>
      </c>
    </row>
    <row r="940" spans="1:20" x14ac:dyDescent="0.25">
      <c r="A940" s="1">
        <v>1308</v>
      </c>
      <c r="B940" s="1">
        <v>58</v>
      </c>
      <c r="C940" t="s">
        <v>9</v>
      </c>
      <c r="D940" t="s">
        <v>10</v>
      </c>
      <c r="E940" t="s">
        <v>6</v>
      </c>
      <c r="F940" t="s">
        <v>11</v>
      </c>
      <c r="G940" t="s">
        <v>12</v>
      </c>
      <c r="H940" s="1">
        <v>3</v>
      </c>
      <c r="I940" s="1">
        <v>2372</v>
      </c>
      <c r="J940" t="s">
        <v>9</v>
      </c>
      <c r="K940" s="1">
        <v>12</v>
      </c>
      <c r="L940" s="1">
        <v>3</v>
      </c>
      <c r="M940" s="1">
        <v>2</v>
      </c>
      <c r="N940" s="1">
        <v>3</v>
      </c>
      <c r="O940" s="1">
        <v>2</v>
      </c>
      <c r="P940" s="1">
        <f>COUNTIF(HR_Data[Employee Number],HR_Data[[#This Row],[Employee Number]])</f>
        <v>1</v>
      </c>
      <c r="Q940" s="1" t="str">
        <f>IF(HR_Data[[#This Row],[Years At Company]]&lt;=HR_Data[[#This Row],[Total Working Years]],"Valid","error")</f>
        <v>Valid</v>
      </c>
      <c r="R940" s="1" t="str" cm="1">
        <f t="array" ref="R940">_xlfn.IFS(HR_Data[[#This Row],[Age]]&lt;=30,"Young", HR_Data[[#This Row],[Age]]&lt;=45,"Mid-Age",HR_Data[[#This Row],[Age]]&gt;45,"Senior")</f>
        <v>Senior</v>
      </c>
      <c r="S940" s="1" t="str" cm="1">
        <f t="array" ref="S940">_xlfn.IFS(HR_Data[[#This Row],[Monthly Income]]&lt;5000,"Low", HR_Data[[#This Row],[Monthly Income]]&lt;10000,"Medium",TRUE,"High")</f>
        <v>Low</v>
      </c>
      <c r="T940" s="1" t="str" cm="1">
        <f t="array" ref="T940">_xlfn.IFS(HR_Data[[#This Row],[Total Working Years]]&lt;=5,"Junior", HR_Data[[#This Row],[Total Working Years]]&lt;=15,"Mid-Level", TRUE, "Senior")</f>
        <v>Junior</v>
      </c>
    </row>
    <row r="941" spans="1:20" x14ac:dyDescent="0.25">
      <c r="A941" s="1">
        <v>1309</v>
      </c>
      <c r="B941" s="1">
        <v>32</v>
      </c>
      <c r="C941" t="s">
        <v>4</v>
      </c>
      <c r="D941" t="s">
        <v>10</v>
      </c>
      <c r="E941" t="s">
        <v>6</v>
      </c>
      <c r="F941" t="s">
        <v>11</v>
      </c>
      <c r="G941" t="s">
        <v>14</v>
      </c>
      <c r="H941" s="1">
        <v>3</v>
      </c>
      <c r="I941" s="1">
        <v>4883</v>
      </c>
      <c r="J941" t="s">
        <v>9</v>
      </c>
      <c r="K941" s="1">
        <v>18</v>
      </c>
      <c r="L941" s="1">
        <v>3</v>
      </c>
      <c r="M941" s="1">
        <v>10</v>
      </c>
      <c r="N941" s="1">
        <v>3</v>
      </c>
      <c r="O941" s="1">
        <v>10</v>
      </c>
      <c r="P941" s="1">
        <f>COUNTIF(HR_Data[Employee Number],HR_Data[[#This Row],[Employee Number]])</f>
        <v>1</v>
      </c>
      <c r="Q941" s="1" t="str">
        <f>IF(HR_Data[[#This Row],[Years At Company]]&lt;=HR_Data[[#This Row],[Total Working Years]],"Valid","error")</f>
        <v>Valid</v>
      </c>
      <c r="R941" s="1" t="str" cm="1">
        <f t="array" ref="R941">_xlfn.IFS(HR_Data[[#This Row],[Age]]&lt;=30,"Young", HR_Data[[#This Row],[Age]]&lt;=45,"Mid-Age",HR_Data[[#This Row],[Age]]&gt;45,"Senior")</f>
        <v>Mid-Age</v>
      </c>
      <c r="S941" s="1" t="str" cm="1">
        <f t="array" ref="S941">_xlfn.IFS(HR_Data[[#This Row],[Monthly Income]]&lt;5000,"Low", HR_Data[[#This Row],[Monthly Income]]&lt;10000,"Medium",TRUE,"High")</f>
        <v>Low</v>
      </c>
      <c r="T941" s="1" t="str" cm="1">
        <f t="array" ref="T941">_xlfn.IFS(HR_Data[[#This Row],[Total Working Years]]&lt;=5,"Junior", HR_Data[[#This Row],[Total Working Years]]&lt;=15,"Mid-Level", TRUE, "Senior")</f>
        <v>Mid-Level</v>
      </c>
    </row>
    <row r="942" spans="1:20" x14ac:dyDescent="0.25">
      <c r="A942" s="1">
        <v>1310</v>
      </c>
      <c r="B942" s="1">
        <v>39</v>
      </c>
      <c r="C942" t="s">
        <v>4</v>
      </c>
      <c r="D942" t="s">
        <v>10</v>
      </c>
      <c r="E942" t="s">
        <v>15</v>
      </c>
      <c r="F942" t="s">
        <v>11</v>
      </c>
      <c r="G942" t="s">
        <v>12</v>
      </c>
      <c r="H942" s="1">
        <v>1</v>
      </c>
      <c r="I942" s="1">
        <v>3904</v>
      </c>
      <c r="J942" t="s">
        <v>9</v>
      </c>
      <c r="K942" s="1">
        <v>13</v>
      </c>
      <c r="L942" s="1">
        <v>3</v>
      </c>
      <c r="M942" s="1">
        <v>6</v>
      </c>
      <c r="N942" s="1">
        <v>3</v>
      </c>
      <c r="O942" s="1">
        <v>5</v>
      </c>
      <c r="P942" s="1">
        <f>COUNTIF(HR_Data[Employee Number],HR_Data[[#This Row],[Employee Number]])</f>
        <v>1</v>
      </c>
      <c r="Q942" s="1" t="str">
        <f>IF(HR_Data[[#This Row],[Years At Company]]&lt;=HR_Data[[#This Row],[Total Working Years]],"Valid","error")</f>
        <v>Valid</v>
      </c>
      <c r="R942" s="1" t="str" cm="1">
        <f t="array" ref="R942">_xlfn.IFS(HR_Data[[#This Row],[Age]]&lt;=30,"Young", HR_Data[[#This Row],[Age]]&lt;=45,"Mid-Age",HR_Data[[#This Row],[Age]]&gt;45,"Senior")</f>
        <v>Mid-Age</v>
      </c>
      <c r="S942" s="1" t="str" cm="1">
        <f t="array" ref="S942">_xlfn.IFS(HR_Data[[#This Row],[Monthly Income]]&lt;5000,"Low", HR_Data[[#This Row],[Monthly Income]]&lt;10000,"Medium",TRUE,"High")</f>
        <v>Low</v>
      </c>
      <c r="T942" s="1" t="str" cm="1">
        <f t="array" ref="T942">_xlfn.IFS(HR_Data[[#This Row],[Total Working Years]]&lt;=5,"Junior", HR_Data[[#This Row],[Total Working Years]]&lt;=15,"Mid-Level", TRUE, "Senior")</f>
        <v>Mid-Level</v>
      </c>
    </row>
    <row r="943" spans="1:20" x14ac:dyDescent="0.25">
      <c r="A943" s="1">
        <v>1311</v>
      </c>
      <c r="B943" s="1">
        <v>30</v>
      </c>
      <c r="C943" t="s">
        <v>9</v>
      </c>
      <c r="D943" t="s">
        <v>10</v>
      </c>
      <c r="E943" t="s">
        <v>22</v>
      </c>
      <c r="F943" t="s">
        <v>7</v>
      </c>
      <c r="G943" t="s">
        <v>14</v>
      </c>
      <c r="H943" s="1">
        <v>4</v>
      </c>
      <c r="I943" s="1">
        <v>4627</v>
      </c>
      <c r="J943" t="s">
        <v>9</v>
      </c>
      <c r="K943" s="1">
        <v>12</v>
      </c>
      <c r="L943" s="1">
        <v>3</v>
      </c>
      <c r="M943" s="1">
        <v>10</v>
      </c>
      <c r="N943" s="1">
        <v>3</v>
      </c>
      <c r="O943" s="1">
        <v>9</v>
      </c>
      <c r="P943" s="1">
        <f>COUNTIF(HR_Data[Employee Number],HR_Data[[#This Row],[Employee Number]])</f>
        <v>1</v>
      </c>
      <c r="Q943" s="1" t="str">
        <f>IF(HR_Data[[#This Row],[Years At Company]]&lt;=HR_Data[[#This Row],[Total Working Years]],"Valid","error")</f>
        <v>Valid</v>
      </c>
      <c r="R943" s="1" t="str" cm="1">
        <f t="array" ref="R943">_xlfn.IFS(HR_Data[[#This Row],[Age]]&lt;=30,"Young", HR_Data[[#This Row],[Age]]&lt;=45,"Mid-Age",HR_Data[[#This Row],[Age]]&gt;45,"Senior")</f>
        <v>Young</v>
      </c>
      <c r="S943" s="1" t="str" cm="1">
        <f t="array" ref="S943">_xlfn.IFS(HR_Data[[#This Row],[Monthly Income]]&lt;5000,"Low", HR_Data[[#This Row],[Monthly Income]]&lt;10000,"Medium",TRUE,"High")</f>
        <v>Low</v>
      </c>
      <c r="T943" s="1" t="str" cm="1">
        <f t="array" ref="T943">_xlfn.IFS(HR_Data[[#This Row],[Total Working Years]]&lt;=5,"Junior", HR_Data[[#This Row],[Total Working Years]]&lt;=15,"Mid-Level", TRUE, "Senior")</f>
        <v>Mid-Level</v>
      </c>
    </row>
    <row r="944" spans="1:20" x14ac:dyDescent="0.25">
      <c r="A944" s="1">
        <v>1312</v>
      </c>
      <c r="B944" s="1">
        <v>36</v>
      </c>
      <c r="C944" t="s">
        <v>9</v>
      </c>
      <c r="D944" t="s">
        <v>10</v>
      </c>
      <c r="E944" t="s">
        <v>22</v>
      </c>
      <c r="F944" t="s">
        <v>7</v>
      </c>
      <c r="G944" t="s">
        <v>17</v>
      </c>
      <c r="H944" s="1">
        <v>3</v>
      </c>
      <c r="I944" s="1">
        <v>7094</v>
      </c>
      <c r="J944" t="s">
        <v>9</v>
      </c>
      <c r="K944" s="1">
        <v>12</v>
      </c>
      <c r="L944" s="1">
        <v>3</v>
      </c>
      <c r="M944" s="1">
        <v>10</v>
      </c>
      <c r="N944" s="1">
        <v>3</v>
      </c>
      <c r="O944" s="1">
        <v>7</v>
      </c>
      <c r="P944" s="1">
        <f>COUNTIF(HR_Data[Employee Number],HR_Data[[#This Row],[Employee Number]])</f>
        <v>1</v>
      </c>
      <c r="Q944" s="1" t="str">
        <f>IF(HR_Data[[#This Row],[Years At Company]]&lt;=HR_Data[[#This Row],[Total Working Years]],"Valid","error")</f>
        <v>Valid</v>
      </c>
      <c r="R944" s="1" t="str" cm="1">
        <f t="array" ref="R944">_xlfn.IFS(HR_Data[[#This Row],[Age]]&lt;=30,"Young", HR_Data[[#This Row],[Age]]&lt;=45,"Mid-Age",HR_Data[[#This Row],[Age]]&gt;45,"Senior")</f>
        <v>Mid-Age</v>
      </c>
      <c r="S944" s="1" t="str" cm="1">
        <f t="array" ref="S944">_xlfn.IFS(HR_Data[[#This Row],[Monthly Income]]&lt;5000,"Low", HR_Data[[#This Row],[Monthly Income]]&lt;10000,"Medium",TRUE,"High")</f>
        <v>Medium</v>
      </c>
      <c r="T944" s="1" t="str" cm="1">
        <f t="array" ref="T944">_xlfn.IFS(HR_Data[[#This Row],[Total Working Years]]&lt;=5,"Junior", HR_Data[[#This Row],[Total Working Years]]&lt;=15,"Mid-Level", TRUE, "Senior")</f>
        <v>Mid-Level</v>
      </c>
    </row>
    <row r="945" spans="1:20" x14ac:dyDescent="0.25">
      <c r="A945" s="1">
        <v>1314</v>
      </c>
      <c r="B945" s="1">
        <v>46</v>
      </c>
      <c r="C945" t="s">
        <v>9</v>
      </c>
      <c r="D945" t="s">
        <v>23</v>
      </c>
      <c r="E945" t="s">
        <v>6</v>
      </c>
      <c r="F945" t="s">
        <v>7</v>
      </c>
      <c r="G945" t="s">
        <v>23</v>
      </c>
      <c r="H945" s="1">
        <v>1</v>
      </c>
      <c r="I945" s="1">
        <v>3423</v>
      </c>
      <c r="J945" t="s">
        <v>9</v>
      </c>
      <c r="K945" s="1">
        <v>12</v>
      </c>
      <c r="L945" s="1">
        <v>3</v>
      </c>
      <c r="M945" s="1">
        <v>10</v>
      </c>
      <c r="N945" s="1">
        <v>4</v>
      </c>
      <c r="O945" s="1">
        <v>7</v>
      </c>
      <c r="P945" s="1">
        <f>COUNTIF(HR_Data[Employee Number],HR_Data[[#This Row],[Employee Number]])</f>
        <v>1</v>
      </c>
      <c r="Q945" s="1" t="str">
        <f>IF(HR_Data[[#This Row],[Years At Company]]&lt;=HR_Data[[#This Row],[Total Working Years]],"Valid","error")</f>
        <v>Valid</v>
      </c>
      <c r="R945" s="1" t="str" cm="1">
        <f t="array" ref="R945">_xlfn.IFS(HR_Data[[#This Row],[Age]]&lt;=30,"Young", HR_Data[[#This Row],[Age]]&lt;=45,"Mid-Age",HR_Data[[#This Row],[Age]]&gt;45,"Senior")</f>
        <v>Senior</v>
      </c>
      <c r="S945" s="1" t="str" cm="1">
        <f t="array" ref="S945">_xlfn.IFS(HR_Data[[#This Row],[Monthly Income]]&lt;5000,"Low", HR_Data[[#This Row],[Monthly Income]]&lt;10000,"Medium",TRUE,"High")</f>
        <v>Low</v>
      </c>
      <c r="T945" s="1" t="str" cm="1">
        <f t="array" ref="T945">_xlfn.IFS(HR_Data[[#This Row],[Total Working Years]]&lt;=5,"Junior", HR_Data[[#This Row],[Total Working Years]]&lt;=15,"Mid-Level", TRUE, "Senior")</f>
        <v>Mid-Level</v>
      </c>
    </row>
    <row r="946" spans="1:20" x14ac:dyDescent="0.25">
      <c r="A946" s="1">
        <v>1315</v>
      </c>
      <c r="B946" s="1">
        <v>28</v>
      </c>
      <c r="C946" t="s">
        <v>9</v>
      </c>
      <c r="D946" t="s">
        <v>10</v>
      </c>
      <c r="E946" t="s">
        <v>6</v>
      </c>
      <c r="F946" t="s">
        <v>7</v>
      </c>
      <c r="G946" t="s">
        <v>14</v>
      </c>
      <c r="H946" s="1">
        <v>4</v>
      </c>
      <c r="I946" s="1">
        <v>6674</v>
      </c>
      <c r="J946" t="s">
        <v>9</v>
      </c>
      <c r="K946" s="1">
        <v>11</v>
      </c>
      <c r="L946" s="1">
        <v>3</v>
      </c>
      <c r="M946" s="1">
        <v>10</v>
      </c>
      <c r="N946" s="1">
        <v>3</v>
      </c>
      <c r="O946" s="1">
        <v>9</v>
      </c>
      <c r="P946" s="1">
        <f>COUNTIF(HR_Data[Employee Number],HR_Data[[#This Row],[Employee Number]])</f>
        <v>1</v>
      </c>
      <c r="Q946" s="1" t="str">
        <f>IF(HR_Data[[#This Row],[Years At Company]]&lt;=HR_Data[[#This Row],[Total Working Years]],"Valid","error")</f>
        <v>Valid</v>
      </c>
      <c r="R946" s="1" t="str" cm="1">
        <f t="array" ref="R946">_xlfn.IFS(HR_Data[[#This Row],[Age]]&lt;=30,"Young", HR_Data[[#This Row],[Age]]&lt;=45,"Mid-Age",HR_Data[[#This Row],[Age]]&gt;45,"Senior")</f>
        <v>Young</v>
      </c>
      <c r="S946" s="1" t="str" cm="1">
        <f t="array" ref="S946">_xlfn.IFS(HR_Data[[#This Row],[Monthly Income]]&lt;5000,"Low", HR_Data[[#This Row],[Monthly Income]]&lt;10000,"Medium",TRUE,"High")</f>
        <v>Medium</v>
      </c>
      <c r="T946" s="1" t="str" cm="1">
        <f t="array" ref="T946">_xlfn.IFS(HR_Data[[#This Row],[Total Working Years]]&lt;=5,"Junior", HR_Data[[#This Row],[Total Working Years]]&lt;=15,"Mid-Level", TRUE, "Senior")</f>
        <v>Mid-Level</v>
      </c>
    </row>
    <row r="947" spans="1:20" x14ac:dyDescent="0.25">
      <c r="A947" s="1">
        <v>1317</v>
      </c>
      <c r="B947" s="1">
        <v>50</v>
      </c>
      <c r="C947" t="s">
        <v>9</v>
      </c>
      <c r="D947" t="s">
        <v>10</v>
      </c>
      <c r="E947" t="s">
        <v>6</v>
      </c>
      <c r="F947" t="s">
        <v>7</v>
      </c>
      <c r="G947" t="s">
        <v>20</v>
      </c>
      <c r="H947" s="1">
        <v>1</v>
      </c>
      <c r="I947" s="1">
        <v>16880</v>
      </c>
      <c r="J947" t="s">
        <v>4</v>
      </c>
      <c r="K947" s="1">
        <v>11</v>
      </c>
      <c r="L947" s="1">
        <v>3</v>
      </c>
      <c r="M947" s="1">
        <v>25</v>
      </c>
      <c r="N947" s="1">
        <v>3</v>
      </c>
      <c r="O947" s="1">
        <v>3</v>
      </c>
      <c r="P947" s="1">
        <f>COUNTIF(HR_Data[Employee Number],HR_Data[[#This Row],[Employee Number]])</f>
        <v>1</v>
      </c>
      <c r="Q947" s="1" t="str">
        <f>IF(HR_Data[[#This Row],[Years At Company]]&lt;=HR_Data[[#This Row],[Total Working Years]],"Valid","error")</f>
        <v>Valid</v>
      </c>
      <c r="R947" s="1" t="str" cm="1">
        <f t="array" ref="R947">_xlfn.IFS(HR_Data[[#This Row],[Age]]&lt;=30,"Young", HR_Data[[#This Row],[Age]]&lt;=45,"Mid-Age",HR_Data[[#This Row],[Age]]&gt;45,"Senior")</f>
        <v>Senior</v>
      </c>
      <c r="S947" s="1" t="str" cm="1">
        <f t="array" ref="S947">_xlfn.IFS(HR_Data[[#This Row],[Monthly Income]]&lt;5000,"Low", HR_Data[[#This Row],[Monthly Income]]&lt;10000,"Medium",TRUE,"High")</f>
        <v>High</v>
      </c>
      <c r="T947" s="1" t="str" cm="1">
        <f t="array" ref="T947">_xlfn.IFS(HR_Data[[#This Row],[Total Working Years]]&lt;=5,"Junior", HR_Data[[#This Row],[Total Working Years]]&lt;=15,"Mid-Level", TRUE, "Senior")</f>
        <v>Senior</v>
      </c>
    </row>
    <row r="948" spans="1:20" x14ac:dyDescent="0.25">
      <c r="A948" s="1">
        <v>1318</v>
      </c>
      <c r="B948" s="1">
        <v>40</v>
      </c>
      <c r="C948" t="s">
        <v>4</v>
      </c>
      <c r="D948" t="s">
        <v>5</v>
      </c>
      <c r="E948" t="s">
        <v>21</v>
      </c>
      <c r="F948" t="s">
        <v>11</v>
      </c>
      <c r="G948" t="s">
        <v>8</v>
      </c>
      <c r="H948" s="1">
        <v>2</v>
      </c>
      <c r="I948" s="1">
        <v>9094</v>
      </c>
      <c r="J948" t="s">
        <v>4</v>
      </c>
      <c r="K948" s="1">
        <v>12</v>
      </c>
      <c r="L948" s="1">
        <v>3</v>
      </c>
      <c r="M948" s="1">
        <v>9</v>
      </c>
      <c r="N948" s="1">
        <v>3</v>
      </c>
      <c r="O948" s="1">
        <v>5</v>
      </c>
      <c r="P948" s="1">
        <f>COUNTIF(HR_Data[Employee Number],HR_Data[[#This Row],[Employee Number]])</f>
        <v>1</v>
      </c>
      <c r="Q948" s="1" t="str">
        <f>IF(HR_Data[[#This Row],[Years At Company]]&lt;=HR_Data[[#This Row],[Total Working Years]],"Valid","error")</f>
        <v>Valid</v>
      </c>
      <c r="R948" s="1" t="str" cm="1">
        <f t="array" ref="R948">_xlfn.IFS(HR_Data[[#This Row],[Age]]&lt;=30,"Young", HR_Data[[#This Row],[Age]]&lt;=45,"Mid-Age",HR_Data[[#This Row],[Age]]&gt;45,"Senior")</f>
        <v>Mid-Age</v>
      </c>
      <c r="S948" s="1" t="str" cm="1">
        <f t="array" ref="S948">_xlfn.IFS(HR_Data[[#This Row],[Monthly Income]]&lt;5000,"Low", HR_Data[[#This Row],[Monthly Income]]&lt;10000,"Medium",TRUE,"High")</f>
        <v>Medium</v>
      </c>
      <c r="T948" s="1" t="str" cm="1">
        <f t="array" ref="T948">_xlfn.IFS(HR_Data[[#This Row],[Total Working Years]]&lt;=5,"Junior", HR_Data[[#This Row],[Total Working Years]]&lt;=15,"Mid-Level", TRUE, "Senior")</f>
        <v>Mid-Level</v>
      </c>
    </row>
    <row r="949" spans="1:20" x14ac:dyDescent="0.25">
      <c r="A949" s="1">
        <v>1319</v>
      </c>
      <c r="B949" s="1">
        <v>52</v>
      </c>
      <c r="C949" t="s">
        <v>4</v>
      </c>
      <c r="D949" t="s">
        <v>5</v>
      </c>
      <c r="E949" t="s">
        <v>6</v>
      </c>
      <c r="F949" t="s">
        <v>11</v>
      </c>
      <c r="G949" t="s">
        <v>8</v>
      </c>
      <c r="H949" s="1">
        <v>2</v>
      </c>
      <c r="I949" s="1">
        <v>8446</v>
      </c>
      <c r="J949" t="s">
        <v>4</v>
      </c>
      <c r="K949" s="1">
        <v>19</v>
      </c>
      <c r="L949" s="1">
        <v>3</v>
      </c>
      <c r="M949" s="1">
        <v>10</v>
      </c>
      <c r="N949" s="1">
        <v>2</v>
      </c>
      <c r="O949" s="1">
        <v>8</v>
      </c>
      <c r="P949" s="1">
        <f>COUNTIF(HR_Data[Employee Number],HR_Data[[#This Row],[Employee Number]])</f>
        <v>1</v>
      </c>
      <c r="Q949" s="1" t="str">
        <f>IF(HR_Data[[#This Row],[Years At Company]]&lt;=HR_Data[[#This Row],[Total Working Years]],"Valid","error")</f>
        <v>Valid</v>
      </c>
      <c r="R949" s="1" t="str" cm="1">
        <f t="array" ref="R949">_xlfn.IFS(HR_Data[[#This Row],[Age]]&lt;=30,"Young", HR_Data[[#This Row],[Age]]&lt;=45,"Mid-Age",HR_Data[[#This Row],[Age]]&gt;45,"Senior")</f>
        <v>Senior</v>
      </c>
      <c r="S949" s="1" t="str" cm="1">
        <f t="array" ref="S949">_xlfn.IFS(HR_Data[[#This Row],[Monthly Income]]&lt;5000,"Low", HR_Data[[#This Row],[Monthly Income]]&lt;10000,"Medium",TRUE,"High")</f>
        <v>Medium</v>
      </c>
      <c r="T949" s="1" t="str" cm="1">
        <f t="array" ref="T949">_xlfn.IFS(HR_Data[[#This Row],[Total Working Years]]&lt;=5,"Junior", HR_Data[[#This Row],[Total Working Years]]&lt;=15,"Mid-Level", TRUE, "Senior")</f>
        <v>Mid-Level</v>
      </c>
    </row>
    <row r="950" spans="1:20" x14ac:dyDescent="0.25">
      <c r="A950" s="1">
        <v>1321</v>
      </c>
      <c r="B950" s="1">
        <v>30</v>
      </c>
      <c r="C950" t="s">
        <v>9</v>
      </c>
      <c r="D950" t="s">
        <v>10</v>
      </c>
      <c r="E950" t="s">
        <v>15</v>
      </c>
      <c r="F950" t="s">
        <v>7</v>
      </c>
      <c r="G950" t="s">
        <v>18</v>
      </c>
      <c r="H950" s="1">
        <v>1</v>
      </c>
      <c r="I950" s="1">
        <v>11916</v>
      </c>
      <c r="J950" t="s">
        <v>4</v>
      </c>
      <c r="K950" s="1">
        <v>23</v>
      </c>
      <c r="L950" s="1">
        <v>4</v>
      </c>
      <c r="M950" s="1">
        <v>9</v>
      </c>
      <c r="N950" s="1">
        <v>3</v>
      </c>
      <c r="O950" s="1">
        <v>9</v>
      </c>
      <c r="P950" s="1">
        <f>COUNTIF(HR_Data[Employee Number],HR_Data[[#This Row],[Employee Number]])</f>
        <v>1</v>
      </c>
      <c r="Q950" s="1" t="str">
        <f>IF(HR_Data[[#This Row],[Years At Company]]&lt;=HR_Data[[#This Row],[Total Working Years]],"Valid","error")</f>
        <v>Valid</v>
      </c>
      <c r="R950" s="1" t="str" cm="1">
        <f t="array" ref="R950">_xlfn.IFS(HR_Data[[#This Row],[Age]]&lt;=30,"Young", HR_Data[[#This Row],[Age]]&lt;=45,"Mid-Age",HR_Data[[#This Row],[Age]]&gt;45,"Senior")</f>
        <v>Young</v>
      </c>
      <c r="S950" s="1" t="str" cm="1">
        <f t="array" ref="S950">_xlfn.IFS(HR_Data[[#This Row],[Monthly Income]]&lt;5000,"Low", HR_Data[[#This Row],[Monthly Income]]&lt;10000,"Medium",TRUE,"High")</f>
        <v>High</v>
      </c>
      <c r="T950" s="1" t="str" cm="1">
        <f t="array" ref="T950">_xlfn.IFS(HR_Data[[#This Row],[Total Working Years]]&lt;=5,"Junior", HR_Data[[#This Row],[Total Working Years]]&lt;=15,"Mid-Level", TRUE, "Senior")</f>
        <v>Mid-Level</v>
      </c>
    </row>
    <row r="951" spans="1:20" x14ac:dyDescent="0.25">
      <c r="A951" s="1">
        <v>1322</v>
      </c>
      <c r="B951" s="1">
        <v>39</v>
      </c>
      <c r="C951" t="s">
        <v>9</v>
      </c>
      <c r="D951" t="s">
        <v>10</v>
      </c>
      <c r="E951" t="s">
        <v>6</v>
      </c>
      <c r="F951" t="s">
        <v>11</v>
      </c>
      <c r="G951" t="s">
        <v>16</v>
      </c>
      <c r="H951" s="1">
        <v>3</v>
      </c>
      <c r="I951" s="1">
        <v>4534</v>
      </c>
      <c r="J951" t="s">
        <v>9</v>
      </c>
      <c r="K951" s="1">
        <v>11</v>
      </c>
      <c r="L951" s="1">
        <v>3</v>
      </c>
      <c r="M951" s="1">
        <v>9</v>
      </c>
      <c r="N951" s="1">
        <v>3</v>
      </c>
      <c r="O951" s="1">
        <v>8</v>
      </c>
      <c r="P951" s="1">
        <f>COUNTIF(HR_Data[Employee Number],HR_Data[[#This Row],[Employee Number]])</f>
        <v>1</v>
      </c>
      <c r="Q951" s="1" t="str">
        <f>IF(HR_Data[[#This Row],[Years At Company]]&lt;=HR_Data[[#This Row],[Total Working Years]],"Valid","error")</f>
        <v>Valid</v>
      </c>
      <c r="R951" s="1" t="str" cm="1">
        <f t="array" ref="R951">_xlfn.IFS(HR_Data[[#This Row],[Age]]&lt;=30,"Young", HR_Data[[#This Row],[Age]]&lt;=45,"Mid-Age",HR_Data[[#This Row],[Age]]&gt;45,"Senior")</f>
        <v>Mid-Age</v>
      </c>
      <c r="S951" s="1" t="str" cm="1">
        <f t="array" ref="S951">_xlfn.IFS(HR_Data[[#This Row],[Monthly Income]]&lt;5000,"Low", HR_Data[[#This Row],[Monthly Income]]&lt;10000,"Medium",TRUE,"High")</f>
        <v>Low</v>
      </c>
      <c r="T951" s="1" t="str" cm="1">
        <f t="array" ref="T951">_xlfn.IFS(HR_Data[[#This Row],[Total Working Years]]&lt;=5,"Junior", HR_Data[[#This Row],[Total Working Years]]&lt;=15,"Mid-Level", TRUE, "Senior")</f>
        <v>Mid-Level</v>
      </c>
    </row>
    <row r="952" spans="1:20" x14ac:dyDescent="0.25">
      <c r="A952" s="1">
        <v>1324</v>
      </c>
      <c r="B952" s="1">
        <v>31</v>
      </c>
      <c r="C952" t="s">
        <v>9</v>
      </c>
      <c r="D952" t="s">
        <v>5</v>
      </c>
      <c r="E952" t="s">
        <v>6</v>
      </c>
      <c r="F952" t="s">
        <v>7</v>
      </c>
      <c r="G952" t="s">
        <v>8</v>
      </c>
      <c r="H952" s="1">
        <v>3</v>
      </c>
      <c r="I952" s="1">
        <v>9852</v>
      </c>
      <c r="J952" t="s">
        <v>4</v>
      </c>
      <c r="K952" s="1">
        <v>19</v>
      </c>
      <c r="L952" s="1">
        <v>3</v>
      </c>
      <c r="M952" s="1">
        <v>10</v>
      </c>
      <c r="N952" s="1">
        <v>2</v>
      </c>
      <c r="O952" s="1">
        <v>10</v>
      </c>
      <c r="P952" s="1">
        <f>COUNTIF(HR_Data[Employee Number],HR_Data[[#This Row],[Employee Number]])</f>
        <v>1</v>
      </c>
      <c r="Q952" s="1" t="str">
        <f>IF(HR_Data[[#This Row],[Years At Company]]&lt;=HR_Data[[#This Row],[Total Working Years]],"Valid","error")</f>
        <v>Valid</v>
      </c>
      <c r="R952" s="1" t="str" cm="1">
        <f t="array" ref="R952">_xlfn.IFS(HR_Data[[#This Row],[Age]]&lt;=30,"Young", HR_Data[[#This Row],[Age]]&lt;=45,"Mid-Age",HR_Data[[#This Row],[Age]]&gt;45,"Senior")</f>
        <v>Mid-Age</v>
      </c>
      <c r="S952" s="1" t="str" cm="1">
        <f t="array" ref="S952">_xlfn.IFS(HR_Data[[#This Row],[Monthly Income]]&lt;5000,"Low", HR_Data[[#This Row],[Monthly Income]]&lt;10000,"Medium",TRUE,"High")</f>
        <v>Medium</v>
      </c>
      <c r="T952" s="1" t="str" cm="1">
        <f t="array" ref="T952">_xlfn.IFS(HR_Data[[#This Row],[Total Working Years]]&lt;=5,"Junior", HR_Data[[#This Row],[Total Working Years]]&lt;=15,"Mid-Level", TRUE, "Senior")</f>
        <v>Mid-Level</v>
      </c>
    </row>
    <row r="953" spans="1:20" x14ac:dyDescent="0.25">
      <c r="A953" s="1">
        <v>1329</v>
      </c>
      <c r="B953" s="1">
        <v>41</v>
      </c>
      <c r="C953" t="s">
        <v>9</v>
      </c>
      <c r="D953" t="s">
        <v>5</v>
      </c>
      <c r="E953" t="s">
        <v>15</v>
      </c>
      <c r="F953" t="s">
        <v>11</v>
      </c>
      <c r="G953" t="s">
        <v>8</v>
      </c>
      <c r="H953" s="1">
        <v>2</v>
      </c>
      <c r="I953" s="1">
        <v>6151</v>
      </c>
      <c r="J953" t="s">
        <v>9</v>
      </c>
      <c r="K953" s="1">
        <v>13</v>
      </c>
      <c r="L953" s="1">
        <v>3</v>
      </c>
      <c r="M953" s="1">
        <v>19</v>
      </c>
      <c r="N953" s="1">
        <v>3</v>
      </c>
      <c r="O953" s="1">
        <v>19</v>
      </c>
      <c r="P953" s="1">
        <f>COUNTIF(HR_Data[Employee Number],HR_Data[[#This Row],[Employee Number]])</f>
        <v>1</v>
      </c>
      <c r="Q953" s="1" t="str">
        <f>IF(HR_Data[[#This Row],[Years At Company]]&lt;=HR_Data[[#This Row],[Total Working Years]],"Valid","error")</f>
        <v>Valid</v>
      </c>
      <c r="R953" s="1" t="str" cm="1">
        <f t="array" ref="R953">_xlfn.IFS(HR_Data[[#This Row],[Age]]&lt;=30,"Young", HR_Data[[#This Row],[Age]]&lt;=45,"Mid-Age",HR_Data[[#This Row],[Age]]&gt;45,"Senior")</f>
        <v>Mid-Age</v>
      </c>
      <c r="S953" s="1" t="str" cm="1">
        <f t="array" ref="S953">_xlfn.IFS(HR_Data[[#This Row],[Monthly Income]]&lt;5000,"Low", HR_Data[[#This Row],[Monthly Income]]&lt;10000,"Medium",TRUE,"High")</f>
        <v>Medium</v>
      </c>
      <c r="T953" s="1" t="str" cm="1">
        <f t="array" ref="T953">_xlfn.IFS(HR_Data[[#This Row],[Total Working Years]]&lt;=5,"Junior", HR_Data[[#This Row],[Total Working Years]]&lt;=15,"Mid-Level", TRUE, "Senior")</f>
        <v>Senior</v>
      </c>
    </row>
    <row r="954" spans="1:20" x14ac:dyDescent="0.25">
      <c r="A954" s="1">
        <v>1331</v>
      </c>
      <c r="B954" s="1">
        <v>31</v>
      </c>
      <c r="C954" t="s">
        <v>4</v>
      </c>
      <c r="D954" t="s">
        <v>5</v>
      </c>
      <c r="E954" t="s">
        <v>6</v>
      </c>
      <c r="F954" t="s">
        <v>7</v>
      </c>
      <c r="G954" t="s">
        <v>19</v>
      </c>
      <c r="H954" s="1">
        <v>2</v>
      </c>
      <c r="I954" s="1">
        <v>2302</v>
      </c>
      <c r="J954" t="s">
        <v>4</v>
      </c>
      <c r="K954" s="1">
        <v>11</v>
      </c>
      <c r="L954" s="1">
        <v>3</v>
      </c>
      <c r="M954" s="1">
        <v>3</v>
      </c>
      <c r="N954" s="1">
        <v>4</v>
      </c>
      <c r="O954" s="1">
        <v>3</v>
      </c>
      <c r="P954" s="1">
        <f>COUNTIF(HR_Data[Employee Number],HR_Data[[#This Row],[Employee Number]])</f>
        <v>1</v>
      </c>
      <c r="Q954" s="1" t="str">
        <f>IF(HR_Data[[#This Row],[Years At Company]]&lt;=HR_Data[[#This Row],[Total Working Years]],"Valid","error")</f>
        <v>Valid</v>
      </c>
      <c r="R954" s="1" t="str" cm="1">
        <f t="array" ref="R954">_xlfn.IFS(HR_Data[[#This Row],[Age]]&lt;=30,"Young", HR_Data[[#This Row],[Age]]&lt;=45,"Mid-Age",HR_Data[[#This Row],[Age]]&gt;45,"Senior")</f>
        <v>Mid-Age</v>
      </c>
      <c r="S954" s="1" t="str" cm="1">
        <f t="array" ref="S954">_xlfn.IFS(HR_Data[[#This Row],[Monthly Income]]&lt;5000,"Low", HR_Data[[#This Row],[Monthly Income]]&lt;10000,"Medium",TRUE,"High")</f>
        <v>Low</v>
      </c>
      <c r="T954" s="1" t="str" cm="1">
        <f t="array" ref="T954">_xlfn.IFS(HR_Data[[#This Row],[Total Working Years]]&lt;=5,"Junior", HR_Data[[#This Row],[Total Working Years]]&lt;=15,"Mid-Level", TRUE, "Senior")</f>
        <v>Junior</v>
      </c>
    </row>
    <row r="955" spans="1:20" x14ac:dyDescent="0.25">
      <c r="A955" s="1">
        <v>1333</v>
      </c>
      <c r="B955" s="1">
        <v>44</v>
      </c>
      <c r="C955" t="s">
        <v>4</v>
      </c>
      <c r="D955" t="s">
        <v>10</v>
      </c>
      <c r="E955" t="s">
        <v>6</v>
      </c>
      <c r="F955" t="s">
        <v>11</v>
      </c>
      <c r="G955" t="s">
        <v>14</v>
      </c>
      <c r="H955" s="1">
        <v>1</v>
      </c>
      <c r="I955" s="1">
        <v>2362</v>
      </c>
      <c r="J955" t="s">
        <v>9</v>
      </c>
      <c r="K955" s="1">
        <v>12</v>
      </c>
      <c r="L955" s="1">
        <v>3</v>
      </c>
      <c r="M955" s="1">
        <v>10</v>
      </c>
      <c r="N955" s="1">
        <v>4</v>
      </c>
      <c r="O955" s="1">
        <v>3</v>
      </c>
      <c r="P955" s="1">
        <f>COUNTIF(HR_Data[Employee Number],HR_Data[[#This Row],[Employee Number]])</f>
        <v>1</v>
      </c>
      <c r="Q955" s="1" t="str">
        <f>IF(HR_Data[[#This Row],[Years At Company]]&lt;=HR_Data[[#This Row],[Total Working Years]],"Valid","error")</f>
        <v>Valid</v>
      </c>
      <c r="R955" s="1" t="str" cm="1">
        <f t="array" ref="R955">_xlfn.IFS(HR_Data[[#This Row],[Age]]&lt;=30,"Young", HR_Data[[#This Row],[Age]]&lt;=45,"Mid-Age",HR_Data[[#This Row],[Age]]&gt;45,"Senior")</f>
        <v>Mid-Age</v>
      </c>
      <c r="S955" s="1" t="str" cm="1">
        <f t="array" ref="S955">_xlfn.IFS(HR_Data[[#This Row],[Monthly Income]]&lt;5000,"Low", HR_Data[[#This Row],[Monthly Income]]&lt;10000,"Medium",TRUE,"High")</f>
        <v>Low</v>
      </c>
      <c r="T955" s="1" t="str" cm="1">
        <f t="array" ref="T955">_xlfn.IFS(HR_Data[[#This Row],[Total Working Years]]&lt;=5,"Junior", HR_Data[[#This Row],[Total Working Years]]&lt;=15,"Mid-Level", TRUE, "Senior")</f>
        <v>Mid-Level</v>
      </c>
    </row>
    <row r="956" spans="1:20" x14ac:dyDescent="0.25">
      <c r="A956" s="1">
        <v>1334</v>
      </c>
      <c r="B956" s="1">
        <v>42</v>
      </c>
      <c r="C956" t="s">
        <v>9</v>
      </c>
      <c r="D956" t="s">
        <v>10</v>
      </c>
      <c r="E956" t="s">
        <v>6</v>
      </c>
      <c r="F956" t="s">
        <v>11</v>
      </c>
      <c r="G956" t="s">
        <v>18</v>
      </c>
      <c r="H956" s="1">
        <v>3</v>
      </c>
      <c r="I956" s="1">
        <v>17861</v>
      </c>
      <c r="J956" t="s">
        <v>4</v>
      </c>
      <c r="K956" s="1">
        <v>13</v>
      </c>
      <c r="L956" s="1">
        <v>3</v>
      </c>
      <c r="M956" s="1">
        <v>21</v>
      </c>
      <c r="N956" s="1">
        <v>2</v>
      </c>
      <c r="O956" s="1">
        <v>20</v>
      </c>
      <c r="P956" s="1">
        <f>COUNTIF(HR_Data[Employee Number],HR_Data[[#This Row],[Employee Number]])</f>
        <v>1</v>
      </c>
      <c r="Q956" s="1" t="str">
        <f>IF(HR_Data[[#This Row],[Years At Company]]&lt;=HR_Data[[#This Row],[Total Working Years]],"Valid","error")</f>
        <v>Valid</v>
      </c>
      <c r="R956" s="1" t="str" cm="1">
        <f t="array" ref="R956">_xlfn.IFS(HR_Data[[#This Row],[Age]]&lt;=30,"Young", HR_Data[[#This Row],[Age]]&lt;=45,"Mid-Age",HR_Data[[#This Row],[Age]]&gt;45,"Senior")</f>
        <v>Mid-Age</v>
      </c>
      <c r="S956" s="1" t="str" cm="1">
        <f t="array" ref="S956">_xlfn.IFS(HR_Data[[#This Row],[Monthly Income]]&lt;5000,"Low", HR_Data[[#This Row],[Monthly Income]]&lt;10000,"Medium",TRUE,"High")</f>
        <v>High</v>
      </c>
      <c r="T956" s="1" t="str" cm="1">
        <f t="array" ref="T956">_xlfn.IFS(HR_Data[[#This Row],[Total Working Years]]&lt;=5,"Junior", HR_Data[[#This Row],[Total Working Years]]&lt;=15,"Mid-Level", TRUE, "Senior")</f>
        <v>Senior</v>
      </c>
    </row>
    <row r="957" spans="1:20" x14ac:dyDescent="0.25">
      <c r="A957" s="1">
        <v>1336</v>
      </c>
      <c r="B957" s="1">
        <v>55</v>
      </c>
      <c r="C957" t="s">
        <v>9</v>
      </c>
      <c r="D957" t="s">
        <v>10</v>
      </c>
      <c r="E957" t="s">
        <v>15</v>
      </c>
      <c r="F957" t="s">
        <v>7</v>
      </c>
      <c r="G957" t="s">
        <v>18</v>
      </c>
      <c r="H957" s="1">
        <v>3</v>
      </c>
      <c r="I957" s="1">
        <v>19187</v>
      </c>
      <c r="J957" t="s">
        <v>9</v>
      </c>
      <c r="K957" s="1">
        <v>14</v>
      </c>
      <c r="L957" s="1">
        <v>3</v>
      </c>
      <c r="M957" s="1">
        <v>23</v>
      </c>
      <c r="N957" s="1">
        <v>3</v>
      </c>
      <c r="O957" s="1">
        <v>19</v>
      </c>
      <c r="P957" s="1">
        <f>COUNTIF(HR_Data[Employee Number],HR_Data[[#This Row],[Employee Number]])</f>
        <v>1</v>
      </c>
      <c r="Q957" s="1" t="str">
        <f>IF(HR_Data[[#This Row],[Years At Company]]&lt;=HR_Data[[#This Row],[Total Working Years]],"Valid","error")</f>
        <v>Valid</v>
      </c>
      <c r="R957" s="1" t="str" cm="1">
        <f t="array" ref="R957">_xlfn.IFS(HR_Data[[#This Row],[Age]]&lt;=30,"Young", HR_Data[[#This Row],[Age]]&lt;=45,"Mid-Age",HR_Data[[#This Row],[Age]]&gt;45,"Senior")</f>
        <v>Senior</v>
      </c>
      <c r="S957" s="1" t="str" cm="1">
        <f t="array" ref="S957">_xlfn.IFS(HR_Data[[#This Row],[Monthly Income]]&lt;5000,"Low", HR_Data[[#This Row],[Monthly Income]]&lt;10000,"Medium",TRUE,"High")</f>
        <v>High</v>
      </c>
      <c r="T957" s="1" t="str" cm="1">
        <f t="array" ref="T957">_xlfn.IFS(HR_Data[[#This Row],[Total Working Years]]&lt;=5,"Junior", HR_Data[[#This Row],[Total Working Years]]&lt;=15,"Mid-Level", TRUE, "Senior")</f>
        <v>Senior</v>
      </c>
    </row>
    <row r="958" spans="1:20" x14ac:dyDescent="0.25">
      <c r="A958" s="1">
        <v>1338</v>
      </c>
      <c r="B958" s="1">
        <v>56</v>
      </c>
      <c r="C958" t="s">
        <v>9</v>
      </c>
      <c r="D958" t="s">
        <v>23</v>
      </c>
      <c r="E958" t="s">
        <v>6</v>
      </c>
      <c r="F958" t="s">
        <v>11</v>
      </c>
      <c r="G958" t="s">
        <v>18</v>
      </c>
      <c r="H958" s="1">
        <v>2</v>
      </c>
      <c r="I958" s="1">
        <v>19717</v>
      </c>
      <c r="J958" t="s">
        <v>9</v>
      </c>
      <c r="K958" s="1">
        <v>14</v>
      </c>
      <c r="L958" s="1">
        <v>3</v>
      </c>
      <c r="M958" s="1">
        <v>36</v>
      </c>
      <c r="N958" s="1">
        <v>3</v>
      </c>
      <c r="O958" s="1">
        <v>7</v>
      </c>
      <c r="P958" s="1">
        <f>COUNTIF(HR_Data[Employee Number],HR_Data[[#This Row],[Employee Number]])</f>
        <v>1</v>
      </c>
      <c r="Q958" s="1" t="str">
        <f>IF(HR_Data[[#This Row],[Years At Company]]&lt;=HR_Data[[#This Row],[Total Working Years]],"Valid","error")</f>
        <v>Valid</v>
      </c>
      <c r="R958" s="1" t="str" cm="1">
        <f t="array" ref="R958">_xlfn.IFS(HR_Data[[#This Row],[Age]]&lt;=30,"Young", HR_Data[[#This Row],[Age]]&lt;=45,"Mid-Age",HR_Data[[#This Row],[Age]]&gt;45,"Senior")</f>
        <v>Senior</v>
      </c>
      <c r="S958" s="1" t="str" cm="1">
        <f t="array" ref="S958">_xlfn.IFS(HR_Data[[#This Row],[Monthly Income]]&lt;5000,"Low", HR_Data[[#This Row],[Monthly Income]]&lt;10000,"Medium",TRUE,"High")</f>
        <v>High</v>
      </c>
      <c r="T958" s="1" t="str" cm="1">
        <f t="array" ref="T958">_xlfn.IFS(HR_Data[[#This Row],[Total Working Years]]&lt;=5,"Junior", HR_Data[[#This Row],[Total Working Years]]&lt;=15,"Mid-Level", TRUE, "Senior")</f>
        <v>Senior</v>
      </c>
    </row>
    <row r="959" spans="1:20" x14ac:dyDescent="0.25">
      <c r="A959" s="1">
        <v>1340</v>
      </c>
      <c r="B959" s="1">
        <v>40</v>
      </c>
      <c r="C959" t="s">
        <v>9</v>
      </c>
      <c r="D959" t="s">
        <v>10</v>
      </c>
      <c r="E959" t="s">
        <v>6</v>
      </c>
      <c r="F959" t="s">
        <v>11</v>
      </c>
      <c r="G959" t="s">
        <v>12</v>
      </c>
      <c r="H959" s="1">
        <v>3</v>
      </c>
      <c r="I959" s="1">
        <v>3544</v>
      </c>
      <c r="J959" t="s">
        <v>9</v>
      </c>
      <c r="K959" s="1">
        <v>16</v>
      </c>
      <c r="L959" s="1">
        <v>3</v>
      </c>
      <c r="M959" s="1">
        <v>6</v>
      </c>
      <c r="N959" s="1">
        <v>3</v>
      </c>
      <c r="O959" s="1">
        <v>4</v>
      </c>
      <c r="P959" s="1">
        <f>COUNTIF(HR_Data[Employee Number],HR_Data[[#This Row],[Employee Number]])</f>
        <v>1</v>
      </c>
      <c r="Q959" s="1" t="str">
        <f>IF(HR_Data[[#This Row],[Years At Company]]&lt;=HR_Data[[#This Row],[Total Working Years]],"Valid","error")</f>
        <v>Valid</v>
      </c>
      <c r="R959" s="1" t="str" cm="1">
        <f t="array" ref="R959">_xlfn.IFS(HR_Data[[#This Row],[Age]]&lt;=30,"Young", HR_Data[[#This Row],[Age]]&lt;=45,"Mid-Age",HR_Data[[#This Row],[Age]]&gt;45,"Senior")</f>
        <v>Mid-Age</v>
      </c>
      <c r="S959" s="1" t="str" cm="1">
        <f t="array" ref="S959">_xlfn.IFS(HR_Data[[#This Row],[Monthly Income]]&lt;5000,"Low", HR_Data[[#This Row],[Monthly Income]]&lt;10000,"Medium",TRUE,"High")</f>
        <v>Low</v>
      </c>
      <c r="T959" s="1" t="str" cm="1">
        <f t="array" ref="T959">_xlfn.IFS(HR_Data[[#This Row],[Total Working Years]]&lt;=5,"Junior", HR_Data[[#This Row],[Total Working Years]]&lt;=15,"Mid-Level", TRUE, "Senior")</f>
        <v>Mid-Level</v>
      </c>
    </row>
    <row r="960" spans="1:20" x14ac:dyDescent="0.25">
      <c r="A960" s="1">
        <v>1344</v>
      </c>
      <c r="B960" s="1">
        <v>34</v>
      </c>
      <c r="C960" t="s">
        <v>9</v>
      </c>
      <c r="D960" t="s">
        <v>10</v>
      </c>
      <c r="E960" t="s">
        <v>6</v>
      </c>
      <c r="F960" t="s">
        <v>11</v>
      </c>
      <c r="G960" t="s">
        <v>17</v>
      </c>
      <c r="H960" s="1">
        <v>4</v>
      </c>
      <c r="I960" s="1">
        <v>8500</v>
      </c>
      <c r="J960" t="s">
        <v>9</v>
      </c>
      <c r="K960" s="1">
        <v>11</v>
      </c>
      <c r="L960" s="1">
        <v>3</v>
      </c>
      <c r="M960" s="1">
        <v>10</v>
      </c>
      <c r="N960" s="1">
        <v>2</v>
      </c>
      <c r="O960" s="1">
        <v>9</v>
      </c>
      <c r="P960" s="1">
        <f>COUNTIF(HR_Data[Employee Number],HR_Data[[#This Row],[Employee Number]])</f>
        <v>1</v>
      </c>
      <c r="Q960" s="1" t="str">
        <f>IF(HR_Data[[#This Row],[Years At Company]]&lt;=HR_Data[[#This Row],[Total Working Years]],"Valid","error")</f>
        <v>Valid</v>
      </c>
      <c r="R960" s="1" t="str" cm="1">
        <f t="array" ref="R960">_xlfn.IFS(HR_Data[[#This Row],[Age]]&lt;=30,"Young", HR_Data[[#This Row],[Age]]&lt;=45,"Mid-Age",HR_Data[[#This Row],[Age]]&gt;45,"Senior")</f>
        <v>Mid-Age</v>
      </c>
      <c r="S960" s="1" t="str" cm="1">
        <f t="array" ref="S960">_xlfn.IFS(HR_Data[[#This Row],[Monthly Income]]&lt;5000,"Low", HR_Data[[#This Row],[Monthly Income]]&lt;10000,"Medium",TRUE,"High")</f>
        <v>Medium</v>
      </c>
      <c r="T960" s="1" t="str" cm="1">
        <f t="array" ref="T960">_xlfn.IFS(HR_Data[[#This Row],[Total Working Years]]&lt;=5,"Junior", HR_Data[[#This Row],[Total Working Years]]&lt;=15,"Mid-Level", TRUE, "Senior")</f>
        <v>Mid-Level</v>
      </c>
    </row>
    <row r="961" spans="1:20" x14ac:dyDescent="0.25">
      <c r="A961" s="1">
        <v>1346</v>
      </c>
      <c r="B961" s="1">
        <v>40</v>
      </c>
      <c r="C961" t="s">
        <v>9</v>
      </c>
      <c r="D961" t="s">
        <v>10</v>
      </c>
      <c r="E961" t="s">
        <v>6</v>
      </c>
      <c r="F961" t="s">
        <v>11</v>
      </c>
      <c r="G961" t="s">
        <v>12</v>
      </c>
      <c r="H961" s="1">
        <v>4</v>
      </c>
      <c r="I961" s="1">
        <v>4661</v>
      </c>
      <c r="J961" t="s">
        <v>9</v>
      </c>
      <c r="K961" s="1">
        <v>13</v>
      </c>
      <c r="L961" s="1">
        <v>3</v>
      </c>
      <c r="M961" s="1">
        <v>9</v>
      </c>
      <c r="N961" s="1">
        <v>3</v>
      </c>
      <c r="O961" s="1">
        <v>9</v>
      </c>
      <c r="P961" s="1">
        <f>COUNTIF(HR_Data[Employee Number],HR_Data[[#This Row],[Employee Number]])</f>
        <v>1</v>
      </c>
      <c r="Q961" s="1" t="str">
        <f>IF(HR_Data[[#This Row],[Years At Company]]&lt;=HR_Data[[#This Row],[Total Working Years]],"Valid","error")</f>
        <v>Valid</v>
      </c>
      <c r="R961" s="1" t="str" cm="1">
        <f t="array" ref="R961">_xlfn.IFS(HR_Data[[#This Row],[Age]]&lt;=30,"Young", HR_Data[[#This Row],[Age]]&lt;=45,"Mid-Age",HR_Data[[#This Row],[Age]]&gt;45,"Senior")</f>
        <v>Mid-Age</v>
      </c>
      <c r="S961" s="1" t="str" cm="1">
        <f t="array" ref="S961">_xlfn.IFS(HR_Data[[#This Row],[Monthly Income]]&lt;5000,"Low", HR_Data[[#This Row],[Monthly Income]]&lt;10000,"Medium",TRUE,"High")</f>
        <v>Low</v>
      </c>
      <c r="T961" s="1" t="str" cm="1">
        <f t="array" ref="T961">_xlfn.IFS(HR_Data[[#This Row],[Total Working Years]]&lt;=5,"Junior", HR_Data[[#This Row],[Total Working Years]]&lt;=15,"Mid-Level", TRUE, "Senior")</f>
        <v>Mid-Level</v>
      </c>
    </row>
    <row r="962" spans="1:20" x14ac:dyDescent="0.25">
      <c r="A962" s="1">
        <v>1349</v>
      </c>
      <c r="B962" s="1">
        <v>41</v>
      </c>
      <c r="C962" t="s">
        <v>9</v>
      </c>
      <c r="D962" t="s">
        <v>5</v>
      </c>
      <c r="E962" t="s">
        <v>21</v>
      </c>
      <c r="F962" t="s">
        <v>7</v>
      </c>
      <c r="G962" t="s">
        <v>8</v>
      </c>
      <c r="H962" s="1">
        <v>1</v>
      </c>
      <c r="I962" s="1">
        <v>4103</v>
      </c>
      <c r="J962" t="s">
        <v>9</v>
      </c>
      <c r="K962" s="1">
        <v>17</v>
      </c>
      <c r="L962" s="1">
        <v>3</v>
      </c>
      <c r="M962" s="1">
        <v>10</v>
      </c>
      <c r="N962" s="1">
        <v>3</v>
      </c>
      <c r="O962" s="1">
        <v>9</v>
      </c>
      <c r="P962" s="1">
        <f>COUNTIF(HR_Data[Employee Number],HR_Data[[#This Row],[Employee Number]])</f>
        <v>1</v>
      </c>
      <c r="Q962" s="1" t="str">
        <f>IF(HR_Data[[#This Row],[Years At Company]]&lt;=HR_Data[[#This Row],[Total Working Years]],"Valid","error")</f>
        <v>Valid</v>
      </c>
      <c r="R962" s="1" t="str" cm="1">
        <f t="array" ref="R962">_xlfn.IFS(HR_Data[[#This Row],[Age]]&lt;=30,"Young", HR_Data[[#This Row],[Age]]&lt;=45,"Mid-Age",HR_Data[[#This Row],[Age]]&gt;45,"Senior")</f>
        <v>Mid-Age</v>
      </c>
      <c r="S962" s="1" t="str" cm="1">
        <f t="array" ref="S962">_xlfn.IFS(HR_Data[[#This Row],[Monthly Income]]&lt;5000,"Low", HR_Data[[#This Row],[Monthly Income]]&lt;10000,"Medium",TRUE,"High")</f>
        <v>Low</v>
      </c>
      <c r="T962" s="1" t="str" cm="1">
        <f t="array" ref="T962">_xlfn.IFS(HR_Data[[#This Row],[Total Working Years]]&lt;=5,"Junior", HR_Data[[#This Row],[Total Working Years]]&lt;=15,"Mid-Level", TRUE, "Senior")</f>
        <v>Mid-Level</v>
      </c>
    </row>
    <row r="963" spans="1:20" x14ac:dyDescent="0.25">
      <c r="A963" s="1">
        <v>1350</v>
      </c>
      <c r="B963" s="1">
        <v>35</v>
      </c>
      <c r="C963" t="s">
        <v>9</v>
      </c>
      <c r="D963" t="s">
        <v>10</v>
      </c>
      <c r="E963" t="s">
        <v>6</v>
      </c>
      <c r="F963" t="s">
        <v>11</v>
      </c>
      <c r="G963" t="s">
        <v>12</v>
      </c>
      <c r="H963" s="1">
        <v>3</v>
      </c>
      <c r="I963" s="1">
        <v>4249</v>
      </c>
      <c r="J963" t="s">
        <v>4</v>
      </c>
      <c r="K963" s="1">
        <v>11</v>
      </c>
      <c r="L963" s="1">
        <v>3</v>
      </c>
      <c r="M963" s="1">
        <v>9</v>
      </c>
      <c r="N963" s="1">
        <v>3</v>
      </c>
      <c r="O963" s="1">
        <v>9</v>
      </c>
      <c r="P963" s="1">
        <f>COUNTIF(HR_Data[Employee Number],HR_Data[[#This Row],[Employee Number]])</f>
        <v>1</v>
      </c>
      <c r="Q963" s="1" t="str">
        <f>IF(HR_Data[[#This Row],[Years At Company]]&lt;=HR_Data[[#This Row],[Total Working Years]],"Valid","error")</f>
        <v>Valid</v>
      </c>
      <c r="R963" s="1" t="str" cm="1">
        <f t="array" ref="R963">_xlfn.IFS(HR_Data[[#This Row],[Age]]&lt;=30,"Young", HR_Data[[#This Row],[Age]]&lt;=45,"Mid-Age",HR_Data[[#This Row],[Age]]&gt;45,"Senior")</f>
        <v>Mid-Age</v>
      </c>
      <c r="S963" s="1" t="str" cm="1">
        <f t="array" ref="S963">_xlfn.IFS(HR_Data[[#This Row],[Monthly Income]]&lt;5000,"Low", HR_Data[[#This Row],[Monthly Income]]&lt;10000,"Medium",TRUE,"High")</f>
        <v>Low</v>
      </c>
      <c r="T963" s="1" t="str" cm="1">
        <f t="array" ref="T963">_xlfn.IFS(HR_Data[[#This Row],[Total Working Years]]&lt;=5,"Junior", HR_Data[[#This Row],[Total Working Years]]&lt;=15,"Mid-Level", TRUE, "Senior")</f>
        <v>Mid-Level</v>
      </c>
    </row>
    <row r="964" spans="1:20" x14ac:dyDescent="0.25">
      <c r="A964" s="1">
        <v>1352</v>
      </c>
      <c r="B964" s="1">
        <v>51</v>
      </c>
      <c r="C964" t="s">
        <v>9</v>
      </c>
      <c r="D964" t="s">
        <v>23</v>
      </c>
      <c r="E964" t="s">
        <v>6</v>
      </c>
      <c r="F964" t="s">
        <v>11</v>
      </c>
      <c r="G964" t="s">
        <v>18</v>
      </c>
      <c r="H964" s="1">
        <v>2</v>
      </c>
      <c r="I964" s="1">
        <v>14026</v>
      </c>
      <c r="J964" t="s">
        <v>4</v>
      </c>
      <c r="K964" s="1">
        <v>11</v>
      </c>
      <c r="L964" s="1">
        <v>3</v>
      </c>
      <c r="M964" s="1">
        <v>33</v>
      </c>
      <c r="N964" s="1">
        <v>3</v>
      </c>
      <c r="O964" s="1">
        <v>33</v>
      </c>
      <c r="P964" s="1">
        <f>COUNTIF(HR_Data[Employee Number],HR_Data[[#This Row],[Employee Number]])</f>
        <v>1</v>
      </c>
      <c r="Q964" s="1" t="str">
        <f>IF(HR_Data[[#This Row],[Years At Company]]&lt;=HR_Data[[#This Row],[Total Working Years]],"Valid","error")</f>
        <v>Valid</v>
      </c>
      <c r="R964" s="1" t="str" cm="1">
        <f t="array" ref="R964">_xlfn.IFS(HR_Data[[#This Row],[Age]]&lt;=30,"Young", HR_Data[[#This Row],[Age]]&lt;=45,"Mid-Age",HR_Data[[#This Row],[Age]]&gt;45,"Senior")</f>
        <v>Senior</v>
      </c>
      <c r="S964" s="1" t="str" cm="1">
        <f t="array" ref="S964">_xlfn.IFS(HR_Data[[#This Row],[Monthly Income]]&lt;5000,"Low", HR_Data[[#This Row],[Monthly Income]]&lt;10000,"Medium",TRUE,"High")</f>
        <v>High</v>
      </c>
      <c r="T964" s="1" t="str" cm="1">
        <f t="array" ref="T964">_xlfn.IFS(HR_Data[[#This Row],[Total Working Years]]&lt;=5,"Junior", HR_Data[[#This Row],[Total Working Years]]&lt;=15,"Mid-Level", TRUE, "Senior")</f>
        <v>Senior</v>
      </c>
    </row>
    <row r="965" spans="1:20" x14ac:dyDescent="0.25">
      <c r="A965" s="1">
        <v>1355</v>
      </c>
      <c r="B965" s="1">
        <v>38</v>
      </c>
      <c r="C965" t="s">
        <v>9</v>
      </c>
      <c r="D965" t="s">
        <v>5</v>
      </c>
      <c r="E965" t="s">
        <v>6</v>
      </c>
      <c r="F965" t="s">
        <v>7</v>
      </c>
      <c r="G965" t="s">
        <v>8</v>
      </c>
      <c r="H965" s="1">
        <v>1</v>
      </c>
      <c r="I965" s="1">
        <v>6893</v>
      </c>
      <c r="J965" t="s">
        <v>9</v>
      </c>
      <c r="K965" s="1">
        <v>15</v>
      </c>
      <c r="L965" s="1">
        <v>3</v>
      </c>
      <c r="M965" s="1">
        <v>11</v>
      </c>
      <c r="N965" s="1">
        <v>3</v>
      </c>
      <c r="O965" s="1">
        <v>7</v>
      </c>
      <c r="P965" s="1">
        <f>COUNTIF(HR_Data[Employee Number],HR_Data[[#This Row],[Employee Number]])</f>
        <v>1</v>
      </c>
      <c r="Q965" s="1" t="str">
        <f>IF(HR_Data[[#This Row],[Years At Company]]&lt;=HR_Data[[#This Row],[Total Working Years]],"Valid","error")</f>
        <v>Valid</v>
      </c>
      <c r="R965" s="1" t="str" cm="1">
        <f t="array" ref="R965">_xlfn.IFS(HR_Data[[#This Row],[Age]]&lt;=30,"Young", HR_Data[[#This Row],[Age]]&lt;=45,"Mid-Age",HR_Data[[#This Row],[Age]]&gt;45,"Senior")</f>
        <v>Mid-Age</v>
      </c>
      <c r="S965" s="1" t="str" cm="1">
        <f t="array" ref="S965">_xlfn.IFS(HR_Data[[#This Row],[Monthly Income]]&lt;5000,"Low", HR_Data[[#This Row],[Monthly Income]]&lt;10000,"Medium",TRUE,"High")</f>
        <v>Medium</v>
      </c>
      <c r="T965" s="1" t="str" cm="1">
        <f t="array" ref="T965">_xlfn.IFS(HR_Data[[#This Row],[Total Working Years]]&lt;=5,"Junior", HR_Data[[#This Row],[Total Working Years]]&lt;=15,"Mid-Level", TRUE, "Senior")</f>
        <v>Mid-Level</v>
      </c>
    </row>
    <row r="966" spans="1:20" x14ac:dyDescent="0.25">
      <c r="A966" s="1">
        <v>1356</v>
      </c>
      <c r="B966" s="1">
        <v>34</v>
      </c>
      <c r="C966" t="s">
        <v>9</v>
      </c>
      <c r="D966" t="s">
        <v>5</v>
      </c>
      <c r="E966" t="s">
        <v>15</v>
      </c>
      <c r="F966" t="s">
        <v>7</v>
      </c>
      <c r="G966" t="s">
        <v>8</v>
      </c>
      <c r="H966" s="1">
        <v>1</v>
      </c>
      <c r="I966" s="1">
        <v>6125</v>
      </c>
      <c r="J966" t="s">
        <v>9</v>
      </c>
      <c r="K966" s="1">
        <v>12</v>
      </c>
      <c r="L966" s="1">
        <v>3</v>
      </c>
      <c r="M966" s="1">
        <v>10</v>
      </c>
      <c r="N966" s="1">
        <v>4</v>
      </c>
      <c r="O966" s="1">
        <v>10</v>
      </c>
      <c r="P966" s="1">
        <f>COUNTIF(HR_Data[Employee Number],HR_Data[[#This Row],[Employee Number]])</f>
        <v>1</v>
      </c>
      <c r="Q966" s="1" t="str">
        <f>IF(HR_Data[[#This Row],[Years At Company]]&lt;=HR_Data[[#This Row],[Total Working Years]],"Valid","error")</f>
        <v>Valid</v>
      </c>
      <c r="R966" s="1" t="str" cm="1">
        <f t="array" ref="R966">_xlfn.IFS(HR_Data[[#This Row],[Age]]&lt;=30,"Young", HR_Data[[#This Row],[Age]]&lt;=45,"Mid-Age",HR_Data[[#This Row],[Age]]&gt;45,"Senior")</f>
        <v>Mid-Age</v>
      </c>
      <c r="S966" s="1" t="str" cm="1">
        <f t="array" ref="S966">_xlfn.IFS(HR_Data[[#This Row],[Monthly Income]]&lt;5000,"Low", HR_Data[[#This Row],[Monthly Income]]&lt;10000,"Medium",TRUE,"High")</f>
        <v>Medium</v>
      </c>
      <c r="T966" s="1" t="str" cm="1">
        <f t="array" ref="T966">_xlfn.IFS(HR_Data[[#This Row],[Total Working Years]]&lt;=5,"Junior", HR_Data[[#This Row],[Total Working Years]]&lt;=15,"Mid-Level", TRUE, "Senior")</f>
        <v>Mid-Level</v>
      </c>
    </row>
    <row r="967" spans="1:20" x14ac:dyDescent="0.25">
      <c r="A967" s="1">
        <v>1358</v>
      </c>
      <c r="B967" s="1">
        <v>25</v>
      </c>
      <c r="C967" t="s">
        <v>9</v>
      </c>
      <c r="D967" t="s">
        <v>10</v>
      </c>
      <c r="E967" t="s">
        <v>15</v>
      </c>
      <c r="F967" t="s">
        <v>11</v>
      </c>
      <c r="G967" t="s">
        <v>14</v>
      </c>
      <c r="H967" s="1">
        <v>4</v>
      </c>
      <c r="I967" s="1">
        <v>3669</v>
      </c>
      <c r="J967" t="s">
        <v>9</v>
      </c>
      <c r="K967" s="1">
        <v>11</v>
      </c>
      <c r="L967" s="1">
        <v>3</v>
      </c>
      <c r="M967" s="1">
        <v>7</v>
      </c>
      <c r="N967" s="1">
        <v>2</v>
      </c>
      <c r="O967" s="1">
        <v>3</v>
      </c>
      <c r="P967" s="1">
        <f>COUNTIF(HR_Data[Employee Number],HR_Data[[#This Row],[Employee Number]])</f>
        <v>1</v>
      </c>
      <c r="Q967" s="1" t="str">
        <f>IF(HR_Data[[#This Row],[Years At Company]]&lt;=HR_Data[[#This Row],[Total Working Years]],"Valid","error")</f>
        <v>Valid</v>
      </c>
      <c r="R967" s="1" t="str" cm="1">
        <f t="array" ref="R967">_xlfn.IFS(HR_Data[[#This Row],[Age]]&lt;=30,"Young", HR_Data[[#This Row],[Age]]&lt;=45,"Mid-Age",HR_Data[[#This Row],[Age]]&gt;45,"Senior")</f>
        <v>Young</v>
      </c>
      <c r="S967" s="1" t="str" cm="1">
        <f t="array" ref="S967">_xlfn.IFS(HR_Data[[#This Row],[Monthly Income]]&lt;5000,"Low", HR_Data[[#This Row],[Monthly Income]]&lt;10000,"Medium",TRUE,"High")</f>
        <v>Low</v>
      </c>
      <c r="T967" s="1" t="str" cm="1">
        <f t="array" ref="T967">_xlfn.IFS(HR_Data[[#This Row],[Total Working Years]]&lt;=5,"Junior", HR_Data[[#This Row],[Total Working Years]]&lt;=15,"Mid-Level", TRUE, "Senior")</f>
        <v>Mid-Level</v>
      </c>
    </row>
    <row r="968" spans="1:20" x14ac:dyDescent="0.25">
      <c r="A968" s="1">
        <v>1360</v>
      </c>
      <c r="B968" s="1">
        <v>58</v>
      </c>
      <c r="C968" t="s">
        <v>4</v>
      </c>
      <c r="D968" t="s">
        <v>10</v>
      </c>
      <c r="E968" t="s">
        <v>15</v>
      </c>
      <c r="F968" t="s">
        <v>7</v>
      </c>
      <c r="G968" t="s">
        <v>16</v>
      </c>
      <c r="H968" s="1">
        <v>1</v>
      </c>
      <c r="I968" s="1">
        <v>10008</v>
      </c>
      <c r="J968" t="s">
        <v>4</v>
      </c>
      <c r="K968" s="1">
        <v>14</v>
      </c>
      <c r="L968" s="1">
        <v>3</v>
      </c>
      <c r="M968" s="1">
        <v>31</v>
      </c>
      <c r="N968" s="1">
        <v>2</v>
      </c>
      <c r="O968" s="1">
        <v>10</v>
      </c>
      <c r="P968" s="1">
        <f>COUNTIF(HR_Data[Employee Number],HR_Data[[#This Row],[Employee Number]])</f>
        <v>1</v>
      </c>
      <c r="Q968" s="1" t="str">
        <f>IF(HR_Data[[#This Row],[Years At Company]]&lt;=HR_Data[[#This Row],[Total Working Years]],"Valid","error")</f>
        <v>Valid</v>
      </c>
      <c r="R968" s="1" t="str" cm="1">
        <f t="array" ref="R968">_xlfn.IFS(HR_Data[[#This Row],[Age]]&lt;=30,"Young", HR_Data[[#This Row],[Age]]&lt;=45,"Mid-Age",HR_Data[[#This Row],[Age]]&gt;45,"Senior")</f>
        <v>Senior</v>
      </c>
      <c r="S968" s="1" t="str" cm="1">
        <f t="array" ref="S968">_xlfn.IFS(HR_Data[[#This Row],[Monthly Income]]&lt;5000,"Low", HR_Data[[#This Row],[Monthly Income]]&lt;10000,"Medium",TRUE,"High")</f>
        <v>High</v>
      </c>
      <c r="T968" s="1" t="str" cm="1">
        <f t="array" ref="T968">_xlfn.IFS(HR_Data[[#This Row],[Total Working Years]]&lt;=5,"Junior", HR_Data[[#This Row],[Total Working Years]]&lt;=15,"Mid-Level", TRUE, "Senior")</f>
        <v>Senior</v>
      </c>
    </row>
    <row r="969" spans="1:20" x14ac:dyDescent="0.25">
      <c r="A969" s="1">
        <v>1361</v>
      </c>
      <c r="B969" s="1">
        <v>40</v>
      </c>
      <c r="C969" t="s">
        <v>9</v>
      </c>
      <c r="D969" t="s">
        <v>10</v>
      </c>
      <c r="E969" t="s">
        <v>6</v>
      </c>
      <c r="F969" t="s">
        <v>11</v>
      </c>
      <c r="G969" t="s">
        <v>14</v>
      </c>
      <c r="H969" s="1">
        <v>2</v>
      </c>
      <c r="I969" s="1">
        <v>2387</v>
      </c>
      <c r="J969" t="s">
        <v>9</v>
      </c>
      <c r="K969" s="1">
        <v>22</v>
      </c>
      <c r="L969" s="1">
        <v>4</v>
      </c>
      <c r="M969" s="1">
        <v>7</v>
      </c>
      <c r="N969" s="1">
        <v>3</v>
      </c>
      <c r="O969" s="1">
        <v>4</v>
      </c>
      <c r="P969" s="1">
        <f>COUNTIF(HR_Data[Employee Number],HR_Data[[#This Row],[Employee Number]])</f>
        <v>1</v>
      </c>
      <c r="Q969" s="1" t="str">
        <f>IF(HR_Data[[#This Row],[Years At Company]]&lt;=HR_Data[[#This Row],[Total Working Years]],"Valid","error")</f>
        <v>Valid</v>
      </c>
      <c r="R969" s="1" t="str" cm="1">
        <f t="array" ref="R969">_xlfn.IFS(HR_Data[[#This Row],[Age]]&lt;=30,"Young", HR_Data[[#This Row],[Age]]&lt;=45,"Mid-Age",HR_Data[[#This Row],[Age]]&gt;45,"Senior")</f>
        <v>Mid-Age</v>
      </c>
      <c r="S969" s="1" t="str" cm="1">
        <f t="array" ref="S969">_xlfn.IFS(HR_Data[[#This Row],[Monthly Income]]&lt;5000,"Low", HR_Data[[#This Row],[Monthly Income]]&lt;10000,"Medium",TRUE,"High")</f>
        <v>Low</v>
      </c>
      <c r="T969" s="1" t="str" cm="1">
        <f t="array" ref="T969">_xlfn.IFS(HR_Data[[#This Row],[Total Working Years]]&lt;=5,"Junior", HR_Data[[#This Row],[Total Working Years]]&lt;=15,"Mid-Level", TRUE, "Senior")</f>
        <v>Mid-Level</v>
      </c>
    </row>
    <row r="970" spans="1:20" x14ac:dyDescent="0.25">
      <c r="A970" s="1">
        <v>1362</v>
      </c>
      <c r="B970" s="1">
        <v>36</v>
      </c>
      <c r="C970" t="s">
        <v>9</v>
      </c>
      <c r="D970" t="s">
        <v>5</v>
      </c>
      <c r="E970" t="s">
        <v>21</v>
      </c>
      <c r="F970" t="s">
        <v>7</v>
      </c>
      <c r="G970" t="s">
        <v>8</v>
      </c>
      <c r="H970" s="1">
        <v>1</v>
      </c>
      <c r="I970" s="1">
        <v>4639</v>
      </c>
      <c r="J970" t="s">
        <v>9</v>
      </c>
      <c r="K970" s="1">
        <v>16</v>
      </c>
      <c r="L970" s="1">
        <v>3</v>
      </c>
      <c r="M970" s="1">
        <v>17</v>
      </c>
      <c r="N970" s="1">
        <v>2</v>
      </c>
      <c r="O970" s="1">
        <v>15</v>
      </c>
      <c r="P970" s="1">
        <f>COUNTIF(HR_Data[Employee Number],HR_Data[[#This Row],[Employee Number]])</f>
        <v>1</v>
      </c>
      <c r="Q970" s="1" t="str">
        <f>IF(HR_Data[[#This Row],[Years At Company]]&lt;=HR_Data[[#This Row],[Total Working Years]],"Valid","error")</f>
        <v>Valid</v>
      </c>
      <c r="R970" s="1" t="str" cm="1">
        <f t="array" ref="R970">_xlfn.IFS(HR_Data[[#This Row],[Age]]&lt;=30,"Young", HR_Data[[#This Row],[Age]]&lt;=45,"Mid-Age",HR_Data[[#This Row],[Age]]&gt;45,"Senior")</f>
        <v>Mid-Age</v>
      </c>
      <c r="S970" s="1" t="str" cm="1">
        <f t="array" ref="S970">_xlfn.IFS(HR_Data[[#This Row],[Monthly Income]]&lt;5000,"Low", HR_Data[[#This Row],[Monthly Income]]&lt;10000,"Medium",TRUE,"High")</f>
        <v>Low</v>
      </c>
      <c r="T970" s="1" t="str" cm="1">
        <f t="array" ref="T970">_xlfn.IFS(HR_Data[[#This Row],[Total Working Years]]&lt;=5,"Junior", HR_Data[[#This Row],[Total Working Years]]&lt;=15,"Mid-Level", TRUE, "Senior")</f>
        <v>Senior</v>
      </c>
    </row>
    <row r="971" spans="1:20" x14ac:dyDescent="0.25">
      <c r="A971" s="1">
        <v>1363</v>
      </c>
      <c r="B971" s="1">
        <v>48</v>
      </c>
      <c r="C971" t="s">
        <v>9</v>
      </c>
      <c r="D971" t="s">
        <v>10</v>
      </c>
      <c r="E971" t="s">
        <v>6</v>
      </c>
      <c r="F971" t="s">
        <v>11</v>
      </c>
      <c r="G971" t="s">
        <v>16</v>
      </c>
      <c r="H971" s="1">
        <v>4</v>
      </c>
      <c r="I971" s="1">
        <v>7898</v>
      </c>
      <c r="J971" t="s">
        <v>9</v>
      </c>
      <c r="K971" s="1">
        <v>11</v>
      </c>
      <c r="L971" s="1">
        <v>3</v>
      </c>
      <c r="M971" s="1">
        <v>11</v>
      </c>
      <c r="N971" s="1">
        <v>3</v>
      </c>
      <c r="O971" s="1">
        <v>10</v>
      </c>
      <c r="P971" s="1">
        <f>COUNTIF(HR_Data[Employee Number],HR_Data[[#This Row],[Employee Number]])</f>
        <v>1</v>
      </c>
      <c r="Q971" s="1" t="str">
        <f>IF(HR_Data[[#This Row],[Years At Company]]&lt;=HR_Data[[#This Row],[Total Working Years]],"Valid","error")</f>
        <v>Valid</v>
      </c>
      <c r="R971" s="1" t="str" cm="1">
        <f t="array" ref="R971">_xlfn.IFS(HR_Data[[#This Row],[Age]]&lt;=30,"Young", HR_Data[[#This Row],[Age]]&lt;=45,"Mid-Age",HR_Data[[#This Row],[Age]]&gt;45,"Senior")</f>
        <v>Senior</v>
      </c>
      <c r="S971" s="1" t="str" cm="1">
        <f t="array" ref="S971">_xlfn.IFS(HR_Data[[#This Row],[Monthly Income]]&lt;5000,"Low", HR_Data[[#This Row],[Monthly Income]]&lt;10000,"Medium",TRUE,"High")</f>
        <v>Medium</v>
      </c>
      <c r="T971" s="1" t="str" cm="1">
        <f t="array" ref="T971">_xlfn.IFS(HR_Data[[#This Row],[Total Working Years]]&lt;=5,"Junior", HR_Data[[#This Row],[Total Working Years]]&lt;=15,"Mid-Level", TRUE, "Senior")</f>
        <v>Mid-Level</v>
      </c>
    </row>
    <row r="972" spans="1:20" x14ac:dyDescent="0.25">
      <c r="A972" s="1">
        <v>1364</v>
      </c>
      <c r="B972" s="1">
        <v>27</v>
      </c>
      <c r="C972" t="s">
        <v>9</v>
      </c>
      <c r="D972" t="s">
        <v>5</v>
      </c>
      <c r="E972" t="s">
        <v>15</v>
      </c>
      <c r="F972" t="s">
        <v>7</v>
      </c>
      <c r="G972" t="s">
        <v>19</v>
      </c>
      <c r="H972" s="1">
        <v>4</v>
      </c>
      <c r="I972" s="1">
        <v>2534</v>
      </c>
      <c r="J972" t="s">
        <v>9</v>
      </c>
      <c r="K972" s="1">
        <v>14</v>
      </c>
      <c r="L972" s="1">
        <v>3</v>
      </c>
      <c r="M972" s="1">
        <v>5</v>
      </c>
      <c r="N972" s="1">
        <v>3</v>
      </c>
      <c r="O972" s="1">
        <v>1</v>
      </c>
      <c r="P972" s="1">
        <f>COUNTIF(HR_Data[Employee Number],HR_Data[[#This Row],[Employee Number]])</f>
        <v>1</v>
      </c>
      <c r="Q972" s="1" t="str">
        <f>IF(HR_Data[[#This Row],[Years At Company]]&lt;=HR_Data[[#This Row],[Total Working Years]],"Valid","error")</f>
        <v>Valid</v>
      </c>
      <c r="R972" s="1" t="str" cm="1">
        <f t="array" ref="R972">_xlfn.IFS(HR_Data[[#This Row],[Age]]&lt;=30,"Young", HR_Data[[#This Row],[Age]]&lt;=45,"Mid-Age",HR_Data[[#This Row],[Age]]&gt;45,"Senior")</f>
        <v>Young</v>
      </c>
      <c r="S972" s="1" t="str" cm="1">
        <f t="array" ref="S972">_xlfn.IFS(HR_Data[[#This Row],[Monthly Income]]&lt;5000,"Low", HR_Data[[#This Row],[Monthly Income]]&lt;10000,"Medium",TRUE,"High")</f>
        <v>Low</v>
      </c>
      <c r="T972" s="1" t="str" cm="1">
        <f t="array" ref="T972">_xlfn.IFS(HR_Data[[#This Row],[Total Working Years]]&lt;=5,"Junior", HR_Data[[#This Row],[Total Working Years]]&lt;=15,"Mid-Level", TRUE, "Senior")</f>
        <v>Junior</v>
      </c>
    </row>
    <row r="973" spans="1:20" x14ac:dyDescent="0.25">
      <c r="A973" s="1">
        <v>1367</v>
      </c>
      <c r="B973" s="1">
        <v>51</v>
      </c>
      <c r="C973" t="s">
        <v>9</v>
      </c>
      <c r="D973" t="s">
        <v>10</v>
      </c>
      <c r="E973" t="s">
        <v>22</v>
      </c>
      <c r="F973" t="s">
        <v>7</v>
      </c>
      <c r="G973" t="s">
        <v>16</v>
      </c>
      <c r="H973" s="1">
        <v>2</v>
      </c>
      <c r="I973" s="1">
        <v>13142</v>
      </c>
      <c r="J973" t="s">
        <v>9</v>
      </c>
      <c r="K973" s="1">
        <v>16</v>
      </c>
      <c r="L973" s="1">
        <v>3</v>
      </c>
      <c r="M973" s="1">
        <v>29</v>
      </c>
      <c r="N973" s="1">
        <v>2</v>
      </c>
      <c r="O973" s="1">
        <v>5</v>
      </c>
      <c r="P973" s="1">
        <f>COUNTIF(HR_Data[Employee Number],HR_Data[[#This Row],[Employee Number]])</f>
        <v>1</v>
      </c>
      <c r="Q973" s="1" t="str">
        <f>IF(HR_Data[[#This Row],[Years At Company]]&lt;=HR_Data[[#This Row],[Total Working Years]],"Valid","error")</f>
        <v>Valid</v>
      </c>
      <c r="R973" s="1" t="str" cm="1">
        <f t="array" ref="R973">_xlfn.IFS(HR_Data[[#This Row],[Age]]&lt;=30,"Young", HR_Data[[#This Row],[Age]]&lt;=45,"Mid-Age",HR_Data[[#This Row],[Age]]&gt;45,"Senior")</f>
        <v>Senior</v>
      </c>
      <c r="S973" s="1" t="str" cm="1">
        <f t="array" ref="S973">_xlfn.IFS(HR_Data[[#This Row],[Monthly Income]]&lt;5000,"Low", HR_Data[[#This Row],[Monthly Income]]&lt;10000,"Medium",TRUE,"High")</f>
        <v>High</v>
      </c>
      <c r="T973" s="1" t="str" cm="1">
        <f t="array" ref="T973">_xlfn.IFS(HR_Data[[#This Row],[Total Working Years]]&lt;=5,"Junior", HR_Data[[#This Row],[Total Working Years]]&lt;=15,"Mid-Level", TRUE, "Senior")</f>
        <v>Senior</v>
      </c>
    </row>
    <row r="974" spans="1:20" x14ac:dyDescent="0.25">
      <c r="A974" s="1">
        <v>1368</v>
      </c>
      <c r="B974" s="1">
        <v>18</v>
      </c>
      <c r="C974" t="s">
        <v>9</v>
      </c>
      <c r="D974" t="s">
        <v>10</v>
      </c>
      <c r="E974" t="s">
        <v>6</v>
      </c>
      <c r="F974" t="s">
        <v>7</v>
      </c>
      <c r="G974" t="s">
        <v>14</v>
      </c>
      <c r="H974" s="1">
        <v>4</v>
      </c>
      <c r="I974" s="1">
        <v>1611</v>
      </c>
      <c r="J974" t="s">
        <v>9</v>
      </c>
      <c r="K974" s="1">
        <v>15</v>
      </c>
      <c r="L974" s="1">
        <v>3</v>
      </c>
      <c r="M974" s="1">
        <v>0</v>
      </c>
      <c r="N974" s="1">
        <v>4</v>
      </c>
      <c r="O974" s="1">
        <v>0</v>
      </c>
      <c r="P974" s="1">
        <f>COUNTIF(HR_Data[Employee Number],HR_Data[[#This Row],[Employee Number]])</f>
        <v>1</v>
      </c>
      <c r="Q974" s="1" t="str">
        <f>IF(HR_Data[[#This Row],[Years At Company]]&lt;=HR_Data[[#This Row],[Total Working Years]],"Valid","error")</f>
        <v>Valid</v>
      </c>
      <c r="R974" s="1" t="str" cm="1">
        <f t="array" ref="R974">_xlfn.IFS(HR_Data[[#This Row],[Age]]&lt;=30,"Young", HR_Data[[#This Row],[Age]]&lt;=45,"Mid-Age",HR_Data[[#This Row],[Age]]&gt;45,"Senior")</f>
        <v>Young</v>
      </c>
      <c r="S974" s="1" t="str" cm="1">
        <f t="array" ref="S974">_xlfn.IFS(HR_Data[[#This Row],[Monthly Income]]&lt;5000,"Low", HR_Data[[#This Row],[Monthly Income]]&lt;10000,"Medium",TRUE,"High")</f>
        <v>Low</v>
      </c>
      <c r="T974" s="1" t="str" cm="1">
        <f t="array" ref="T974">_xlfn.IFS(HR_Data[[#This Row],[Total Working Years]]&lt;=5,"Junior", HR_Data[[#This Row],[Total Working Years]]&lt;=15,"Mid-Level", TRUE, "Senior")</f>
        <v>Junior</v>
      </c>
    </row>
    <row r="975" spans="1:20" x14ac:dyDescent="0.25">
      <c r="A975" s="1">
        <v>1369</v>
      </c>
      <c r="B975" s="1">
        <v>35</v>
      </c>
      <c r="C975" t="s">
        <v>9</v>
      </c>
      <c r="D975" t="s">
        <v>10</v>
      </c>
      <c r="E975" t="s">
        <v>15</v>
      </c>
      <c r="F975" t="s">
        <v>7</v>
      </c>
      <c r="G975" t="s">
        <v>14</v>
      </c>
      <c r="H975" s="1">
        <v>4</v>
      </c>
      <c r="I975" s="1">
        <v>5363</v>
      </c>
      <c r="J975" t="s">
        <v>9</v>
      </c>
      <c r="K975" s="1">
        <v>12</v>
      </c>
      <c r="L975" s="1">
        <v>3</v>
      </c>
      <c r="M975" s="1">
        <v>10</v>
      </c>
      <c r="N975" s="1">
        <v>3</v>
      </c>
      <c r="O975" s="1">
        <v>9</v>
      </c>
      <c r="P975" s="1">
        <f>COUNTIF(HR_Data[Employee Number],HR_Data[[#This Row],[Employee Number]])</f>
        <v>1</v>
      </c>
      <c r="Q975" s="1" t="str">
        <f>IF(HR_Data[[#This Row],[Years At Company]]&lt;=HR_Data[[#This Row],[Total Working Years]],"Valid","error")</f>
        <v>Valid</v>
      </c>
      <c r="R975" s="1" t="str" cm="1">
        <f t="array" ref="R975">_xlfn.IFS(HR_Data[[#This Row],[Age]]&lt;=30,"Young", HR_Data[[#This Row],[Age]]&lt;=45,"Mid-Age",HR_Data[[#This Row],[Age]]&gt;45,"Senior")</f>
        <v>Mid-Age</v>
      </c>
      <c r="S975" s="1" t="str" cm="1">
        <f t="array" ref="S975">_xlfn.IFS(HR_Data[[#This Row],[Monthly Income]]&lt;5000,"Low", HR_Data[[#This Row],[Monthly Income]]&lt;10000,"Medium",TRUE,"High")</f>
        <v>Medium</v>
      </c>
      <c r="T975" s="1" t="str" cm="1">
        <f t="array" ref="T975">_xlfn.IFS(HR_Data[[#This Row],[Total Working Years]]&lt;=5,"Junior", HR_Data[[#This Row],[Total Working Years]]&lt;=15,"Mid-Level", TRUE, "Senior")</f>
        <v>Mid-Level</v>
      </c>
    </row>
    <row r="976" spans="1:20" x14ac:dyDescent="0.25">
      <c r="A976" s="1">
        <v>1371</v>
      </c>
      <c r="B976" s="1">
        <v>27</v>
      </c>
      <c r="C976" t="s">
        <v>9</v>
      </c>
      <c r="D976" t="s">
        <v>5</v>
      </c>
      <c r="E976" t="s">
        <v>6</v>
      </c>
      <c r="F976" t="s">
        <v>11</v>
      </c>
      <c r="G976" t="s">
        <v>8</v>
      </c>
      <c r="H976" s="1">
        <v>4</v>
      </c>
      <c r="I976" s="1">
        <v>5071</v>
      </c>
      <c r="J976" t="s">
        <v>9</v>
      </c>
      <c r="K976" s="1">
        <v>20</v>
      </c>
      <c r="L976" s="1">
        <v>4</v>
      </c>
      <c r="M976" s="1">
        <v>8</v>
      </c>
      <c r="N976" s="1">
        <v>3</v>
      </c>
      <c r="O976" s="1">
        <v>6</v>
      </c>
      <c r="P976" s="1">
        <f>COUNTIF(HR_Data[Employee Number],HR_Data[[#This Row],[Employee Number]])</f>
        <v>1</v>
      </c>
      <c r="Q976" s="1" t="str">
        <f>IF(HR_Data[[#This Row],[Years At Company]]&lt;=HR_Data[[#This Row],[Total Working Years]],"Valid","error")</f>
        <v>Valid</v>
      </c>
      <c r="R976" s="1" t="str" cm="1">
        <f t="array" ref="R976">_xlfn.IFS(HR_Data[[#This Row],[Age]]&lt;=30,"Young", HR_Data[[#This Row],[Age]]&lt;=45,"Mid-Age",HR_Data[[#This Row],[Age]]&gt;45,"Senior")</f>
        <v>Young</v>
      </c>
      <c r="S976" s="1" t="str" cm="1">
        <f t="array" ref="S976">_xlfn.IFS(HR_Data[[#This Row],[Monthly Income]]&lt;5000,"Low", HR_Data[[#This Row],[Monthly Income]]&lt;10000,"Medium",TRUE,"High")</f>
        <v>Medium</v>
      </c>
      <c r="T976" s="1" t="str" cm="1">
        <f t="array" ref="T976">_xlfn.IFS(HR_Data[[#This Row],[Total Working Years]]&lt;=5,"Junior", HR_Data[[#This Row],[Total Working Years]]&lt;=15,"Mid-Level", TRUE, "Senior")</f>
        <v>Mid-Level</v>
      </c>
    </row>
    <row r="977" spans="1:20" x14ac:dyDescent="0.25">
      <c r="A977" s="1">
        <v>1372</v>
      </c>
      <c r="B977" s="1">
        <v>55</v>
      </c>
      <c r="C977" t="s">
        <v>4</v>
      </c>
      <c r="D977" t="s">
        <v>5</v>
      </c>
      <c r="E977" t="s">
        <v>21</v>
      </c>
      <c r="F977" t="s">
        <v>11</v>
      </c>
      <c r="G977" t="s">
        <v>8</v>
      </c>
      <c r="H977" s="1">
        <v>3</v>
      </c>
      <c r="I977" s="1">
        <v>13695</v>
      </c>
      <c r="J977" t="s">
        <v>4</v>
      </c>
      <c r="K977" s="1">
        <v>17</v>
      </c>
      <c r="L977" s="1">
        <v>3</v>
      </c>
      <c r="M977" s="1">
        <v>24</v>
      </c>
      <c r="N977" s="1">
        <v>2</v>
      </c>
      <c r="O977" s="1">
        <v>19</v>
      </c>
      <c r="P977" s="1">
        <f>COUNTIF(HR_Data[Employee Number],HR_Data[[#This Row],[Employee Number]])</f>
        <v>1</v>
      </c>
      <c r="Q977" s="1" t="str">
        <f>IF(HR_Data[[#This Row],[Years At Company]]&lt;=HR_Data[[#This Row],[Total Working Years]],"Valid","error")</f>
        <v>Valid</v>
      </c>
      <c r="R977" s="1" t="str" cm="1">
        <f t="array" ref="R977">_xlfn.IFS(HR_Data[[#This Row],[Age]]&lt;=30,"Young", HR_Data[[#This Row],[Age]]&lt;=45,"Mid-Age",HR_Data[[#This Row],[Age]]&gt;45,"Senior")</f>
        <v>Senior</v>
      </c>
      <c r="S977" s="1" t="str" cm="1">
        <f t="array" ref="S977">_xlfn.IFS(HR_Data[[#This Row],[Monthly Income]]&lt;5000,"Low", HR_Data[[#This Row],[Monthly Income]]&lt;10000,"Medium",TRUE,"High")</f>
        <v>High</v>
      </c>
      <c r="T977" s="1" t="str" cm="1">
        <f t="array" ref="T977">_xlfn.IFS(HR_Data[[#This Row],[Total Working Years]]&lt;=5,"Junior", HR_Data[[#This Row],[Total Working Years]]&lt;=15,"Mid-Level", TRUE, "Senior")</f>
        <v>Senior</v>
      </c>
    </row>
    <row r="978" spans="1:20" x14ac:dyDescent="0.25">
      <c r="A978" s="1">
        <v>1373</v>
      </c>
      <c r="B978" s="1">
        <v>56</v>
      </c>
      <c r="C978" t="s">
        <v>9</v>
      </c>
      <c r="D978" t="s">
        <v>10</v>
      </c>
      <c r="E978" t="s">
        <v>6</v>
      </c>
      <c r="F978" t="s">
        <v>11</v>
      </c>
      <c r="G978" t="s">
        <v>16</v>
      </c>
      <c r="H978" s="1">
        <v>2</v>
      </c>
      <c r="I978" s="1">
        <v>13402</v>
      </c>
      <c r="J978" t="s">
        <v>4</v>
      </c>
      <c r="K978" s="1">
        <v>12</v>
      </c>
      <c r="L978" s="1">
        <v>3</v>
      </c>
      <c r="M978" s="1">
        <v>33</v>
      </c>
      <c r="N978" s="1">
        <v>3</v>
      </c>
      <c r="O978" s="1">
        <v>19</v>
      </c>
      <c r="P978" s="1">
        <f>COUNTIF(HR_Data[Employee Number],HR_Data[[#This Row],[Employee Number]])</f>
        <v>1</v>
      </c>
      <c r="Q978" s="1" t="str">
        <f>IF(HR_Data[[#This Row],[Years At Company]]&lt;=HR_Data[[#This Row],[Total Working Years]],"Valid","error")</f>
        <v>Valid</v>
      </c>
      <c r="R978" s="1" t="str" cm="1">
        <f t="array" ref="R978">_xlfn.IFS(HR_Data[[#This Row],[Age]]&lt;=30,"Young", HR_Data[[#This Row],[Age]]&lt;=45,"Mid-Age",HR_Data[[#This Row],[Age]]&gt;45,"Senior")</f>
        <v>Senior</v>
      </c>
      <c r="S978" s="1" t="str" cm="1">
        <f t="array" ref="S978">_xlfn.IFS(HR_Data[[#This Row],[Monthly Income]]&lt;5000,"Low", HR_Data[[#This Row],[Monthly Income]]&lt;10000,"Medium",TRUE,"High")</f>
        <v>High</v>
      </c>
      <c r="T978" s="1" t="str" cm="1">
        <f t="array" ref="T978">_xlfn.IFS(HR_Data[[#This Row],[Total Working Years]]&lt;=5,"Junior", HR_Data[[#This Row],[Total Working Years]]&lt;=15,"Mid-Level", TRUE, "Senior")</f>
        <v>Senior</v>
      </c>
    </row>
    <row r="979" spans="1:20" x14ac:dyDescent="0.25">
      <c r="A979" s="1">
        <v>1374</v>
      </c>
      <c r="B979" s="1">
        <v>34</v>
      </c>
      <c r="C979" t="s">
        <v>9</v>
      </c>
      <c r="D979" t="s">
        <v>10</v>
      </c>
      <c r="E979" t="s">
        <v>22</v>
      </c>
      <c r="F979" t="s">
        <v>7</v>
      </c>
      <c r="G979" t="s">
        <v>12</v>
      </c>
      <c r="H979" s="1">
        <v>3</v>
      </c>
      <c r="I979" s="1">
        <v>2029</v>
      </c>
      <c r="J979" t="s">
        <v>9</v>
      </c>
      <c r="K979" s="1">
        <v>20</v>
      </c>
      <c r="L979" s="1">
        <v>4</v>
      </c>
      <c r="M979" s="1">
        <v>5</v>
      </c>
      <c r="N979" s="1">
        <v>3</v>
      </c>
      <c r="O979" s="1">
        <v>5</v>
      </c>
      <c r="P979" s="1">
        <f>COUNTIF(HR_Data[Employee Number],HR_Data[[#This Row],[Employee Number]])</f>
        <v>1</v>
      </c>
      <c r="Q979" s="1" t="str">
        <f>IF(HR_Data[[#This Row],[Years At Company]]&lt;=HR_Data[[#This Row],[Total Working Years]],"Valid","error")</f>
        <v>Valid</v>
      </c>
      <c r="R979" s="1" t="str" cm="1">
        <f t="array" ref="R979">_xlfn.IFS(HR_Data[[#This Row],[Age]]&lt;=30,"Young", HR_Data[[#This Row],[Age]]&lt;=45,"Mid-Age",HR_Data[[#This Row],[Age]]&gt;45,"Senior")</f>
        <v>Mid-Age</v>
      </c>
      <c r="S979" s="1" t="str" cm="1">
        <f t="array" ref="S979">_xlfn.IFS(HR_Data[[#This Row],[Monthly Income]]&lt;5000,"Low", HR_Data[[#This Row],[Monthly Income]]&lt;10000,"Medium",TRUE,"High")</f>
        <v>Low</v>
      </c>
      <c r="T979" s="1" t="str" cm="1">
        <f t="array" ref="T979">_xlfn.IFS(HR_Data[[#This Row],[Total Working Years]]&lt;=5,"Junior", HR_Data[[#This Row],[Total Working Years]]&lt;=15,"Mid-Level", TRUE, "Senior")</f>
        <v>Junior</v>
      </c>
    </row>
    <row r="980" spans="1:20" x14ac:dyDescent="0.25">
      <c r="A980" s="1">
        <v>1375</v>
      </c>
      <c r="B980" s="1">
        <v>40</v>
      </c>
      <c r="C980" t="s">
        <v>9</v>
      </c>
      <c r="D980" t="s">
        <v>10</v>
      </c>
      <c r="E980" t="s">
        <v>15</v>
      </c>
      <c r="F980" t="s">
        <v>7</v>
      </c>
      <c r="G980" t="s">
        <v>17</v>
      </c>
      <c r="H980" s="1">
        <v>3</v>
      </c>
      <c r="I980" s="1">
        <v>6377</v>
      </c>
      <c r="J980" t="s">
        <v>9</v>
      </c>
      <c r="K980" s="1">
        <v>20</v>
      </c>
      <c r="L980" s="1">
        <v>4</v>
      </c>
      <c r="M980" s="1">
        <v>15</v>
      </c>
      <c r="N980" s="1">
        <v>3</v>
      </c>
      <c r="O980" s="1">
        <v>12</v>
      </c>
      <c r="P980" s="1">
        <f>COUNTIF(HR_Data[Employee Number],HR_Data[[#This Row],[Employee Number]])</f>
        <v>1</v>
      </c>
      <c r="Q980" s="1" t="str">
        <f>IF(HR_Data[[#This Row],[Years At Company]]&lt;=HR_Data[[#This Row],[Total Working Years]],"Valid","error")</f>
        <v>Valid</v>
      </c>
      <c r="R980" s="1" t="str" cm="1">
        <f t="array" ref="R980">_xlfn.IFS(HR_Data[[#This Row],[Age]]&lt;=30,"Young", HR_Data[[#This Row],[Age]]&lt;=45,"Mid-Age",HR_Data[[#This Row],[Age]]&gt;45,"Senior")</f>
        <v>Mid-Age</v>
      </c>
      <c r="S980" s="1" t="str" cm="1">
        <f t="array" ref="S980">_xlfn.IFS(HR_Data[[#This Row],[Monthly Income]]&lt;5000,"Low", HR_Data[[#This Row],[Monthly Income]]&lt;10000,"Medium",TRUE,"High")</f>
        <v>Medium</v>
      </c>
      <c r="T980" s="1" t="str" cm="1">
        <f t="array" ref="T980">_xlfn.IFS(HR_Data[[#This Row],[Total Working Years]]&lt;=5,"Junior", HR_Data[[#This Row],[Total Working Years]]&lt;=15,"Mid-Level", TRUE, "Senior")</f>
        <v>Mid-Level</v>
      </c>
    </row>
    <row r="981" spans="1:20" x14ac:dyDescent="0.25">
      <c r="A981" s="1">
        <v>1377</v>
      </c>
      <c r="B981" s="1">
        <v>34</v>
      </c>
      <c r="C981" t="s">
        <v>9</v>
      </c>
      <c r="D981" t="s">
        <v>10</v>
      </c>
      <c r="E981" t="s">
        <v>15</v>
      </c>
      <c r="F981" t="s">
        <v>11</v>
      </c>
      <c r="G981" t="s">
        <v>14</v>
      </c>
      <c r="H981" s="1">
        <v>3</v>
      </c>
      <c r="I981" s="1">
        <v>5429</v>
      </c>
      <c r="J981" t="s">
        <v>9</v>
      </c>
      <c r="K981" s="1">
        <v>13</v>
      </c>
      <c r="L981" s="1">
        <v>3</v>
      </c>
      <c r="M981" s="1">
        <v>10</v>
      </c>
      <c r="N981" s="1">
        <v>3</v>
      </c>
      <c r="O981" s="1">
        <v>8</v>
      </c>
      <c r="P981" s="1">
        <f>COUNTIF(HR_Data[Employee Number],HR_Data[[#This Row],[Employee Number]])</f>
        <v>1</v>
      </c>
      <c r="Q981" s="1" t="str">
        <f>IF(HR_Data[[#This Row],[Years At Company]]&lt;=HR_Data[[#This Row],[Total Working Years]],"Valid","error")</f>
        <v>Valid</v>
      </c>
      <c r="R981" s="1" t="str" cm="1">
        <f t="array" ref="R981">_xlfn.IFS(HR_Data[[#This Row],[Age]]&lt;=30,"Young", HR_Data[[#This Row],[Age]]&lt;=45,"Mid-Age",HR_Data[[#This Row],[Age]]&gt;45,"Senior")</f>
        <v>Mid-Age</v>
      </c>
      <c r="S981" s="1" t="str" cm="1">
        <f t="array" ref="S981">_xlfn.IFS(HR_Data[[#This Row],[Monthly Income]]&lt;5000,"Low", HR_Data[[#This Row],[Monthly Income]]&lt;10000,"Medium",TRUE,"High")</f>
        <v>Medium</v>
      </c>
      <c r="T981" s="1" t="str" cm="1">
        <f t="array" ref="T981">_xlfn.IFS(HR_Data[[#This Row],[Total Working Years]]&lt;=5,"Junior", HR_Data[[#This Row],[Total Working Years]]&lt;=15,"Mid-Level", TRUE, "Senior")</f>
        <v>Mid-Level</v>
      </c>
    </row>
    <row r="982" spans="1:20" x14ac:dyDescent="0.25">
      <c r="A982" s="1">
        <v>1379</v>
      </c>
      <c r="B982" s="1">
        <v>31</v>
      </c>
      <c r="C982" t="s">
        <v>4</v>
      </c>
      <c r="D982" t="s">
        <v>5</v>
      </c>
      <c r="E982" t="s">
        <v>6</v>
      </c>
      <c r="F982" t="s">
        <v>7</v>
      </c>
      <c r="G982" t="s">
        <v>19</v>
      </c>
      <c r="H982" s="1">
        <v>4</v>
      </c>
      <c r="I982" s="1">
        <v>2785</v>
      </c>
      <c r="J982" t="s">
        <v>9</v>
      </c>
      <c r="K982" s="1">
        <v>14</v>
      </c>
      <c r="L982" s="1">
        <v>3</v>
      </c>
      <c r="M982" s="1">
        <v>3</v>
      </c>
      <c r="N982" s="1">
        <v>4</v>
      </c>
      <c r="O982" s="1">
        <v>1</v>
      </c>
      <c r="P982" s="1">
        <f>COUNTIF(HR_Data[Employee Number],HR_Data[[#This Row],[Employee Number]])</f>
        <v>1</v>
      </c>
      <c r="Q982" s="1" t="str">
        <f>IF(HR_Data[[#This Row],[Years At Company]]&lt;=HR_Data[[#This Row],[Total Working Years]],"Valid","error")</f>
        <v>Valid</v>
      </c>
      <c r="R982" s="1" t="str" cm="1">
        <f t="array" ref="R982">_xlfn.IFS(HR_Data[[#This Row],[Age]]&lt;=30,"Young", HR_Data[[#This Row],[Age]]&lt;=45,"Mid-Age",HR_Data[[#This Row],[Age]]&gt;45,"Senior")</f>
        <v>Mid-Age</v>
      </c>
      <c r="S982" s="1" t="str" cm="1">
        <f t="array" ref="S982">_xlfn.IFS(HR_Data[[#This Row],[Monthly Income]]&lt;5000,"Low", HR_Data[[#This Row],[Monthly Income]]&lt;10000,"Medium",TRUE,"High")</f>
        <v>Low</v>
      </c>
      <c r="T982" s="1" t="str" cm="1">
        <f t="array" ref="T982">_xlfn.IFS(HR_Data[[#This Row],[Total Working Years]]&lt;=5,"Junior", HR_Data[[#This Row],[Total Working Years]]&lt;=15,"Mid-Level", TRUE, "Senior")</f>
        <v>Junior</v>
      </c>
    </row>
    <row r="983" spans="1:20" x14ac:dyDescent="0.25">
      <c r="A983" s="1">
        <v>1380</v>
      </c>
      <c r="B983" s="1">
        <v>35</v>
      </c>
      <c r="C983" t="s">
        <v>4</v>
      </c>
      <c r="D983" t="s">
        <v>5</v>
      </c>
      <c r="E983" t="s">
        <v>21</v>
      </c>
      <c r="F983" t="s">
        <v>7</v>
      </c>
      <c r="G983" t="s">
        <v>8</v>
      </c>
      <c r="H983" s="1">
        <v>3</v>
      </c>
      <c r="I983" s="1">
        <v>4614</v>
      </c>
      <c r="J983" t="s">
        <v>4</v>
      </c>
      <c r="K983" s="1">
        <v>18</v>
      </c>
      <c r="L983" s="1">
        <v>3</v>
      </c>
      <c r="M983" s="1">
        <v>5</v>
      </c>
      <c r="N983" s="1">
        <v>2</v>
      </c>
      <c r="O983" s="1">
        <v>4</v>
      </c>
      <c r="P983" s="1">
        <f>COUNTIF(HR_Data[Employee Number],HR_Data[[#This Row],[Employee Number]])</f>
        <v>1</v>
      </c>
      <c r="Q983" s="1" t="str">
        <f>IF(HR_Data[[#This Row],[Years At Company]]&lt;=HR_Data[[#This Row],[Total Working Years]],"Valid","error")</f>
        <v>Valid</v>
      </c>
      <c r="R983" s="1" t="str" cm="1">
        <f t="array" ref="R983">_xlfn.IFS(HR_Data[[#This Row],[Age]]&lt;=30,"Young", HR_Data[[#This Row],[Age]]&lt;=45,"Mid-Age",HR_Data[[#This Row],[Age]]&gt;45,"Senior")</f>
        <v>Mid-Age</v>
      </c>
      <c r="S983" s="1" t="str" cm="1">
        <f t="array" ref="S983">_xlfn.IFS(HR_Data[[#This Row],[Monthly Income]]&lt;5000,"Low", HR_Data[[#This Row],[Monthly Income]]&lt;10000,"Medium",TRUE,"High")</f>
        <v>Low</v>
      </c>
      <c r="T983" s="1" t="str" cm="1">
        <f t="array" ref="T983">_xlfn.IFS(HR_Data[[#This Row],[Total Working Years]]&lt;=5,"Junior", HR_Data[[#This Row],[Total Working Years]]&lt;=15,"Mid-Level", TRUE, "Senior")</f>
        <v>Junior</v>
      </c>
    </row>
    <row r="984" spans="1:20" x14ac:dyDescent="0.25">
      <c r="A984" s="1">
        <v>1382</v>
      </c>
      <c r="B984" s="1">
        <v>38</v>
      </c>
      <c r="C984" t="s">
        <v>9</v>
      </c>
      <c r="D984" t="s">
        <v>10</v>
      </c>
      <c r="E984" t="s">
        <v>6</v>
      </c>
      <c r="F984" t="s">
        <v>11</v>
      </c>
      <c r="G984" t="s">
        <v>12</v>
      </c>
      <c r="H984" s="1">
        <v>3</v>
      </c>
      <c r="I984" s="1">
        <v>2610</v>
      </c>
      <c r="J984" t="s">
        <v>9</v>
      </c>
      <c r="K984" s="1">
        <v>11</v>
      </c>
      <c r="L984" s="1">
        <v>3</v>
      </c>
      <c r="M984" s="1">
        <v>4</v>
      </c>
      <c r="N984" s="1">
        <v>3</v>
      </c>
      <c r="O984" s="1">
        <v>4</v>
      </c>
      <c r="P984" s="1">
        <f>COUNTIF(HR_Data[Employee Number],HR_Data[[#This Row],[Employee Number]])</f>
        <v>1</v>
      </c>
      <c r="Q984" s="1" t="str">
        <f>IF(HR_Data[[#This Row],[Years At Company]]&lt;=HR_Data[[#This Row],[Total Working Years]],"Valid","error")</f>
        <v>Valid</v>
      </c>
      <c r="R984" s="1" t="str" cm="1">
        <f t="array" ref="R984">_xlfn.IFS(HR_Data[[#This Row],[Age]]&lt;=30,"Young", HR_Data[[#This Row],[Age]]&lt;=45,"Mid-Age",HR_Data[[#This Row],[Age]]&gt;45,"Senior")</f>
        <v>Mid-Age</v>
      </c>
      <c r="S984" s="1" t="str" cm="1">
        <f t="array" ref="S984">_xlfn.IFS(HR_Data[[#This Row],[Monthly Income]]&lt;5000,"Low", HR_Data[[#This Row],[Monthly Income]]&lt;10000,"Medium",TRUE,"High")</f>
        <v>Low</v>
      </c>
      <c r="T984" s="1" t="str" cm="1">
        <f t="array" ref="T984">_xlfn.IFS(HR_Data[[#This Row],[Total Working Years]]&lt;=5,"Junior", HR_Data[[#This Row],[Total Working Years]]&lt;=15,"Mid-Level", TRUE, "Senior")</f>
        <v>Junior</v>
      </c>
    </row>
    <row r="985" spans="1:20" x14ac:dyDescent="0.25">
      <c r="A985" s="1">
        <v>1383</v>
      </c>
      <c r="B985" s="1">
        <v>34</v>
      </c>
      <c r="C985" t="s">
        <v>9</v>
      </c>
      <c r="D985" t="s">
        <v>10</v>
      </c>
      <c r="E985" t="s">
        <v>22</v>
      </c>
      <c r="F985" t="s">
        <v>7</v>
      </c>
      <c r="G985" t="s">
        <v>17</v>
      </c>
      <c r="H985" s="1">
        <v>4</v>
      </c>
      <c r="I985" s="1">
        <v>6687</v>
      </c>
      <c r="J985" t="s">
        <v>9</v>
      </c>
      <c r="K985" s="1">
        <v>11</v>
      </c>
      <c r="L985" s="1">
        <v>3</v>
      </c>
      <c r="M985" s="1">
        <v>14</v>
      </c>
      <c r="N985" s="1">
        <v>4</v>
      </c>
      <c r="O985" s="1">
        <v>14</v>
      </c>
      <c r="P985" s="1">
        <f>COUNTIF(HR_Data[Employee Number],HR_Data[[#This Row],[Employee Number]])</f>
        <v>1</v>
      </c>
      <c r="Q985" s="1" t="str">
        <f>IF(HR_Data[[#This Row],[Years At Company]]&lt;=HR_Data[[#This Row],[Total Working Years]],"Valid","error")</f>
        <v>Valid</v>
      </c>
      <c r="R985" s="1" t="str" cm="1">
        <f t="array" ref="R985">_xlfn.IFS(HR_Data[[#This Row],[Age]]&lt;=30,"Young", HR_Data[[#This Row],[Age]]&lt;=45,"Mid-Age",HR_Data[[#This Row],[Age]]&gt;45,"Senior")</f>
        <v>Mid-Age</v>
      </c>
      <c r="S985" s="1" t="str" cm="1">
        <f t="array" ref="S985">_xlfn.IFS(HR_Data[[#This Row],[Monthly Income]]&lt;5000,"Low", HR_Data[[#This Row],[Monthly Income]]&lt;10000,"Medium",TRUE,"High")</f>
        <v>Medium</v>
      </c>
      <c r="T985" s="1" t="str" cm="1">
        <f t="array" ref="T985">_xlfn.IFS(HR_Data[[#This Row],[Total Working Years]]&lt;=5,"Junior", HR_Data[[#This Row],[Total Working Years]]&lt;=15,"Mid-Level", TRUE, "Senior")</f>
        <v>Mid-Level</v>
      </c>
    </row>
    <row r="986" spans="1:20" x14ac:dyDescent="0.25">
      <c r="A986" s="1">
        <v>1387</v>
      </c>
      <c r="B986" s="1">
        <v>28</v>
      </c>
      <c r="C986" t="s">
        <v>9</v>
      </c>
      <c r="D986" t="s">
        <v>5</v>
      </c>
      <c r="E986" t="s">
        <v>6</v>
      </c>
      <c r="F986" t="s">
        <v>11</v>
      </c>
      <c r="G986" t="s">
        <v>8</v>
      </c>
      <c r="H986" s="1">
        <v>1</v>
      </c>
      <c r="I986" s="1">
        <v>4724</v>
      </c>
      <c r="J986" t="s">
        <v>9</v>
      </c>
      <c r="K986" s="1">
        <v>11</v>
      </c>
      <c r="L986" s="1">
        <v>3</v>
      </c>
      <c r="M986" s="1">
        <v>5</v>
      </c>
      <c r="N986" s="1">
        <v>3</v>
      </c>
      <c r="O986" s="1">
        <v>5</v>
      </c>
      <c r="P986" s="1">
        <f>COUNTIF(HR_Data[Employee Number],HR_Data[[#This Row],[Employee Number]])</f>
        <v>1</v>
      </c>
      <c r="Q986" s="1" t="str">
        <f>IF(HR_Data[[#This Row],[Years At Company]]&lt;=HR_Data[[#This Row],[Total Working Years]],"Valid","error")</f>
        <v>Valid</v>
      </c>
      <c r="R986" s="1" t="str" cm="1">
        <f t="array" ref="R986">_xlfn.IFS(HR_Data[[#This Row],[Age]]&lt;=30,"Young", HR_Data[[#This Row],[Age]]&lt;=45,"Mid-Age",HR_Data[[#This Row],[Age]]&gt;45,"Senior")</f>
        <v>Young</v>
      </c>
      <c r="S986" s="1" t="str" cm="1">
        <f t="array" ref="S986">_xlfn.IFS(HR_Data[[#This Row],[Monthly Income]]&lt;5000,"Low", HR_Data[[#This Row],[Monthly Income]]&lt;10000,"Medium",TRUE,"High")</f>
        <v>Low</v>
      </c>
      <c r="T986" s="1" t="str" cm="1">
        <f t="array" ref="T986">_xlfn.IFS(HR_Data[[#This Row],[Total Working Years]]&lt;=5,"Junior", HR_Data[[#This Row],[Total Working Years]]&lt;=15,"Mid-Level", TRUE, "Senior")</f>
        <v>Junior</v>
      </c>
    </row>
    <row r="987" spans="1:20" x14ac:dyDescent="0.25">
      <c r="A987" s="1">
        <v>1389</v>
      </c>
      <c r="B987" s="1">
        <v>31</v>
      </c>
      <c r="C987" t="s">
        <v>4</v>
      </c>
      <c r="D987" t="s">
        <v>10</v>
      </c>
      <c r="E987" t="s">
        <v>15</v>
      </c>
      <c r="F987" t="s">
        <v>11</v>
      </c>
      <c r="G987" t="s">
        <v>16</v>
      </c>
      <c r="H987" s="1">
        <v>3</v>
      </c>
      <c r="I987" s="1">
        <v>6179</v>
      </c>
      <c r="J987" t="s">
        <v>4</v>
      </c>
      <c r="K987" s="1">
        <v>15</v>
      </c>
      <c r="L987" s="1">
        <v>3</v>
      </c>
      <c r="M987" s="1">
        <v>10</v>
      </c>
      <c r="N987" s="1">
        <v>2</v>
      </c>
      <c r="O987" s="1">
        <v>10</v>
      </c>
      <c r="P987" s="1">
        <f>COUNTIF(HR_Data[Employee Number],HR_Data[[#This Row],[Employee Number]])</f>
        <v>1</v>
      </c>
      <c r="Q987" s="1" t="str">
        <f>IF(HR_Data[[#This Row],[Years At Company]]&lt;=HR_Data[[#This Row],[Total Working Years]],"Valid","error")</f>
        <v>Valid</v>
      </c>
      <c r="R987" s="1" t="str" cm="1">
        <f t="array" ref="R987">_xlfn.IFS(HR_Data[[#This Row],[Age]]&lt;=30,"Young", HR_Data[[#This Row],[Age]]&lt;=45,"Mid-Age",HR_Data[[#This Row],[Age]]&gt;45,"Senior")</f>
        <v>Mid-Age</v>
      </c>
      <c r="S987" s="1" t="str" cm="1">
        <f t="array" ref="S987">_xlfn.IFS(HR_Data[[#This Row],[Monthly Income]]&lt;5000,"Low", HR_Data[[#This Row],[Monthly Income]]&lt;10000,"Medium",TRUE,"High")</f>
        <v>Medium</v>
      </c>
      <c r="T987" s="1" t="str" cm="1">
        <f t="array" ref="T987">_xlfn.IFS(HR_Data[[#This Row],[Total Working Years]]&lt;=5,"Junior", HR_Data[[#This Row],[Total Working Years]]&lt;=15,"Mid-Level", TRUE, "Senior")</f>
        <v>Mid-Level</v>
      </c>
    </row>
    <row r="988" spans="1:20" x14ac:dyDescent="0.25">
      <c r="A988" s="1">
        <v>1390</v>
      </c>
      <c r="B988" s="1">
        <v>39</v>
      </c>
      <c r="C988" t="s">
        <v>9</v>
      </c>
      <c r="D988" t="s">
        <v>5</v>
      </c>
      <c r="E988" t="s">
        <v>6</v>
      </c>
      <c r="F988" t="s">
        <v>11</v>
      </c>
      <c r="G988" t="s">
        <v>8</v>
      </c>
      <c r="H988" s="1">
        <v>4</v>
      </c>
      <c r="I988" s="1">
        <v>6120</v>
      </c>
      <c r="J988" t="s">
        <v>4</v>
      </c>
      <c r="K988" s="1">
        <v>12</v>
      </c>
      <c r="L988" s="1">
        <v>3</v>
      </c>
      <c r="M988" s="1">
        <v>8</v>
      </c>
      <c r="N988" s="1">
        <v>4</v>
      </c>
      <c r="O988" s="1">
        <v>5</v>
      </c>
      <c r="P988" s="1">
        <f>COUNTIF(HR_Data[Employee Number],HR_Data[[#This Row],[Employee Number]])</f>
        <v>1</v>
      </c>
      <c r="Q988" s="1" t="str">
        <f>IF(HR_Data[[#This Row],[Years At Company]]&lt;=HR_Data[[#This Row],[Total Working Years]],"Valid","error")</f>
        <v>Valid</v>
      </c>
      <c r="R988" s="1" t="str" cm="1">
        <f t="array" ref="R988">_xlfn.IFS(HR_Data[[#This Row],[Age]]&lt;=30,"Young", HR_Data[[#This Row],[Age]]&lt;=45,"Mid-Age",HR_Data[[#This Row],[Age]]&gt;45,"Senior")</f>
        <v>Mid-Age</v>
      </c>
      <c r="S988" s="1" t="str" cm="1">
        <f t="array" ref="S988">_xlfn.IFS(HR_Data[[#This Row],[Monthly Income]]&lt;5000,"Low", HR_Data[[#This Row],[Monthly Income]]&lt;10000,"Medium",TRUE,"High")</f>
        <v>Medium</v>
      </c>
      <c r="T988" s="1" t="str" cm="1">
        <f t="array" ref="T988">_xlfn.IFS(HR_Data[[#This Row],[Total Working Years]]&lt;=5,"Junior", HR_Data[[#This Row],[Total Working Years]]&lt;=15,"Mid-Level", TRUE, "Senior")</f>
        <v>Mid-Level</v>
      </c>
    </row>
    <row r="989" spans="1:20" x14ac:dyDescent="0.25">
      <c r="A989" s="1">
        <v>1391</v>
      </c>
      <c r="B989" s="1">
        <v>51</v>
      </c>
      <c r="C989" t="s">
        <v>9</v>
      </c>
      <c r="D989" t="s">
        <v>5</v>
      </c>
      <c r="E989" t="s">
        <v>21</v>
      </c>
      <c r="F989" t="s">
        <v>11</v>
      </c>
      <c r="G989" t="s">
        <v>8</v>
      </c>
      <c r="H989" s="1">
        <v>2</v>
      </c>
      <c r="I989" s="1">
        <v>10596</v>
      </c>
      <c r="J989" t="s">
        <v>9</v>
      </c>
      <c r="K989" s="1">
        <v>11</v>
      </c>
      <c r="L989" s="1">
        <v>3</v>
      </c>
      <c r="M989" s="1">
        <v>14</v>
      </c>
      <c r="N989" s="1">
        <v>3</v>
      </c>
      <c r="O989" s="1">
        <v>4</v>
      </c>
      <c r="P989" s="1">
        <f>COUNTIF(HR_Data[Employee Number],HR_Data[[#This Row],[Employee Number]])</f>
        <v>1</v>
      </c>
      <c r="Q989" s="1" t="str">
        <f>IF(HR_Data[[#This Row],[Years At Company]]&lt;=HR_Data[[#This Row],[Total Working Years]],"Valid","error")</f>
        <v>Valid</v>
      </c>
      <c r="R989" s="1" t="str" cm="1">
        <f t="array" ref="R989">_xlfn.IFS(HR_Data[[#This Row],[Age]]&lt;=30,"Young", HR_Data[[#This Row],[Age]]&lt;=45,"Mid-Age",HR_Data[[#This Row],[Age]]&gt;45,"Senior")</f>
        <v>Senior</v>
      </c>
      <c r="S989" s="1" t="str" cm="1">
        <f t="array" ref="S989">_xlfn.IFS(HR_Data[[#This Row],[Monthly Income]]&lt;5000,"Low", HR_Data[[#This Row],[Monthly Income]]&lt;10000,"Medium",TRUE,"High")</f>
        <v>High</v>
      </c>
      <c r="T989" s="1" t="str" cm="1">
        <f t="array" ref="T989">_xlfn.IFS(HR_Data[[#This Row],[Total Working Years]]&lt;=5,"Junior", HR_Data[[#This Row],[Total Working Years]]&lt;=15,"Mid-Level", TRUE, "Senior")</f>
        <v>Mid-Level</v>
      </c>
    </row>
    <row r="990" spans="1:20" x14ac:dyDescent="0.25">
      <c r="A990" s="1">
        <v>1392</v>
      </c>
      <c r="B990" s="1">
        <v>41</v>
      </c>
      <c r="C990" t="s">
        <v>9</v>
      </c>
      <c r="D990" t="s">
        <v>10</v>
      </c>
      <c r="E990" t="s">
        <v>6</v>
      </c>
      <c r="F990" t="s">
        <v>7</v>
      </c>
      <c r="G990" t="s">
        <v>12</v>
      </c>
      <c r="H990" s="1">
        <v>4</v>
      </c>
      <c r="I990" s="1">
        <v>5467</v>
      </c>
      <c r="J990" t="s">
        <v>4</v>
      </c>
      <c r="K990" s="1">
        <v>14</v>
      </c>
      <c r="L990" s="1">
        <v>3</v>
      </c>
      <c r="M990" s="1">
        <v>12</v>
      </c>
      <c r="N990" s="1">
        <v>2</v>
      </c>
      <c r="O990" s="1">
        <v>6</v>
      </c>
      <c r="P990" s="1">
        <f>COUNTIF(HR_Data[Employee Number],HR_Data[[#This Row],[Employee Number]])</f>
        <v>1</v>
      </c>
      <c r="Q990" s="1" t="str">
        <f>IF(HR_Data[[#This Row],[Years At Company]]&lt;=HR_Data[[#This Row],[Total Working Years]],"Valid","error")</f>
        <v>Valid</v>
      </c>
      <c r="R990" s="1" t="str" cm="1">
        <f t="array" ref="R990">_xlfn.IFS(HR_Data[[#This Row],[Age]]&lt;=30,"Young", HR_Data[[#This Row],[Age]]&lt;=45,"Mid-Age",HR_Data[[#This Row],[Age]]&gt;45,"Senior")</f>
        <v>Mid-Age</v>
      </c>
      <c r="S990" s="1" t="str" cm="1">
        <f t="array" ref="S990">_xlfn.IFS(HR_Data[[#This Row],[Monthly Income]]&lt;5000,"Low", HR_Data[[#This Row],[Monthly Income]]&lt;10000,"Medium",TRUE,"High")</f>
        <v>Medium</v>
      </c>
      <c r="T990" s="1" t="str" cm="1">
        <f t="array" ref="T990">_xlfn.IFS(HR_Data[[#This Row],[Total Working Years]]&lt;=5,"Junior", HR_Data[[#This Row],[Total Working Years]]&lt;=15,"Mid-Level", TRUE, "Senior")</f>
        <v>Mid-Level</v>
      </c>
    </row>
    <row r="991" spans="1:20" x14ac:dyDescent="0.25">
      <c r="A991" s="1">
        <v>1394</v>
      </c>
      <c r="B991" s="1">
        <v>37</v>
      </c>
      <c r="C991" t="s">
        <v>9</v>
      </c>
      <c r="D991" t="s">
        <v>10</v>
      </c>
      <c r="E991" t="s">
        <v>6</v>
      </c>
      <c r="F991" t="s">
        <v>11</v>
      </c>
      <c r="G991" t="s">
        <v>12</v>
      </c>
      <c r="H991" s="1">
        <v>3</v>
      </c>
      <c r="I991" s="1">
        <v>2996</v>
      </c>
      <c r="J991" t="s">
        <v>4</v>
      </c>
      <c r="K991" s="1">
        <v>15</v>
      </c>
      <c r="L991" s="1">
        <v>3</v>
      </c>
      <c r="M991" s="1">
        <v>8</v>
      </c>
      <c r="N991" s="1">
        <v>3</v>
      </c>
      <c r="O991" s="1">
        <v>6</v>
      </c>
      <c r="P991" s="1">
        <f>COUNTIF(HR_Data[Employee Number],HR_Data[[#This Row],[Employee Number]])</f>
        <v>1</v>
      </c>
      <c r="Q991" s="1" t="str">
        <f>IF(HR_Data[[#This Row],[Years At Company]]&lt;=HR_Data[[#This Row],[Total Working Years]],"Valid","error")</f>
        <v>Valid</v>
      </c>
      <c r="R991" s="1" t="str" cm="1">
        <f t="array" ref="R991">_xlfn.IFS(HR_Data[[#This Row],[Age]]&lt;=30,"Young", HR_Data[[#This Row],[Age]]&lt;=45,"Mid-Age",HR_Data[[#This Row],[Age]]&gt;45,"Senior")</f>
        <v>Mid-Age</v>
      </c>
      <c r="S991" s="1" t="str" cm="1">
        <f t="array" ref="S991">_xlfn.IFS(HR_Data[[#This Row],[Monthly Income]]&lt;5000,"Low", HR_Data[[#This Row],[Monthly Income]]&lt;10000,"Medium",TRUE,"High")</f>
        <v>Low</v>
      </c>
      <c r="T991" s="1" t="str" cm="1">
        <f t="array" ref="T991">_xlfn.IFS(HR_Data[[#This Row],[Total Working Years]]&lt;=5,"Junior", HR_Data[[#This Row],[Total Working Years]]&lt;=15,"Mid-Level", TRUE, "Senior")</f>
        <v>Mid-Level</v>
      </c>
    </row>
    <row r="992" spans="1:20" x14ac:dyDescent="0.25">
      <c r="A992" s="1">
        <v>1395</v>
      </c>
      <c r="B992" s="1">
        <v>33</v>
      </c>
      <c r="C992" t="s">
        <v>9</v>
      </c>
      <c r="D992" t="s">
        <v>5</v>
      </c>
      <c r="E992" t="s">
        <v>6</v>
      </c>
      <c r="F992" t="s">
        <v>11</v>
      </c>
      <c r="G992" t="s">
        <v>8</v>
      </c>
      <c r="H992" s="1">
        <v>4</v>
      </c>
      <c r="I992" s="1">
        <v>9998</v>
      </c>
      <c r="J992" t="s">
        <v>9</v>
      </c>
      <c r="K992" s="1">
        <v>13</v>
      </c>
      <c r="L992" s="1">
        <v>3</v>
      </c>
      <c r="M992" s="1">
        <v>8</v>
      </c>
      <c r="N992" s="1">
        <v>4</v>
      </c>
      <c r="O992" s="1">
        <v>5</v>
      </c>
      <c r="P992" s="1">
        <f>COUNTIF(HR_Data[Employee Number],HR_Data[[#This Row],[Employee Number]])</f>
        <v>1</v>
      </c>
      <c r="Q992" s="1" t="str">
        <f>IF(HR_Data[[#This Row],[Years At Company]]&lt;=HR_Data[[#This Row],[Total Working Years]],"Valid","error")</f>
        <v>Valid</v>
      </c>
      <c r="R992" s="1" t="str" cm="1">
        <f t="array" ref="R992">_xlfn.IFS(HR_Data[[#This Row],[Age]]&lt;=30,"Young", HR_Data[[#This Row],[Age]]&lt;=45,"Mid-Age",HR_Data[[#This Row],[Age]]&gt;45,"Senior")</f>
        <v>Mid-Age</v>
      </c>
      <c r="S992" s="1" t="str" cm="1">
        <f t="array" ref="S992">_xlfn.IFS(HR_Data[[#This Row],[Monthly Income]]&lt;5000,"Low", HR_Data[[#This Row],[Monthly Income]]&lt;10000,"Medium",TRUE,"High")</f>
        <v>Medium</v>
      </c>
      <c r="T992" s="1" t="str" cm="1">
        <f t="array" ref="T992">_xlfn.IFS(HR_Data[[#This Row],[Total Working Years]]&lt;=5,"Junior", HR_Data[[#This Row],[Total Working Years]]&lt;=15,"Mid-Level", TRUE, "Senior")</f>
        <v>Mid-Level</v>
      </c>
    </row>
    <row r="993" spans="1:20" x14ac:dyDescent="0.25">
      <c r="A993" s="1">
        <v>1396</v>
      </c>
      <c r="B993" s="1">
        <v>32</v>
      </c>
      <c r="C993" t="s">
        <v>9</v>
      </c>
      <c r="D993" t="s">
        <v>5</v>
      </c>
      <c r="E993" t="s">
        <v>21</v>
      </c>
      <c r="F993" t="s">
        <v>11</v>
      </c>
      <c r="G993" t="s">
        <v>8</v>
      </c>
      <c r="H993" s="1">
        <v>2</v>
      </c>
      <c r="I993" s="1">
        <v>4078</v>
      </c>
      <c r="J993" t="s">
        <v>4</v>
      </c>
      <c r="K993" s="1">
        <v>13</v>
      </c>
      <c r="L993" s="1">
        <v>3</v>
      </c>
      <c r="M993" s="1">
        <v>4</v>
      </c>
      <c r="N993" s="1">
        <v>2</v>
      </c>
      <c r="O993" s="1">
        <v>3</v>
      </c>
      <c r="P993" s="1">
        <f>COUNTIF(HR_Data[Employee Number],HR_Data[[#This Row],[Employee Number]])</f>
        <v>1</v>
      </c>
      <c r="Q993" s="1" t="str">
        <f>IF(HR_Data[[#This Row],[Years At Company]]&lt;=HR_Data[[#This Row],[Total Working Years]],"Valid","error")</f>
        <v>Valid</v>
      </c>
      <c r="R993" s="1" t="str" cm="1">
        <f t="array" ref="R993">_xlfn.IFS(HR_Data[[#This Row],[Age]]&lt;=30,"Young", HR_Data[[#This Row],[Age]]&lt;=45,"Mid-Age",HR_Data[[#This Row],[Age]]&gt;45,"Senior")</f>
        <v>Mid-Age</v>
      </c>
      <c r="S993" s="1" t="str" cm="1">
        <f t="array" ref="S993">_xlfn.IFS(HR_Data[[#This Row],[Monthly Income]]&lt;5000,"Low", HR_Data[[#This Row],[Monthly Income]]&lt;10000,"Medium",TRUE,"High")</f>
        <v>Low</v>
      </c>
      <c r="T993" s="1" t="str" cm="1">
        <f t="array" ref="T993">_xlfn.IFS(HR_Data[[#This Row],[Total Working Years]]&lt;=5,"Junior", HR_Data[[#This Row],[Total Working Years]]&lt;=15,"Mid-Level", TRUE, "Senior")</f>
        <v>Junior</v>
      </c>
    </row>
    <row r="994" spans="1:20" x14ac:dyDescent="0.25">
      <c r="A994" s="1">
        <v>1397</v>
      </c>
      <c r="B994" s="1">
        <v>39</v>
      </c>
      <c r="C994" t="s">
        <v>9</v>
      </c>
      <c r="D994" t="s">
        <v>10</v>
      </c>
      <c r="E994" t="s">
        <v>6</v>
      </c>
      <c r="F994" t="s">
        <v>11</v>
      </c>
      <c r="G994" t="s">
        <v>17</v>
      </c>
      <c r="H994" s="1">
        <v>3</v>
      </c>
      <c r="I994" s="1">
        <v>10920</v>
      </c>
      <c r="J994" t="s">
        <v>9</v>
      </c>
      <c r="K994" s="1">
        <v>21</v>
      </c>
      <c r="L994" s="1">
        <v>4</v>
      </c>
      <c r="M994" s="1">
        <v>13</v>
      </c>
      <c r="N994" s="1">
        <v>3</v>
      </c>
      <c r="O994" s="1">
        <v>6</v>
      </c>
      <c r="P994" s="1">
        <f>COUNTIF(HR_Data[Employee Number],HR_Data[[#This Row],[Employee Number]])</f>
        <v>1</v>
      </c>
      <c r="Q994" s="1" t="str">
        <f>IF(HR_Data[[#This Row],[Years At Company]]&lt;=HR_Data[[#This Row],[Total Working Years]],"Valid","error")</f>
        <v>Valid</v>
      </c>
      <c r="R994" s="1" t="str" cm="1">
        <f t="array" ref="R994">_xlfn.IFS(HR_Data[[#This Row],[Age]]&lt;=30,"Young", HR_Data[[#This Row],[Age]]&lt;=45,"Mid-Age",HR_Data[[#This Row],[Age]]&gt;45,"Senior")</f>
        <v>Mid-Age</v>
      </c>
      <c r="S994" s="1" t="str" cm="1">
        <f t="array" ref="S994">_xlfn.IFS(HR_Data[[#This Row],[Monthly Income]]&lt;5000,"Low", HR_Data[[#This Row],[Monthly Income]]&lt;10000,"Medium",TRUE,"High")</f>
        <v>High</v>
      </c>
      <c r="T994" s="1" t="str" cm="1">
        <f t="array" ref="T994">_xlfn.IFS(HR_Data[[#This Row],[Total Working Years]]&lt;=5,"Junior", HR_Data[[#This Row],[Total Working Years]]&lt;=15,"Mid-Level", TRUE, "Senior")</f>
        <v>Mid-Level</v>
      </c>
    </row>
    <row r="995" spans="1:20" x14ac:dyDescent="0.25">
      <c r="A995" s="1">
        <v>1399</v>
      </c>
      <c r="B995" s="1">
        <v>25</v>
      </c>
      <c r="C995" t="s">
        <v>9</v>
      </c>
      <c r="D995" t="s">
        <v>5</v>
      </c>
      <c r="E995" t="s">
        <v>6</v>
      </c>
      <c r="F995" t="s">
        <v>11</v>
      </c>
      <c r="G995" t="s">
        <v>8</v>
      </c>
      <c r="H995" s="1">
        <v>3</v>
      </c>
      <c r="I995" s="1">
        <v>6232</v>
      </c>
      <c r="J995" t="s">
        <v>9</v>
      </c>
      <c r="K995" s="1">
        <v>11</v>
      </c>
      <c r="L995" s="1">
        <v>3</v>
      </c>
      <c r="M995" s="1">
        <v>6</v>
      </c>
      <c r="N995" s="1">
        <v>2</v>
      </c>
      <c r="O995" s="1">
        <v>3</v>
      </c>
      <c r="P995" s="1">
        <f>COUNTIF(HR_Data[Employee Number],HR_Data[[#This Row],[Employee Number]])</f>
        <v>1</v>
      </c>
      <c r="Q995" s="1" t="str">
        <f>IF(HR_Data[[#This Row],[Years At Company]]&lt;=HR_Data[[#This Row],[Total Working Years]],"Valid","error")</f>
        <v>Valid</v>
      </c>
      <c r="R995" s="1" t="str" cm="1">
        <f t="array" ref="R995">_xlfn.IFS(HR_Data[[#This Row],[Age]]&lt;=30,"Young", HR_Data[[#This Row],[Age]]&lt;=45,"Mid-Age",HR_Data[[#This Row],[Age]]&gt;45,"Senior")</f>
        <v>Young</v>
      </c>
      <c r="S995" s="1" t="str" cm="1">
        <f t="array" ref="S995">_xlfn.IFS(HR_Data[[#This Row],[Monthly Income]]&lt;5000,"Low", HR_Data[[#This Row],[Monthly Income]]&lt;10000,"Medium",TRUE,"High")</f>
        <v>Medium</v>
      </c>
      <c r="T995" s="1" t="str" cm="1">
        <f t="array" ref="T995">_xlfn.IFS(HR_Data[[#This Row],[Total Working Years]]&lt;=5,"Junior", HR_Data[[#This Row],[Total Working Years]]&lt;=15,"Mid-Level", TRUE, "Senior")</f>
        <v>Mid-Level</v>
      </c>
    </row>
    <row r="996" spans="1:20" x14ac:dyDescent="0.25">
      <c r="A996" s="1">
        <v>1401</v>
      </c>
      <c r="B996" s="1">
        <v>52</v>
      </c>
      <c r="C996" t="s">
        <v>9</v>
      </c>
      <c r="D996" t="s">
        <v>10</v>
      </c>
      <c r="E996" t="s">
        <v>15</v>
      </c>
      <c r="F996" t="s">
        <v>7</v>
      </c>
      <c r="G996" t="s">
        <v>16</v>
      </c>
      <c r="H996" s="1">
        <v>3</v>
      </c>
      <c r="I996" s="1">
        <v>13247</v>
      </c>
      <c r="J996" t="s">
        <v>4</v>
      </c>
      <c r="K996" s="1">
        <v>11</v>
      </c>
      <c r="L996" s="1">
        <v>3</v>
      </c>
      <c r="M996" s="1">
        <v>24</v>
      </c>
      <c r="N996" s="1">
        <v>2</v>
      </c>
      <c r="O996" s="1">
        <v>5</v>
      </c>
      <c r="P996" s="1">
        <f>COUNTIF(HR_Data[Employee Number],HR_Data[[#This Row],[Employee Number]])</f>
        <v>1</v>
      </c>
      <c r="Q996" s="1" t="str">
        <f>IF(HR_Data[[#This Row],[Years At Company]]&lt;=HR_Data[[#This Row],[Total Working Years]],"Valid","error")</f>
        <v>Valid</v>
      </c>
      <c r="R996" s="1" t="str" cm="1">
        <f t="array" ref="R996">_xlfn.IFS(HR_Data[[#This Row],[Age]]&lt;=30,"Young", HR_Data[[#This Row],[Age]]&lt;=45,"Mid-Age",HR_Data[[#This Row],[Age]]&gt;45,"Senior")</f>
        <v>Senior</v>
      </c>
      <c r="S996" s="1" t="str" cm="1">
        <f t="array" ref="S996">_xlfn.IFS(HR_Data[[#This Row],[Monthly Income]]&lt;5000,"Low", HR_Data[[#This Row],[Monthly Income]]&lt;10000,"Medium",TRUE,"High")</f>
        <v>High</v>
      </c>
      <c r="T996" s="1" t="str" cm="1">
        <f t="array" ref="T996">_xlfn.IFS(HR_Data[[#This Row],[Total Working Years]]&lt;=5,"Junior", HR_Data[[#This Row],[Total Working Years]]&lt;=15,"Mid-Level", TRUE, "Senior")</f>
        <v>Senior</v>
      </c>
    </row>
    <row r="997" spans="1:20" x14ac:dyDescent="0.25">
      <c r="A997" s="1">
        <v>1402</v>
      </c>
      <c r="B997" s="1">
        <v>43</v>
      </c>
      <c r="C997" t="s">
        <v>9</v>
      </c>
      <c r="D997" t="s">
        <v>10</v>
      </c>
      <c r="E997" t="s">
        <v>15</v>
      </c>
      <c r="F997" t="s">
        <v>7</v>
      </c>
      <c r="G997" t="s">
        <v>12</v>
      </c>
      <c r="H997" s="1">
        <v>3</v>
      </c>
      <c r="I997" s="1">
        <v>4081</v>
      </c>
      <c r="J997" t="s">
        <v>4</v>
      </c>
      <c r="K997" s="1">
        <v>14</v>
      </c>
      <c r="L997" s="1">
        <v>3</v>
      </c>
      <c r="M997" s="1">
        <v>20</v>
      </c>
      <c r="N997" s="1">
        <v>1</v>
      </c>
      <c r="O997" s="1">
        <v>20</v>
      </c>
      <c r="P997" s="1">
        <f>COUNTIF(HR_Data[Employee Number],HR_Data[[#This Row],[Employee Number]])</f>
        <v>1</v>
      </c>
      <c r="Q997" s="1" t="str">
        <f>IF(HR_Data[[#This Row],[Years At Company]]&lt;=HR_Data[[#This Row],[Total Working Years]],"Valid","error")</f>
        <v>Valid</v>
      </c>
      <c r="R997" s="1" t="str" cm="1">
        <f t="array" ref="R997">_xlfn.IFS(HR_Data[[#This Row],[Age]]&lt;=30,"Young", HR_Data[[#This Row],[Age]]&lt;=45,"Mid-Age",HR_Data[[#This Row],[Age]]&gt;45,"Senior")</f>
        <v>Mid-Age</v>
      </c>
      <c r="S997" s="1" t="str" cm="1">
        <f t="array" ref="S997">_xlfn.IFS(HR_Data[[#This Row],[Monthly Income]]&lt;5000,"Low", HR_Data[[#This Row],[Monthly Income]]&lt;10000,"Medium",TRUE,"High")</f>
        <v>Low</v>
      </c>
      <c r="T997" s="1" t="str" cm="1">
        <f t="array" ref="T997">_xlfn.IFS(HR_Data[[#This Row],[Total Working Years]]&lt;=5,"Junior", HR_Data[[#This Row],[Total Working Years]]&lt;=15,"Mid-Level", TRUE, "Senior")</f>
        <v>Senior</v>
      </c>
    </row>
    <row r="998" spans="1:20" x14ac:dyDescent="0.25">
      <c r="A998" s="1">
        <v>1403</v>
      </c>
      <c r="B998" s="1">
        <v>27</v>
      </c>
      <c r="C998" t="s">
        <v>9</v>
      </c>
      <c r="D998" t="s">
        <v>5</v>
      </c>
      <c r="E998" t="s">
        <v>21</v>
      </c>
      <c r="F998" t="s">
        <v>7</v>
      </c>
      <c r="G998" t="s">
        <v>8</v>
      </c>
      <c r="H998" s="1">
        <v>4</v>
      </c>
      <c r="I998" s="1">
        <v>5769</v>
      </c>
      <c r="J998" t="s">
        <v>4</v>
      </c>
      <c r="K998" s="1">
        <v>11</v>
      </c>
      <c r="L998" s="1">
        <v>3</v>
      </c>
      <c r="M998" s="1">
        <v>6</v>
      </c>
      <c r="N998" s="1">
        <v>3</v>
      </c>
      <c r="O998" s="1">
        <v>6</v>
      </c>
      <c r="P998" s="1">
        <f>COUNTIF(HR_Data[Employee Number],HR_Data[[#This Row],[Employee Number]])</f>
        <v>1</v>
      </c>
      <c r="Q998" s="1" t="str">
        <f>IF(HR_Data[[#This Row],[Years At Company]]&lt;=HR_Data[[#This Row],[Total Working Years]],"Valid","error")</f>
        <v>Valid</v>
      </c>
      <c r="R998" s="1" t="str" cm="1">
        <f t="array" ref="R998">_xlfn.IFS(HR_Data[[#This Row],[Age]]&lt;=30,"Young", HR_Data[[#This Row],[Age]]&lt;=45,"Mid-Age",HR_Data[[#This Row],[Age]]&gt;45,"Senior")</f>
        <v>Young</v>
      </c>
      <c r="S998" s="1" t="str" cm="1">
        <f t="array" ref="S998">_xlfn.IFS(HR_Data[[#This Row],[Monthly Income]]&lt;5000,"Low", HR_Data[[#This Row],[Monthly Income]]&lt;10000,"Medium",TRUE,"High")</f>
        <v>Medium</v>
      </c>
      <c r="T998" s="1" t="str" cm="1">
        <f t="array" ref="T998">_xlfn.IFS(HR_Data[[#This Row],[Total Working Years]]&lt;=5,"Junior", HR_Data[[#This Row],[Total Working Years]]&lt;=15,"Mid-Level", TRUE, "Senior")</f>
        <v>Mid-Level</v>
      </c>
    </row>
    <row r="999" spans="1:20" x14ac:dyDescent="0.25">
      <c r="A999" s="1">
        <v>1405</v>
      </c>
      <c r="B999" s="1">
        <v>27</v>
      </c>
      <c r="C999" t="s">
        <v>4</v>
      </c>
      <c r="D999" t="s">
        <v>10</v>
      </c>
      <c r="E999" t="s">
        <v>6</v>
      </c>
      <c r="F999" t="s">
        <v>7</v>
      </c>
      <c r="G999" t="s">
        <v>12</v>
      </c>
      <c r="H999" s="1">
        <v>3</v>
      </c>
      <c r="I999" s="1">
        <v>2394</v>
      </c>
      <c r="J999" t="s">
        <v>4</v>
      </c>
      <c r="K999" s="1">
        <v>13</v>
      </c>
      <c r="L999" s="1">
        <v>3</v>
      </c>
      <c r="M999" s="1">
        <v>8</v>
      </c>
      <c r="N999" s="1">
        <v>3</v>
      </c>
      <c r="O999" s="1">
        <v>8</v>
      </c>
      <c r="P999" s="1">
        <f>COUNTIF(HR_Data[Employee Number],HR_Data[[#This Row],[Employee Number]])</f>
        <v>1</v>
      </c>
      <c r="Q999" s="1" t="str">
        <f>IF(HR_Data[[#This Row],[Years At Company]]&lt;=HR_Data[[#This Row],[Total Working Years]],"Valid","error")</f>
        <v>Valid</v>
      </c>
      <c r="R999" s="1" t="str" cm="1">
        <f t="array" ref="R999">_xlfn.IFS(HR_Data[[#This Row],[Age]]&lt;=30,"Young", HR_Data[[#This Row],[Age]]&lt;=45,"Mid-Age",HR_Data[[#This Row],[Age]]&gt;45,"Senior")</f>
        <v>Young</v>
      </c>
      <c r="S999" s="1" t="str" cm="1">
        <f t="array" ref="S999">_xlfn.IFS(HR_Data[[#This Row],[Monthly Income]]&lt;5000,"Low", HR_Data[[#This Row],[Monthly Income]]&lt;10000,"Medium",TRUE,"High")</f>
        <v>Low</v>
      </c>
      <c r="T999" s="1" t="str" cm="1">
        <f t="array" ref="T999">_xlfn.IFS(HR_Data[[#This Row],[Total Working Years]]&lt;=5,"Junior", HR_Data[[#This Row],[Total Working Years]]&lt;=15,"Mid-Level", TRUE, "Senior")</f>
        <v>Mid-Level</v>
      </c>
    </row>
    <row r="1000" spans="1:20" x14ac:dyDescent="0.25">
      <c r="A1000" s="1">
        <v>1407</v>
      </c>
      <c r="B1000" s="1">
        <v>26</v>
      </c>
      <c r="C1000" t="s">
        <v>9</v>
      </c>
      <c r="D1000" t="s">
        <v>10</v>
      </c>
      <c r="E1000" t="s">
        <v>15</v>
      </c>
      <c r="F1000" t="s">
        <v>11</v>
      </c>
      <c r="G1000" t="s">
        <v>12</v>
      </c>
      <c r="H1000" s="1">
        <v>4</v>
      </c>
      <c r="I1000" s="1">
        <v>3904</v>
      </c>
      <c r="J1000" t="s">
        <v>9</v>
      </c>
      <c r="K1000" s="1">
        <v>12</v>
      </c>
      <c r="L1000" s="1">
        <v>3</v>
      </c>
      <c r="M1000" s="1">
        <v>5</v>
      </c>
      <c r="N1000" s="1">
        <v>3</v>
      </c>
      <c r="O1000" s="1">
        <v>4</v>
      </c>
      <c r="P1000" s="1">
        <f>COUNTIF(HR_Data[Employee Number],HR_Data[[#This Row],[Employee Number]])</f>
        <v>1</v>
      </c>
      <c r="Q1000" s="1" t="str">
        <f>IF(HR_Data[[#This Row],[Years At Company]]&lt;=HR_Data[[#This Row],[Total Working Years]],"Valid","error")</f>
        <v>Valid</v>
      </c>
      <c r="R1000" s="1" t="str" cm="1">
        <f t="array" ref="R1000">_xlfn.IFS(HR_Data[[#This Row],[Age]]&lt;=30,"Young", HR_Data[[#This Row],[Age]]&lt;=45,"Mid-Age",HR_Data[[#This Row],[Age]]&gt;45,"Senior")</f>
        <v>Young</v>
      </c>
      <c r="S1000" s="1" t="str" cm="1">
        <f t="array" ref="S1000">_xlfn.IFS(HR_Data[[#This Row],[Monthly Income]]&lt;5000,"Low", HR_Data[[#This Row],[Monthly Income]]&lt;10000,"Medium",TRUE,"High")</f>
        <v>Low</v>
      </c>
      <c r="T1000" s="1" t="str" cm="1">
        <f t="array" ref="T1000">_xlfn.IFS(HR_Data[[#This Row],[Total Working Years]]&lt;=5,"Junior", HR_Data[[#This Row],[Total Working Years]]&lt;=15,"Mid-Level", TRUE, "Senior")</f>
        <v>Junior</v>
      </c>
    </row>
    <row r="1001" spans="1:20" x14ac:dyDescent="0.25">
      <c r="A1001" s="1">
        <v>1408</v>
      </c>
      <c r="B1001" s="1">
        <v>42</v>
      </c>
      <c r="C1001" t="s">
        <v>9</v>
      </c>
      <c r="D1001" t="s">
        <v>23</v>
      </c>
      <c r="E1001" t="s">
        <v>23</v>
      </c>
      <c r="F1001" t="s">
        <v>7</v>
      </c>
      <c r="G1001" t="s">
        <v>18</v>
      </c>
      <c r="H1001" s="1">
        <v>1</v>
      </c>
      <c r="I1001" s="1">
        <v>16799</v>
      </c>
      <c r="J1001" t="s">
        <v>9</v>
      </c>
      <c r="K1001" s="1">
        <v>14</v>
      </c>
      <c r="L1001" s="1">
        <v>3</v>
      </c>
      <c r="M1001" s="1">
        <v>21</v>
      </c>
      <c r="N1001" s="1">
        <v>3</v>
      </c>
      <c r="O1001" s="1">
        <v>20</v>
      </c>
      <c r="P1001" s="1">
        <f>COUNTIF(HR_Data[Employee Number],HR_Data[[#This Row],[Employee Number]])</f>
        <v>1</v>
      </c>
      <c r="Q1001" s="1" t="str">
        <f>IF(HR_Data[[#This Row],[Years At Company]]&lt;=HR_Data[[#This Row],[Total Working Years]],"Valid","error")</f>
        <v>Valid</v>
      </c>
      <c r="R1001" s="1" t="str" cm="1">
        <f t="array" ref="R1001">_xlfn.IFS(HR_Data[[#This Row],[Age]]&lt;=30,"Young", HR_Data[[#This Row],[Age]]&lt;=45,"Mid-Age",HR_Data[[#This Row],[Age]]&gt;45,"Senior")</f>
        <v>Mid-Age</v>
      </c>
      <c r="S1001" s="1" t="str" cm="1">
        <f t="array" ref="S1001">_xlfn.IFS(HR_Data[[#This Row],[Monthly Income]]&lt;5000,"Low", HR_Data[[#This Row],[Monthly Income]]&lt;10000,"Medium",TRUE,"High")</f>
        <v>High</v>
      </c>
      <c r="T1001" s="1" t="str" cm="1">
        <f t="array" ref="T1001">_xlfn.IFS(HR_Data[[#This Row],[Total Working Years]]&lt;=5,"Junior", HR_Data[[#This Row],[Total Working Years]]&lt;=15,"Mid-Level", TRUE, "Senior")</f>
        <v>Senior</v>
      </c>
    </row>
    <row r="1002" spans="1:20" x14ac:dyDescent="0.25">
      <c r="A1002" s="1">
        <v>1409</v>
      </c>
      <c r="B1002" s="1">
        <v>52</v>
      </c>
      <c r="C1002" t="s">
        <v>9</v>
      </c>
      <c r="D1002" t="s">
        <v>10</v>
      </c>
      <c r="E1002" t="s">
        <v>13</v>
      </c>
      <c r="F1002" t="s">
        <v>7</v>
      </c>
      <c r="G1002" t="s">
        <v>14</v>
      </c>
      <c r="H1002" s="1">
        <v>1</v>
      </c>
      <c r="I1002" s="1">
        <v>2950</v>
      </c>
      <c r="J1002" t="s">
        <v>9</v>
      </c>
      <c r="K1002" s="1">
        <v>13</v>
      </c>
      <c r="L1002" s="1">
        <v>3</v>
      </c>
      <c r="M1002" s="1">
        <v>12</v>
      </c>
      <c r="N1002" s="1">
        <v>1</v>
      </c>
      <c r="O1002" s="1">
        <v>5</v>
      </c>
      <c r="P1002" s="1">
        <f>COUNTIF(HR_Data[Employee Number],HR_Data[[#This Row],[Employee Number]])</f>
        <v>1</v>
      </c>
      <c r="Q1002" s="1" t="str">
        <f>IF(HR_Data[[#This Row],[Years At Company]]&lt;=HR_Data[[#This Row],[Total Working Years]],"Valid","error")</f>
        <v>Valid</v>
      </c>
      <c r="R1002" s="1" t="str" cm="1">
        <f t="array" ref="R1002">_xlfn.IFS(HR_Data[[#This Row],[Age]]&lt;=30,"Young", HR_Data[[#This Row],[Age]]&lt;=45,"Mid-Age",HR_Data[[#This Row],[Age]]&gt;45,"Senior")</f>
        <v>Senior</v>
      </c>
      <c r="S1002" s="1" t="str" cm="1">
        <f t="array" ref="S1002">_xlfn.IFS(HR_Data[[#This Row],[Monthly Income]]&lt;5000,"Low", HR_Data[[#This Row],[Monthly Income]]&lt;10000,"Medium",TRUE,"High")</f>
        <v>Low</v>
      </c>
      <c r="T1002" s="1" t="str" cm="1">
        <f t="array" ref="T1002">_xlfn.IFS(HR_Data[[#This Row],[Total Working Years]]&lt;=5,"Junior", HR_Data[[#This Row],[Total Working Years]]&lt;=15,"Mid-Level", TRUE, "Senior")</f>
        <v>Mid-Level</v>
      </c>
    </row>
    <row r="1003" spans="1:20" x14ac:dyDescent="0.25">
      <c r="A1003" s="1">
        <v>1411</v>
      </c>
      <c r="B1003" s="1">
        <v>37</v>
      </c>
      <c r="C1003" t="s">
        <v>9</v>
      </c>
      <c r="D1003" t="s">
        <v>10</v>
      </c>
      <c r="E1003" t="s">
        <v>15</v>
      </c>
      <c r="F1003" t="s">
        <v>7</v>
      </c>
      <c r="G1003" t="s">
        <v>14</v>
      </c>
      <c r="H1003" s="1">
        <v>3</v>
      </c>
      <c r="I1003" s="1">
        <v>3629</v>
      </c>
      <c r="J1003" t="s">
        <v>9</v>
      </c>
      <c r="K1003" s="1">
        <v>18</v>
      </c>
      <c r="L1003" s="1">
        <v>3</v>
      </c>
      <c r="M1003" s="1">
        <v>8</v>
      </c>
      <c r="N1003" s="1">
        <v>3</v>
      </c>
      <c r="O1003" s="1">
        <v>3</v>
      </c>
      <c r="P1003" s="1">
        <f>COUNTIF(HR_Data[Employee Number],HR_Data[[#This Row],[Employee Number]])</f>
        <v>1</v>
      </c>
      <c r="Q1003" s="1" t="str">
        <f>IF(HR_Data[[#This Row],[Years At Company]]&lt;=HR_Data[[#This Row],[Total Working Years]],"Valid","error")</f>
        <v>Valid</v>
      </c>
      <c r="R1003" s="1" t="str" cm="1">
        <f t="array" ref="R1003">_xlfn.IFS(HR_Data[[#This Row],[Age]]&lt;=30,"Young", HR_Data[[#This Row],[Age]]&lt;=45,"Mid-Age",HR_Data[[#This Row],[Age]]&gt;45,"Senior")</f>
        <v>Mid-Age</v>
      </c>
      <c r="S1003" s="1" t="str" cm="1">
        <f t="array" ref="S1003">_xlfn.IFS(HR_Data[[#This Row],[Monthly Income]]&lt;5000,"Low", HR_Data[[#This Row],[Monthly Income]]&lt;10000,"Medium",TRUE,"High")</f>
        <v>Low</v>
      </c>
      <c r="T1003" s="1" t="str" cm="1">
        <f t="array" ref="T1003">_xlfn.IFS(HR_Data[[#This Row],[Total Working Years]]&lt;=5,"Junior", HR_Data[[#This Row],[Total Working Years]]&lt;=15,"Mid-Level", TRUE, "Senior")</f>
        <v>Mid-Level</v>
      </c>
    </row>
    <row r="1004" spans="1:20" x14ac:dyDescent="0.25">
      <c r="A1004" s="1">
        <v>1412</v>
      </c>
      <c r="B1004" s="1">
        <v>35</v>
      </c>
      <c r="C1004" t="s">
        <v>9</v>
      </c>
      <c r="D1004" t="s">
        <v>10</v>
      </c>
      <c r="E1004" t="s">
        <v>6</v>
      </c>
      <c r="F1004" t="s">
        <v>11</v>
      </c>
      <c r="G1004" t="s">
        <v>16</v>
      </c>
      <c r="H1004" s="1">
        <v>4</v>
      </c>
      <c r="I1004" s="1">
        <v>9362</v>
      </c>
      <c r="J1004" t="s">
        <v>9</v>
      </c>
      <c r="K1004" s="1">
        <v>11</v>
      </c>
      <c r="L1004" s="1">
        <v>3</v>
      </c>
      <c r="M1004" s="1">
        <v>10</v>
      </c>
      <c r="N1004" s="1">
        <v>3</v>
      </c>
      <c r="O1004" s="1">
        <v>2</v>
      </c>
      <c r="P1004" s="1">
        <f>COUNTIF(HR_Data[Employee Number],HR_Data[[#This Row],[Employee Number]])</f>
        <v>1</v>
      </c>
      <c r="Q1004" s="1" t="str">
        <f>IF(HR_Data[[#This Row],[Years At Company]]&lt;=HR_Data[[#This Row],[Total Working Years]],"Valid","error")</f>
        <v>Valid</v>
      </c>
      <c r="R1004" s="1" t="str" cm="1">
        <f t="array" ref="R1004">_xlfn.IFS(HR_Data[[#This Row],[Age]]&lt;=30,"Young", HR_Data[[#This Row],[Age]]&lt;=45,"Mid-Age",HR_Data[[#This Row],[Age]]&gt;45,"Senior")</f>
        <v>Mid-Age</v>
      </c>
      <c r="S1004" s="1" t="str" cm="1">
        <f t="array" ref="S1004">_xlfn.IFS(HR_Data[[#This Row],[Monthly Income]]&lt;5000,"Low", HR_Data[[#This Row],[Monthly Income]]&lt;10000,"Medium",TRUE,"High")</f>
        <v>Medium</v>
      </c>
      <c r="T1004" s="1" t="str" cm="1">
        <f t="array" ref="T1004">_xlfn.IFS(HR_Data[[#This Row],[Total Working Years]]&lt;=5,"Junior", HR_Data[[#This Row],[Total Working Years]]&lt;=15,"Mid-Level", TRUE, "Senior")</f>
        <v>Mid-Level</v>
      </c>
    </row>
    <row r="1005" spans="1:20" x14ac:dyDescent="0.25">
      <c r="A1005" s="1">
        <v>1415</v>
      </c>
      <c r="B1005" s="1">
        <v>25</v>
      </c>
      <c r="C1005" t="s">
        <v>9</v>
      </c>
      <c r="D1005" t="s">
        <v>10</v>
      </c>
      <c r="E1005" t="s">
        <v>22</v>
      </c>
      <c r="F1005" t="s">
        <v>11</v>
      </c>
      <c r="G1005" t="s">
        <v>14</v>
      </c>
      <c r="H1005" s="1">
        <v>4</v>
      </c>
      <c r="I1005" s="1">
        <v>3229</v>
      </c>
      <c r="J1005" t="s">
        <v>9</v>
      </c>
      <c r="K1005" s="1">
        <v>11</v>
      </c>
      <c r="L1005" s="1">
        <v>3</v>
      </c>
      <c r="M1005" s="1">
        <v>7</v>
      </c>
      <c r="N1005" s="1">
        <v>2</v>
      </c>
      <c r="O1005" s="1">
        <v>3</v>
      </c>
      <c r="P1005" s="1">
        <f>COUNTIF(HR_Data[Employee Number],HR_Data[[#This Row],[Employee Number]])</f>
        <v>1</v>
      </c>
      <c r="Q1005" s="1" t="str">
        <f>IF(HR_Data[[#This Row],[Years At Company]]&lt;=HR_Data[[#This Row],[Total Working Years]],"Valid","error")</f>
        <v>Valid</v>
      </c>
      <c r="R1005" s="1" t="str" cm="1">
        <f t="array" ref="R1005">_xlfn.IFS(HR_Data[[#This Row],[Age]]&lt;=30,"Young", HR_Data[[#This Row],[Age]]&lt;=45,"Mid-Age",HR_Data[[#This Row],[Age]]&gt;45,"Senior")</f>
        <v>Young</v>
      </c>
      <c r="S1005" s="1" t="str" cm="1">
        <f t="array" ref="S1005">_xlfn.IFS(HR_Data[[#This Row],[Monthly Income]]&lt;5000,"Low", HR_Data[[#This Row],[Monthly Income]]&lt;10000,"Medium",TRUE,"High")</f>
        <v>Low</v>
      </c>
      <c r="T1005" s="1" t="str" cm="1">
        <f t="array" ref="T1005">_xlfn.IFS(HR_Data[[#This Row],[Total Working Years]]&lt;=5,"Junior", HR_Data[[#This Row],[Total Working Years]]&lt;=15,"Mid-Level", TRUE, "Senior")</f>
        <v>Mid-Level</v>
      </c>
    </row>
    <row r="1006" spans="1:20" x14ac:dyDescent="0.25">
      <c r="A1006" s="1">
        <v>1417</v>
      </c>
      <c r="B1006" s="1">
        <v>26</v>
      </c>
      <c r="C1006" t="s">
        <v>9</v>
      </c>
      <c r="D1006" t="s">
        <v>10</v>
      </c>
      <c r="E1006" t="s">
        <v>13</v>
      </c>
      <c r="F1006" t="s">
        <v>11</v>
      </c>
      <c r="G1006" t="s">
        <v>14</v>
      </c>
      <c r="H1006" s="1">
        <v>1</v>
      </c>
      <c r="I1006" s="1">
        <v>3578</v>
      </c>
      <c r="J1006" t="s">
        <v>9</v>
      </c>
      <c r="K1006" s="1">
        <v>12</v>
      </c>
      <c r="L1006" s="1">
        <v>3</v>
      </c>
      <c r="M1006" s="1">
        <v>8</v>
      </c>
      <c r="N1006" s="1">
        <v>3</v>
      </c>
      <c r="O1006" s="1">
        <v>7</v>
      </c>
      <c r="P1006" s="1">
        <f>COUNTIF(HR_Data[Employee Number],HR_Data[[#This Row],[Employee Number]])</f>
        <v>1</v>
      </c>
      <c r="Q1006" s="1" t="str">
        <f>IF(HR_Data[[#This Row],[Years At Company]]&lt;=HR_Data[[#This Row],[Total Working Years]],"Valid","error")</f>
        <v>Valid</v>
      </c>
      <c r="R1006" s="1" t="str" cm="1">
        <f t="array" ref="R1006">_xlfn.IFS(HR_Data[[#This Row],[Age]]&lt;=30,"Young", HR_Data[[#This Row],[Age]]&lt;=45,"Mid-Age",HR_Data[[#This Row],[Age]]&gt;45,"Senior")</f>
        <v>Young</v>
      </c>
      <c r="S1006" s="1" t="str" cm="1">
        <f t="array" ref="S1006">_xlfn.IFS(HR_Data[[#This Row],[Monthly Income]]&lt;5000,"Low", HR_Data[[#This Row],[Monthly Income]]&lt;10000,"Medium",TRUE,"High")</f>
        <v>Low</v>
      </c>
      <c r="T1006" s="1" t="str" cm="1">
        <f t="array" ref="T1006">_xlfn.IFS(HR_Data[[#This Row],[Total Working Years]]&lt;=5,"Junior", HR_Data[[#This Row],[Total Working Years]]&lt;=15,"Mid-Level", TRUE, "Senior")</f>
        <v>Mid-Level</v>
      </c>
    </row>
    <row r="1007" spans="1:20" x14ac:dyDescent="0.25">
      <c r="A1007" s="1">
        <v>1419</v>
      </c>
      <c r="B1007" s="1">
        <v>29</v>
      </c>
      <c r="C1007" t="s">
        <v>9</v>
      </c>
      <c r="D1007" t="s">
        <v>23</v>
      </c>
      <c r="E1007" t="s">
        <v>13</v>
      </c>
      <c r="F1007" t="s">
        <v>11</v>
      </c>
      <c r="G1007" t="s">
        <v>23</v>
      </c>
      <c r="H1007" s="1">
        <v>1</v>
      </c>
      <c r="I1007" s="1">
        <v>7988</v>
      </c>
      <c r="J1007" t="s">
        <v>9</v>
      </c>
      <c r="K1007" s="1">
        <v>13</v>
      </c>
      <c r="L1007" s="1">
        <v>3</v>
      </c>
      <c r="M1007" s="1">
        <v>10</v>
      </c>
      <c r="N1007" s="1">
        <v>2</v>
      </c>
      <c r="O1007" s="1">
        <v>10</v>
      </c>
      <c r="P1007" s="1">
        <f>COUNTIF(HR_Data[Employee Number],HR_Data[[#This Row],[Employee Number]])</f>
        <v>1</v>
      </c>
      <c r="Q1007" s="1" t="str">
        <f>IF(HR_Data[[#This Row],[Years At Company]]&lt;=HR_Data[[#This Row],[Total Working Years]],"Valid","error")</f>
        <v>Valid</v>
      </c>
      <c r="R1007" s="1" t="str" cm="1">
        <f t="array" ref="R1007">_xlfn.IFS(HR_Data[[#This Row],[Age]]&lt;=30,"Young", HR_Data[[#This Row],[Age]]&lt;=45,"Mid-Age",HR_Data[[#This Row],[Age]]&gt;45,"Senior")</f>
        <v>Young</v>
      </c>
      <c r="S1007" s="1" t="str" cm="1">
        <f t="array" ref="S1007">_xlfn.IFS(HR_Data[[#This Row],[Monthly Income]]&lt;5000,"Low", HR_Data[[#This Row],[Monthly Income]]&lt;10000,"Medium",TRUE,"High")</f>
        <v>Medium</v>
      </c>
      <c r="T1007" s="1" t="str" cm="1">
        <f t="array" ref="T1007">_xlfn.IFS(HR_Data[[#This Row],[Total Working Years]]&lt;=5,"Junior", HR_Data[[#This Row],[Total Working Years]]&lt;=15,"Mid-Level", TRUE, "Senior")</f>
        <v>Mid-Level</v>
      </c>
    </row>
    <row r="1008" spans="1:20" x14ac:dyDescent="0.25">
      <c r="A1008" s="1">
        <v>1420</v>
      </c>
      <c r="B1008" s="1">
        <v>49</v>
      </c>
      <c r="C1008" t="s">
        <v>4</v>
      </c>
      <c r="D1008" t="s">
        <v>10</v>
      </c>
      <c r="E1008" t="s">
        <v>6</v>
      </c>
      <c r="F1008" t="s">
        <v>11</v>
      </c>
      <c r="G1008" t="s">
        <v>14</v>
      </c>
      <c r="H1008" s="1">
        <v>1</v>
      </c>
      <c r="I1008" s="1">
        <v>4284</v>
      </c>
      <c r="J1008" t="s">
        <v>9</v>
      </c>
      <c r="K1008" s="1">
        <v>20</v>
      </c>
      <c r="L1008" s="1">
        <v>4</v>
      </c>
      <c r="M1008" s="1">
        <v>20</v>
      </c>
      <c r="N1008" s="1">
        <v>3</v>
      </c>
      <c r="O1008" s="1">
        <v>4</v>
      </c>
      <c r="P1008" s="1">
        <f>COUNTIF(HR_Data[Employee Number],HR_Data[[#This Row],[Employee Number]])</f>
        <v>1</v>
      </c>
      <c r="Q1008" s="1" t="str">
        <f>IF(HR_Data[[#This Row],[Years At Company]]&lt;=HR_Data[[#This Row],[Total Working Years]],"Valid","error")</f>
        <v>Valid</v>
      </c>
      <c r="R1008" s="1" t="str" cm="1">
        <f t="array" ref="R1008">_xlfn.IFS(HR_Data[[#This Row],[Age]]&lt;=30,"Young", HR_Data[[#This Row],[Age]]&lt;=45,"Mid-Age",HR_Data[[#This Row],[Age]]&gt;45,"Senior")</f>
        <v>Senior</v>
      </c>
      <c r="S1008" s="1" t="str" cm="1">
        <f t="array" ref="S1008">_xlfn.IFS(HR_Data[[#This Row],[Monthly Income]]&lt;5000,"Low", HR_Data[[#This Row],[Monthly Income]]&lt;10000,"Medium",TRUE,"High")</f>
        <v>Low</v>
      </c>
      <c r="T1008" s="1" t="str" cm="1">
        <f t="array" ref="T1008">_xlfn.IFS(HR_Data[[#This Row],[Total Working Years]]&lt;=5,"Junior", HR_Data[[#This Row],[Total Working Years]]&lt;=15,"Mid-Level", TRUE, "Senior")</f>
        <v>Senior</v>
      </c>
    </row>
    <row r="1009" spans="1:20" x14ac:dyDescent="0.25">
      <c r="A1009" s="1">
        <v>1421</v>
      </c>
      <c r="B1009" s="1">
        <v>29</v>
      </c>
      <c r="C1009" t="s">
        <v>4</v>
      </c>
      <c r="D1009" t="s">
        <v>10</v>
      </c>
      <c r="E1009" t="s">
        <v>13</v>
      </c>
      <c r="F1009" t="s">
        <v>7</v>
      </c>
      <c r="G1009" t="s">
        <v>17</v>
      </c>
      <c r="H1009" s="1">
        <v>4</v>
      </c>
      <c r="I1009" s="1">
        <v>7553</v>
      </c>
      <c r="J1009" t="s">
        <v>4</v>
      </c>
      <c r="K1009" s="1">
        <v>12</v>
      </c>
      <c r="L1009" s="1">
        <v>3</v>
      </c>
      <c r="M1009" s="1">
        <v>9</v>
      </c>
      <c r="N1009" s="1">
        <v>3</v>
      </c>
      <c r="O1009" s="1">
        <v>8</v>
      </c>
      <c r="P1009" s="1">
        <f>COUNTIF(HR_Data[Employee Number],HR_Data[[#This Row],[Employee Number]])</f>
        <v>1</v>
      </c>
      <c r="Q1009" s="1" t="str">
        <f>IF(HR_Data[[#This Row],[Years At Company]]&lt;=HR_Data[[#This Row],[Total Working Years]],"Valid","error")</f>
        <v>Valid</v>
      </c>
      <c r="R1009" s="1" t="str" cm="1">
        <f t="array" ref="R1009">_xlfn.IFS(HR_Data[[#This Row],[Age]]&lt;=30,"Young", HR_Data[[#This Row],[Age]]&lt;=45,"Mid-Age",HR_Data[[#This Row],[Age]]&gt;45,"Senior")</f>
        <v>Young</v>
      </c>
      <c r="S1009" s="1" t="str" cm="1">
        <f t="array" ref="S1009">_xlfn.IFS(HR_Data[[#This Row],[Monthly Income]]&lt;5000,"Low", HR_Data[[#This Row],[Monthly Income]]&lt;10000,"Medium",TRUE,"High")</f>
        <v>Medium</v>
      </c>
      <c r="T1009" s="1" t="str" cm="1">
        <f t="array" ref="T1009">_xlfn.IFS(HR_Data[[#This Row],[Total Working Years]]&lt;=5,"Junior", HR_Data[[#This Row],[Total Working Years]]&lt;=15,"Mid-Level", TRUE, "Senior")</f>
        <v>Mid-Level</v>
      </c>
    </row>
    <row r="1010" spans="1:20" x14ac:dyDescent="0.25">
      <c r="A1010" s="1">
        <v>1422</v>
      </c>
      <c r="B1010" s="1">
        <v>54</v>
      </c>
      <c r="C1010" t="s">
        <v>9</v>
      </c>
      <c r="D1010" t="s">
        <v>10</v>
      </c>
      <c r="E1010" t="s">
        <v>15</v>
      </c>
      <c r="F1010" t="s">
        <v>7</v>
      </c>
      <c r="G1010" t="s">
        <v>20</v>
      </c>
      <c r="H1010" s="1">
        <v>4</v>
      </c>
      <c r="I1010" s="1">
        <v>17328</v>
      </c>
      <c r="J1010" t="s">
        <v>9</v>
      </c>
      <c r="K1010" s="1">
        <v>19</v>
      </c>
      <c r="L1010" s="1">
        <v>3</v>
      </c>
      <c r="M1010" s="1">
        <v>29</v>
      </c>
      <c r="N1010" s="1">
        <v>2</v>
      </c>
      <c r="O1010" s="1">
        <v>20</v>
      </c>
      <c r="P1010" s="1">
        <f>COUNTIF(HR_Data[Employee Number],HR_Data[[#This Row],[Employee Number]])</f>
        <v>1</v>
      </c>
      <c r="Q1010" s="1" t="str">
        <f>IF(HR_Data[[#This Row],[Years At Company]]&lt;=HR_Data[[#This Row],[Total Working Years]],"Valid","error")</f>
        <v>Valid</v>
      </c>
      <c r="R1010" s="1" t="str" cm="1">
        <f t="array" ref="R1010">_xlfn.IFS(HR_Data[[#This Row],[Age]]&lt;=30,"Young", HR_Data[[#This Row],[Age]]&lt;=45,"Mid-Age",HR_Data[[#This Row],[Age]]&gt;45,"Senior")</f>
        <v>Senior</v>
      </c>
      <c r="S1010" s="1" t="str" cm="1">
        <f t="array" ref="S1010">_xlfn.IFS(HR_Data[[#This Row],[Monthly Income]]&lt;5000,"Low", HR_Data[[#This Row],[Monthly Income]]&lt;10000,"Medium",TRUE,"High")</f>
        <v>High</v>
      </c>
      <c r="T1010" s="1" t="str" cm="1">
        <f t="array" ref="T1010">_xlfn.IFS(HR_Data[[#This Row],[Total Working Years]]&lt;=5,"Junior", HR_Data[[#This Row],[Total Working Years]]&lt;=15,"Mid-Level", TRUE, "Senior")</f>
        <v>Senior</v>
      </c>
    </row>
    <row r="1011" spans="1:20" x14ac:dyDescent="0.25">
      <c r="A1011" s="1">
        <v>1423</v>
      </c>
      <c r="B1011" s="1">
        <v>58</v>
      </c>
      <c r="C1011" t="s">
        <v>9</v>
      </c>
      <c r="D1011" t="s">
        <v>10</v>
      </c>
      <c r="E1011" t="s">
        <v>15</v>
      </c>
      <c r="F1011" t="s">
        <v>7</v>
      </c>
      <c r="G1011" t="s">
        <v>20</v>
      </c>
      <c r="H1011" s="1">
        <v>1</v>
      </c>
      <c r="I1011" s="1">
        <v>19701</v>
      </c>
      <c r="J1011" t="s">
        <v>4</v>
      </c>
      <c r="K1011" s="1">
        <v>21</v>
      </c>
      <c r="L1011" s="1">
        <v>4</v>
      </c>
      <c r="M1011" s="1">
        <v>32</v>
      </c>
      <c r="N1011" s="1">
        <v>3</v>
      </c>
      <c r="O1011" s="1">
        <v>9</v>
      </c>
      <c r="P1011" s="1">
        <f>COUNTIF(HR_Data[Employee Number],HR_Data[[#This Row],[Employee Number]])</f>
        <v>1</v>
      </c>
      <c r="Q1011" s="1" t="str">
        <f>IF(HR_Data[[#This Row],[Years At Company]]&lt;=HR_Data[[#This Row],[Total Working Years]],"Valid","error")</f>
        <v>Valid</v>
      </c>
      <c r="R1011" s="1" t="str" cm="1">
        <f t="array" ref="R1011">_xlfn.IFS(HR_Data[[#This Row],[Age]]&lt;=30,"Young", HR_Data[[#This Row],[Age]]&lt;=45,"Mid-Age",HR_Data[[#This Row],[Age]]&gt;45,"Senior")</f>
        <v>Senior</v>
      </c>
      <c r="S1011" s="1" t="str" cm="1">
        <f t="array" ref="S1011">_xlfn.IFS(HR_Data[[#This Row],[Monthly Income]]&lt;5000,"Low", HR_Data[[#This Row],[Monthly Income]]&lt;10000,"Medium",TRUE,"High")</f>
        <v>High</v>
      </c>
      <c r="T1011" s="1" t="str" cm="1">
        <f t="array" ref="T1011">_xlfn.IFS(HR_Data[[#This Row],[Total Working Years]]&lt;=5,"Junior", HR_Data[[#This Row],[Total Working Years]]&lt;=15,"Mid-Level", TRUE, "Senior")</f>
        <v>Senior</v>
      </c>
    </row>
    <row r="1012" spans="1:20" x14ac:dyDescent="0.25">
      <c r="A1012" s="1">
        <v>1424</v>
      </c>
      <c r="B1012" s="1">
        <v>55</v>
      </c>
      <c r="C1012" t="s">
        <v>9</v>
      </c>
      <c r="D1012" t="s">
        <v>10</v>
      </c>
      <c r="E1012" t="s">
        <v>15</v>
      </c>
      <c r="F1012" t="s">
        <v>11</v>
      </c>
      <c r="G1012" t="s">
        <v>20</v>
      </c>
      <c r="H1012" s="1">
        <v>4</v>
      </c>
      <c r="I1012" s="1">
        <v>14732</v>
      </c>
      <c r="J1012" t="s">
        <v>9</v>
      </c>
      <c r="K1012" s="1">
        <v>13</v>
      </c>
      <c r="L1012" s="1">
        <v>3</v>
      </c>
      <c r="M1012" s="1">
        <v>31</v>
      </c>
      <c r="N1012" s="1">
        <v>4</v>
      </c>
      <c r="O1012" s="1">
        <v>7</v>
      </c>
      <c r="P1012" s="1">
        <f>COUNTIF(HR_Data[Employee Number],HR_Data[[#This Row],[Employee Number]])</f>
        <v>1</v>
      </c>
      <c r="Q1012" s="1" t="str">
        <f>IF(HR_Data[[#This Row],[Years At Company]]&lt;=HR_Data[[#This Row],[Total Working Years]],"Valid","error")</f>
        <v>Valid</v>
      </c>
      <c r="R1012" s="1" t="str" cm="1">
        <f t="array" ref="R1012">_xlfn.IFS(HR_Data[[#This Row],[Age]]&lt;=30,"Young", HR_Data[[#This Row],[Age]]&lt;=45,"Mid-Age",HR_Data[[#This Row],[Age]]&gt;45,"Senior")</f>
        <v>Senior</v>
      </c>
      <c r="S1012" s="1" t="str" cm="1">
        <f t="array" ref="S1012">_xlfn.IFS(HR_Data[[#This Row],[Monthly Income]]&lt;5000,"Low", HR_Data[[#This Row],[Monthly Income]]&lt;10000,"Medium",TRUE,"High")</f>
        <v>High</v>
      </c>
      <c r="T1012" s="1" t="str" cm="1">
        <f t="array" ref="T1012">_xlfn.IFS(HR_Data[[#This Row],[Total Working Years]]&lt;=5,"Junior", HR_Data[[#This Row],[Total Working Years]]&lt;=15,"Mid-Level", TRUE, "Senior")</f>
        <v>Senior</v>
      </c>
    </row>
    <row r="1013" spans="1:20" x14ac:dyDescent="0.25">
      <c r="A1013" s="1">
        <v>1425</v>
      </c>
      <c r="B1013" s="1">
        <v>36</v>
      </c>
      <c r="C1013" t="s">
        <v>9</v>
      </c>
      <c r="D1013" t="s">
        <v>5</v>
      </c>
      <c r="E1013" t="s">
        <v>21</v>
      </c>
      <c r="F1013" t="s">
        <v>7</v>
      </c>
      <c r="G1013" t="s">
        <v>8</v>
      </c>
      <c r="H1013" s="1">
        <v>2</v>
      </c>
      <c r="I1013" s="1">
        <v>9278</v>
      </c>
      <c r="J1013" t="s">
        <v>4</v>
      </c>
      <c r="K1013" s="1">
        <v>16</v>
      </c>
      <c r="L1013" s="1">
        <v>3</v>
      </c>
      <c r="M1013" s="1">
        <v>15</v>
      </c>
      <c r="N1013" s="1">
        <v>3</v>
      </c>
      <c r="O1013" s="1">
        <v>5</v>
      </c>
      <c r="P1013" s="1">
        <f>COUNTIF(HR_Data[Employee Number],HR_Data[[#This Row],[Employee Number]])</f>
        <v>1</v>
      </c>
      <c r="Q1013" s="1" t="str">
        <f>IF(HR_Data[[#This Row],[Years At Company]]&lt;=HR_Data[[#This Row],[Total Working Years]],"Valid","error")</f>
        <v>Valid</v>
      </c>
      <c r="R1013" s="1" t="str" cm="1">
        <f t="array" ref="R1013">_xlfn.IFS(HR_Data[[#This Row],[Age]]&lt;=30,"Young", HR_Data[[#This Row],[Age]]&lt;=45,"Mid-Age",HR_Data[[#This Row],[Age]]&gt;45,"Senior")</f>
        <v>Mid-Age</v>
      </c>
      <c r="S1013" s="1" t="str" cm="1">
        <f t="array" ref="S1013">_xlfn.IFS(HR_Data[[#This Row],[Monthly Income]]&lt;5000,"Low", HR_Data[[#This Row],[Monthly Income]]&lt;10000,"Medium",TRUE,"High")</f>
        <v>Medium</v>
      </c>
      <c r="T1013" s="1" t="str" cm="1">
        <f t="array" ref="T1013">_xlfn.IFS(HR_Data[[#This Row],[Total Working Years]]&lt;=5,"Junior", HR_Data[[#This Row],[Total Working Years]]&lt;=15,"Mid-Level", TRUE, "Senior")</f>
        <v>Mid-Level</v>
      </c>
    </row>
    <row r="1014" spans="1:20" x14ac:dyDescent="0.25">
      <c r="A1014" s="1">
        <v>1427</v>
      </c>
      <c r="B1014" s="1">
        <v>31</v>
      </c>
      <c r="C1014" t="s">
        <v>4</v>
      </c>
      <c r="D1014" t="s">
        <v>5</v>
      </c>
      <c r="E1014" t="s">
        <v>6</v>
      </c>
      <c r="F1014" t="s">
        <v>7</v>
      </c>
      <c r="G1014" t="s">
        <v>19</v>
      </c>
      <c r="H1014" s="1">
        <v>3</v>
      </c>
      <c r="I1014" s="1">
        <v>1359</v>
      </c>
      <c r="J1014" t="s">
        <v>9</v>
      </c>
      <c r="K1014" s="1">
        <v>12</v>
      </c>
      <c r="L1014" s="1">
        <v>3</v>
      </c>
      <c r="M1014" s="1">
        <v>1</v>
      </c>
      <c r="N1014" s="1">
        <v>3</v>
      </c>
      <c r="O1014" s="1">
        <v>1</v>
      </c>
      <c r="P1014" s="1">
        <f>COUNTIF(HR_Data[Employee Number],HR_Data[[#This Row],[Employee Number]])</f>
        <v>1</v>
      </c>
      <c r="Q1014" s="1" t="str">
        <f>IF(HR_Data[[#This Row],[Years At Company]]&lt;=HR_Data[[#This Row],[Total Working Years]],"Valid","error")</f>
        <v>Valid</v>
      </c>
      <c r="R1014" s="1" t="str" cm="1">
        <f t="array" ref="R1014">_xlfn.IFS(HR_Data[[#This Row],[Age]]&lt;=30,"Young", HR_Data[[#This Row],[Age]]&lt;=45,"Mid-Age",HR_Data[[#This Row],[Age]]&gt;45,"Senior")</f>
        <v>Mid-Age</v>
      </c>
      <c r="S1014" s="1" t="str" cm="1">
        <f t="array" ref="S1014">_xlfn.IFS(HR_Data[[#This Row],[Monthly Income]]&lt;5000,"Low", HR_Data[[#This Row],[Monthly Income]]&lt;10000,"Medium",TRUE,"High")</f>
        <v>Low</v>
      </c>
      <c r="T1014" s="1" t="str" cm="1">
        <f t="array" ref="T1014">_xlfn.IFS(HR_Data[[#This Row],[Total Working Years]]&lt;=5,"Junior", HR_Data[[#This Row],[Total Working Years]]&lt;=15,"Mid-Level", TRUE, "Senior")</f>
        <v>Junior</v>
      </c>
    </row>
    <row r="1015" spans="1:20" x14ac:dyDescent="0.25">
      <c r="A1015" s="1">
        <v>1428</v>
      </c>
      <c r="B1015" s="1">
        <v>30</v>
      </c>
      <c r="C1015" t="s">
        <v>9</v>
      </c>
      <c r="D1015" t="s">
        <v>5</v>
      </c>
      <c r="E1015" t="s">
        <v>21</v>
      </c>
      <c r="F1015" t="s">
        <v>7</v>
      </c>
      <c r="G1015" t="s">
        <v>8</v>
      </c>
      <c r="H1015" s="1">
        <v>1</v>
      </c>
      <c r="I1015" s="1">
        <v>4779</v>
      </c>
      <c r="J1015" t="s">
        <v>9</v>
      </c>
      <c r="K1015" s="1">
        <v>14</v>
      </c>
      <c r="L1015" s="1">
        <v>3</v>
      </c>
      <c r="M1015" s="1">
        <v>8</v>
      </c>
      <c r="N1015" s="1">
        <v>3</v>
      </c>
      <c r="O1015" s="1">
        <v>3</v>
      </c>
      <c r="P1015" s="1">
        <f>COUNTIF(HR_Data[Employee Number],HR_Data[[#This Row],[Employee Number]])</f>
        <v>1</v>
      </c>
      <c r="Q1015" s="1" t="str">
        <f>IF(HR_Data[[#This Row],[Years At Company]]&lt;=HR_Data[[#This Row],[Total Working Years]],"Valid","error")</f>
        <v>Valid</v>
      </c>
      <c r="R1015" s="1" t="str" cm="1">
        <f t="array" ref="R1015">_xlfn.IFS(HR_Data[[#This Row],[Age]]&lt;=30,"Young", HR_Data[[#This Row],[Age]]&lt;=45,"Mid-Age",HR_Data[[#This Row],[Age]]&gt;45,"Senior")</f>
        <v>Young</v>
      </c>
      <c r="S1015" s="1" t="str" cm="1">
        <f t="array" ref="S1015">_xlfn.IFS(HR_Data[[#This Row],[Monthly Income]]&lt;5000,"Low", HR_Data[[#This Row],[Monthly Income]]&lt;10000,"Medium",TRUE,"High")</f>
        <v>Low</v>
      </c>
      <c r="T1015" s="1" t="str" cm="1">
        <f t="array" ref="T1015">_xlfn.IFS(HR_Data[[#This Row],[Total Working Years]]&lt;=5,"Junior", HR_Data[[#This Row],[Total Working Years]]&lt;=15,"Mid-Level", TRUE, "Senior")</f>
        <v>Mid-Level</v>
      </c>
    </row>
    <row r="1016" spans="1:20" x14ac:dyDescent="0.25">
      <c r="A1016" s="1">
        <v>1430</v>
      </c>
      <c r="B1016" s="1">
        <v>31</v>
      </c>
      <c r="C1016" t="s">
        <v>9</v>
      </c>
      <c r="D1016" t="s">
        <v>10</v>
      </c>
      <c r="E1016" t="s">
        <v>6</v>
      </c>
      <c r="F1016" t="s">
        <v>7</v>
      </c>
      <c r="G1016" t="s">
        <v>20</v>
      </c>
      <c r="H1016" s="1">
        <v>2</v>
      </c>
      <c r="I1016" s="1">
        <v>16422</v>
      </c>
      <c r="J1016" t="s">
        <v>9</v>
      </c>
      <c r="K1016" s="1">
        <v>11</v>
      </c>
      <c r="L1016" s="1">
        <v>3</v>
      </c>
      <c r="M1016" s="1">
        <v>9</v>
      </c>
      <c r="N1016" s="1">
        <v>4</v>
      </c>
      <c r="O1016" s="1">
        <v>3</v>
      </c>
      <c r="P1016" s="1">
        <f>COUNTIF(HR_Data[Employee Number],HR_Data[[#This Row],[Employee Number]])</f>
        <v>1</v>
      </c>
      <c r="Q1016" s="1" t="str">
        <f>IF(HR_Data[[#This Row],[Years At Company]]&lt;=HR_Data[[#This Row],[Total Working Years]],"Valid","error")</f>
        <v>Valid</v>
      </c>
      <c r="R1016" s="1" t="str" cm="1">
        <f t="array" ref="R1016">_xlfn.IFS(HR_Data[[#This Row],[Age]]&lt;=30,"Young", HR_Data[[#This Row],[Age]]&lt;=45,"Mid-Age",HR_Data[[#This Row],[Age]]&gt;45,"Senior")</f>
        <v>Mid-Age</v>
      </c>
      <c r="S1016" s="1" t="str" cm="1">
        <f t="array" ref="S1016">_xlfn.IFS(HR_Data[[#This Row],[Monthly Income]]&lt;5000,"Low", HR_Data[[#This Row],[Monthly Income]]&lt;10000,"Medium",TRUE,"High")</f>
        <v>High</v>
      </c>
      <c r="T1016" s="1" t="str" cm="1">
        <f t="array" ref="T1016">_xlfn.IFS(HR_Data[[#This Row],[Total Working Years]]&lt;=5,"Junior", HR_Data[[#This Row],[Total Working Years]]&lt;=15,"Mid-Level", TRUE, "Senior")</f>
        <v>Mid-Level</v>
      </c>
    </row>
    <row r="1017" spans="1:20" x14ac:dyDescent="0.25">
      <c r="A1017" s="1">
        <v>1431</v>
      </c>
      <c r="B1017" s="1">
        <v>34</v>
      </c>
      <c r="C1017" t="s">
        <v>9</v>
      </c>
      <c r="D1017" t="s">
        <v>10</v>
      </c>
      <c r="E1017" t="s">
        <v>13</v>
      </c>
      <c r="F1017" t="s">
        <v>11</v>
      </c>
      <c r="G1017" t="s">
        <v>12</v>
      </c>
      <c r="H1017" s="1">
        <v>1</v>
      </c>
      <c r="I1017" s="1">
        <v>2996</v>
      </c>
      <c r="J1017" t="s">
        <v>9</v>
      </c>
      <c r="K1017" s="1">
        <v>14</v>
      </c>
      <c r="L1017" s="1">
        <v>3</v>
      </c>
      <c r="M1017" s="1">
        <v>10</v>
      </c>
      <c r="N1017" s="1">
        <v>3</v>
      </c>
      <c r="O1017" s="1">
        <v>4</v>
      </c>
      <c r="P1017" s="1">
        <f>COUNTIF(HR_Data[Employee Number],HR_Data[[#This Row],[Employee Number]])</f>
        <v>1</v>
      </c>
      <c r="Q1017" s="1" t="str">
        <f>IF(HR_Data[[#This Row],[Years At Company]]&lt;=HR_Data[[#This Row],[Total Working Years]],"Valid","error")</f>
        <v>Valid</v>
      </c>
      <c r="R1017" s="1" t="str" cm="1">
        <f t="array" ref="R1017">_xlfn.IFS(HR_Data[[#This Row],[Age]]&lt;=30,"Young", HR_Data[[#This Row],[Age]]&lt;=45,"Mid-Age",HR_Data[[#This Row],[Age]]&gt;45,"Senior")</f>
        <v>Mid-Age</v>
      </c>
      <c r="S1017" s="1" t="str" cm="1">
        <f t="array" ref="S1017">_xlfn.IFS(HR_Data[[#This Row],[Monthly Income]]&lt;5000,"Low", HR_Data[[#This Row],[Monthly Income]]&lt;10000,"Medium",TRUE,"High")</f>
        <v>Low</v>
      </c>
      <c r="T1017" s="1" t="str" cm="1">
        <f t="array" ref="T1017">_xlfn.IFS(HR_Data[[#This Row],[Total Working Years]]&lt;=5,"Junior", HR_Data[[#This Row],[Total Working Years]]&lt;=15,"Mid-Level", TRUE, "Senior")</f>
        <v>Mid-Level</v>
      </c>
    </row>
    <row r="1018" spans="1:20" x14ac:dyDescent="0.25">
      <c r="A1018" s="1">
        <v>1433</v>
      </c>
      <c r="B1018" s="1">
        <v>31</v>
      </c>
      <c r="C1018" t="s">
        <v>4</v>
      </c>
      <c r="D1018" t="s">
        <v>10</v>
      </c>
      <c r="E1018" t="s">
        <v>6</v>
      </c>
      <c r="F1018" t="s">
        <v>7</v>
      </c>
      <c r="G1018" t="s">
        <v>12</v>
      </c>
      <c r="H1018" s="1">
        <v>2</v>
      </c>
      <c r="I1018" s="1">
        <v>1261</v>
      </c>
      <c r="J1018" t="s">
        <v>9</v>
      </c>
      <c r="K1018" s="1">
        <v>12</v>
      </c>
      <c r="L1018" s="1">
        <v>3</v>
      </c>
      <c r="M1018" s="1">
        <v>1</v>
      </c>
      <c r="N1018" s="1">
        <v>4</v>
      </c>
      <c r="O1018" s="1">
        <v>1</v>
      </c>
      <c r="P1018" s="1">
        <f>COUNTIF(HR_Data[Employee Number],HR_Data[[#This Row],[Employee Number]])</f>
        <v>1</v>
      </c>
      <c r="Q1018" s="1" t="str">
        <f>IF(HR_Data[[#This Row],[Years At Company]]&lt;=HR_Data[[#This Row],[Total Working Years]],"Valid","error")</f>
        <v>Valid</v>
      </c>
      <c r="R1018" s="1" t="str" cm="1">
        <f t="array" ref="R1018">_xlfn.IFS(HR_Data[[#This Row],[Age]]&lt;=30,"Young", HR_Data[[#This Row],[Age]]&lt;=45,"Mid-Age",HR_Data[[#This Row],[Age]]&gt;45,"Senior")</f>
        <v>Mid-Age</v>
      </c>
      <c r="S1018" s="1" t="str" cm="1">
        <f t="array" ref="S1018">_xlfn.IFS(HR_Data[[#This Row],[Monthly Income]]&lt;5000,"Low", HR_Data[[#This Row],[Monthly Income]]&lt;10000,"Medium",TRUE,"High")</f>
        <v>Low</v>
      </c>
      <c r="T1018" s="1" t="str" cm="1">
        <f t="array" ref="T1018">_xlfn.IFS(HR_Data[[#This Row],[Total Working Years]]&lt;=5,"Junior", HR_Data[[#This Row],[Total Working Years]]&lt;=15,"Mid-Level", TRUE, "Senior")</f>
        <v>Junior</v>
      </c>
    </row>
    <row r="1019" spans="1:20" x14ac:dyDescent="0.25">
      <c r="A1019" s="1">
        <v>1434</v>
      </c>
      <c r="B1019" s="1">
        <v>27</v>
      </c>
      <c r="C1019" t="s">
        <v>9</v>
      </c>
      <c r="D1019" t="s">
        <v>10</v>
      </c>
      <c r="E1019" t="s">
        <v>6</v>
      </c>
      <c r="F1019" t="s">
        <v>11</v>
      </c>
      <c r="G1019" t="s">
        <v>14</v>
      </c>
      <c r="H1019" s="1">
        <v>1</v>
      </c>
      <c r="I1019" s="1">
        <v>2099</v>
      </c>
      <c r="J1019" t="s">
        <v>9</v>
      </c>
      <c r="K1019" s="1">
        <v>14</v>
      </c>
      <c r="L1019" s="1">
        <v>3</v>
      </c>
      <c r="M1019" s="1">
        <v>6</v>
      </c>
      <c r="N1019" s="1">
        <v>4</v>
      </c>
      <c r="O1019" s="1">
        <v>5</v>
      </c>
      <c r="P1019" s="1">
        <f>COUNTIF(HR_Data[Employee Number],HR_Data[[#This Row],[Employee Number]])</f>
        <v>1</v>
      </c>
      <c r="Q1019" s="1" t="str">
        <f>IF(HR_Data[[#This Row],[Years At Company]]&lt;=HR_Data[[#This Row],[Total Working Years]],"Valid","error")</f>
        <v>Valid</v>
      </c>
      <c r="R1019" s="1" t="str" cm="1">
        <f t="array" ref="R1019">_xlfn.IFS(HR_Data[[#This Row],[Age]]&lt;=30,"Young", HR_Data[[#This Row],[Age]]&lt;=45,"Mid-Age",HR_Data[[#This Row],[Age]]&gt;45,"Senior")</f>
        <v>Young</v>
      </c>
      <c r="S1019" s="1" t="str" cm="1">
        <f t="array" ref="S1019">_xlfn.IFS(HR_Data[[#This Row],[Monthly Income]]&lt;5000,"Low", HR_Data[[#This Row],[Monthly Income]]&lt;10000,"Medium",TRUE,"High")</f>
        <v>Low</v>
      </c>
      <c r="T1019" s="1" t="str" cm="1">
        <f t="array" ref="T1019">_xlfn.IFS(HR_Data[[#This Row],[Total Working Years]]&lt;=5,"Junior", HR_Data[[#This Row],[Total Working Years]]&lt;=15,"Mid-Level", TRUE, "Senior")</f>
        <v>Mid-Level</v>
      </c>
    </row>
    <row r="1020" spans="1:20" x14ac:dyDescent="0.25">
      <c r="A1020" s="1">
        <v>1435</v>
      </c>
      <c r="B1020" s="1">
        <v>36</v>
      </c>
      <c r="C1020" t="s">
        <v>9</v>
      </c>
      <c r="D1020" t="s">
        <v>10</v>
      </c>
      <c r="E1020" t="s">
        <v>6</v>
      </c>
      <c r="F1020" t="s">
        <v>11</v>
      </c>
      <c r="G1020" t="s">
        <v>14</v>
      </c>
      <c r="H1020" s="1">
        <v>4</v>
      </c>
      <c r="I1020" s="1">
        <v>5810</v>
      </c>
      <c r="J1020" t="s">
        <v>9</v>
      </c>
      <c r="K1020" s="1">
        <v>16</v>
      </c>
      <c r="L1020" s="1">
        <v>3</v>
      </c>
      <c r="M1020" s="1">
        <v>10</v>
      </c>
      <c r="N1020" s="1">
        <v>2</v>
      </c>
      <c r="O1020" s="1">
        <v>10</v>
      </c>
      <c r="P1020" s="1">
        <f>COUNTIF(HR_Data[Employee Number],HR_Data[[#This Row],[Employee Number]])</f>
        <v>1</v>
      </c>
      <c r="Q1020" s="1" t="str">
        <f>IF(HR_Data[[#This Row],[Years At Company]]&lt;=HR_Data[[#This Row],[Total Working Years]],"Valid","error")</f>
        <v>Valid</v>
      </c>
      <c r="R1020" s="1" t="str" cm="1">
        <f t="array" ref="R1020">_xlfn.IFS(HR_Data[[#This Row],[Age]]&lt;=30,"Young", HR_Data[[#This Row],[Age]]&lt;=45,"Mid-Age",HR_Data[[#This Row],[Age]]&gt;45,"Senior")</f>
        <v>Mid-Age</v>
      </c>
      <c r="S1020" s="1" t="str" cm="1">
        <f t="array" ref="S1020">_xlfn.IFS(HR_Data[[#This Row],[Monthly Income]]&lt;5000,"Low", HR_Data[[#This Row],[Monthly Income]]&lt;10000,"Medium",TRUE,"High")</f>
        <v>Medium</v>
      </c>
      <c r="T1020" s="1" t="str" cm="1">
        <f t="array" ref="T1020">_xlfn.IFS(HR_Data[[#This Row],[Total Working Years]]&lt;=5,"Junior", HR_Data[[#This Row],[Total Working Years]]&lt;=15,"Mid-Level", TRUE, "Senior")</f>
        <v>Mid-Level</v>
      </c>
    </row>
    <row r="1021" spans="1:20" x14ac:dyDescent="0.25">
      <c r="A1021" s="1">
        <v>1436</v>
      </c>
      <c r="B1021" s="1">
        <v>36</v>
      </c>
      <c r="C1021" t="s">
        <v>9</v>
      </c>
      <c r="D1021" t="s">
        <v>5</v>
      </c>
      <c r="E1021" t="s">
        <v>21</v>
      </c>
      <c r="F1021" t="s">
        <v>7</v>
      </c>
      <c r="G1021" t="s">
        <v>8</v>
      </c>
      <c r="H1021" s="1">
        <v>1</v>
      </c>
      <c r="I1021" s="1">
        <v>5647</v>
      </c>
      <c r="J1021" t="s">
        <v>9</v>
      </c>
      <c r="K1021" s="1">
        <v>13</v>
      </c>
      <c r="L1021" s="1">
        <v>3</v>
      </c>
      <c r="M1021" s="1">
        <v>11</v>
      </c>
      <c r="N1021" s="1">
        <v>2</v>
      </c>
      <c r="O1021" s="1">
        <v>3</v>
      </c>
      <c r="P1021" s="1">
        <f>COUNTIF(HR_Data[Employee Number],HR_Data[[#This Row],[Employee Number]])</f>
        <v>1</v>
      </c>
      <c r="Q1021" s="1" t="str">
        <f>IF(HR_Data[[#This Row],[Years At Company]]&lt;=HR_Data[[#This Row],[Total Working Years]],"Valid","error")</f>
        <v>Valid</v>
      </c>
      <c r="R1021" s="1" t="str" cm="1">
        <f t="array" ref="R1021">_xlfn.IFS(HR_Data[[#This Row],[Age]]&lt;=30,"Young", HR_Data[[#This Row],[Age]]&lt;=45,"Mid-Age",HR_Data[[#This Row],[Age]]&gt;45,"Senior")</f>
        <v>Mid-Age</v>
      </c>
      <c r="S1021" s="1" t="str" cm="1">
        <f t="array" ref="S1021">_xlfn.IFS(HR_Data[[#This Row],[Monthly Income]]&lt;5000,"Low", HR_Data[[#This Row],[Monthly Income]]&lt;10000,"Medium",TRUE,"High")</f>
        <v>Medium</v>
      </c>
      <c r="T1021" s="1" t="str" cm="1">
        <f t="array" ref="T1021">_xlfn.IFS(HR_Data[[#This Row],[Total Working Years]]&lt;=5,"Junior", HR_Data[[#This Row],[Total Working Years]]&lt;=15,"Mid-Level", TRUE, "Senior")</f>
        <v>Mid-Level</v>
      </c>
    </row>
    <row r="1022" spans="1:20" x14ac:dyDescent="0.25">
      <c r="A1022" s="1">
        <v>1438</v>
      </c>
      <c r="B1022" s="1">
        <v>47</v>
      </c>
      <c r="C1022" t="s">
        <v>9</v>
      </c>
      <c r="D1022" t="s">
        <v>10</v>
      </c>
      <c r="E1022" t="s">
        <v>22</v>
      </c>
      <c r="F1022" t="s">
        <v>11</v>
      </c>
      <c r="G1022" t="s">
        <v>12</v>
      </c>
      <c r="H1022" s="1">
        <v>4</v>
      </c>
      <c r="I1022" s="1">
        <v>3420</v>
      </c>
      <c r="J1022" t="s">
        <v>9</v>
      </c>
      <c r="K1022" s="1">
        <v>12</v>
      </c>
      <c r="L1022" s="1">
        <v>3</v>
      </c>
      <c r="M1022" s="1">
        <v>17</v>
      </c>
      <c r="N1022" s="1">
        <v>2</v>
      </c>
      <c r="O1022" s="1">
        <v>6</v>
      </c>
      <c r="P1022" s="1">
        <f>COUNTIF(HR_Data[Employee Number],HR_Data[[#This Row],[Employee Number]])</f>
        <v>1</v>
      </c>
      <c r="Q1022" s="1" t="str">
        <f>IF(HR_Data[[#This Row],[Years At Company]]&lt;=HR_Data[[#This Row],[Total Working Years]],"Valid","error")</f>
        <v>Valid</v>
      </c>
      <c r="R1022" s="1" t="str" cm="1">
        <f t="array" ref="R1022">_xlfn.IFS(HR_Data[[#This Row],[Age]]&lt;=30,"Young", HR_Data[[#This Row],[Age]]&lt;=45,"Mid-Age",HR_Data[[#This Row],[Age]]&gt;45,"Senior")</f>
        <v>Senior</v>
      </c>
      <c r="S1022" s="1" t="str" cm="1">
        <f t="array" ref="S1022">_xlfn.IFS(HR_Data[[#This Row],[Monthly Income]]&lt;5000,"Low", HR_Data[[#This Row],[Monthly Income]]&lt;10000,"Medium",TRUE,"High")</f>
        <v>Low</v>
      </c>
      <c r="T1022" s="1" t="str" cm="1">
        <f t="array" ref="T1022">_xlfn.IFS(HR_Data[[#This Row],[Total Working Years]]&lt;=5,"Junior", HR_Data[[#This Row],[Total Working Years]]&lt;=15,"Mid-Level", TRUE, "Senior")</f>
        <v>Senior</v>
      </c>
    </row>
    <row r="1023" spans="1:20" x14ac:dyDescent="0.25">
      <c r="A1023" s="1">
        <v>1439</v>
      </c>
      <c r="B1023" s="1">
        <v>25</v>
      </c>
      <c r="C1023" t="s">
        <v>4</v>
      </c>
      <c r="D1023" t="s">
        <v>5</v>
      </c>
      <c r="E1023" t="s">
        <v>6</v>
      </c>
      <c r="F1023" t="s">
        <v>11</v>
      </c>
      <c r="G1023" t="s">
        <v>19</v>
      </c>
      <c r="H1023" s="1">
        <v>1</v>
      </c>
      <c r="I1023" s="1">
        <v>4400</v>
      </c>
      <c r="J1023" t="s">
        <v>9</v>
      </c>
      <c r="K1023" s="1">
        <v>12</v>
      </c>
      <c r="L1023" s="1">
        <v>3</v>
      </c>
      <c r="M1023" s="1">
        <v>6</v>
      </c>
      <c r="N1023" s="1">
        <v>3</v>
      </c>
      <c r="O1023" s="1">
        <v>3</v>
      </c>
      <c r="P1023" s="1">
        <f>COUNTIF(HR_Data[Employee Number],HR_Data[[#This Row],[Employee Number]])</f>
        <v>1</v>
      </c>
      <c r="Q1023" s="1" t="str">
        <f>IF(HR_Data[[#This Row],[Years At Company]]&lt;=HR_Data[[#This Row],[Total Working Years]],"Valid","error")</f>
        <v>Valid</v>
      </c>
      <c r="R1023" s="1" t="str" cm="1">
        <f t="array" ref="R1023">_xlfn.IFS(HR_Data[[#This Row],[Age]]&lt;=30,"Young", HR_Data[[#This Row],[Age]]&lt;=45,"Mid-Age",HR_Data[[#This Row],[Age]]&gt;45,"Senior")</f>
        <v>Young</v>
      </c>
      <c r="S1023" s="1" t="str" cm="1">
        <f t="array" ref="S1023">_xlfn.IFS(HR_Data[[#This Row],[Monthly Income]]&lt;5000,"Low", HR_Data[[#This Row],[Monthly Income]]&lt;10000,"Medium",TRUE,"High")</f>
        <v>Low</v>
      </c>
      <c r="T1023" s="1" t="str" cm="1">
        <f t="array" ref="T1023">_xlfn.IFS(HR_Data[[#This Row],[Total Working Years]]&lt;=5,"Junior", HR_Data[[#This Row],[Total Working Years]]&lt;=15,"Mid-Level", TRUE, "Senior")</f>
        <v>Mid-Level</v>
      </c>
    </row>
    <row r="1024" spans="1:20" x14ac:dyDescent="0.25">
      <c r="A1024" s="1">
        <v>1440</v>
      </c>
      <c r="B1024" s="1">
        <v>37</v>
      </c>
      <c r="C1024" t="s">
        <v>9</v>
      </c>
      <c r="D1024" t="s">
        <v>10</v>
      </c>
      <c r="E1024" t="s">
        <v>22</v>
      </c>
      <c r="F1024" t="s">
        <v>11</v>
      </c>
      <c r="G1024" t="s">
        <v>14</v>
      </c>
      <c r="H1024" s="1">
        <v>3</v>
      </c>
      <c r="I1024" s="1">
        <v>3500</v>
      </c>
      <c r="J1024" t="s">
        <v>9</v>
      </c>
      <c r="K1024" s="1">
        <v>14</v>
      </c>
      <c r="L1024" s="1">
        <v>3</v>
      </c>
      <c r="M1024" s="1">
        <v>7</v>
      </c>
      <c r="N1024" s="1">
        <v>1</v>
      </c>
      <c r="O1024" s="1">
        <v>6</v>
      </c>
      <c r="P1024" s="1">
        <f>COUNTIF(HR_Data[Employee Number],HR_Data[[#This Row],[Employee Number]])</f>
        <v>1</v>
      </c>
      <c r="Q1024" s="1" t="str">
        <f>IF(HR_Data[[#This Row],[Years At Company]]&lt;=HR_Data[[#This Row],[Total Working Years]],"Valid","error")</f>
        <v>Valid</v>
      </c>
      <c r="R1024" s="1" t="str" cm="1">
        <f t="array" ref="R1024">_xlfn.IFS(HR_Data[[#This Row],[Age]]&lt;=30,"Young", HR_Data[[#This Row],[Age]]&lt;=45,"Mid-Age",HR_Data[[#This Row],[Age]]&gt;45,"Senior")</f>
        <v>Mid-Age</v>
      </c>
      <c r="S1024" s="1" t="str" cm="1">
        <f t="array" ref="S1024">_xlfn.IFS(HR_Data[[#This Row],[Monthly Income]]&lt;5000,"Low", HR_Data[[#This Row],[Monthly Income]]&lt;10000,"Medium",TRUE,"High")</f>
        <v>Low</v>
      </c>
      <c r="T1024" s="1" t="str" cm="1">
        <f t="array" ref="T1024">_xlfn.IFS(HR_Data[[#This Row],[Total Working Years]]&lt;=5,"Junior", HR_Data[[#This Row],[Total Working Years]]&lt;=15,"Mid-Level", TRUE, "Senior")</f>
        <v>Mid-Level</v>
      </c>
    </row>
    <row r="1025" spans="1:20" x14ac:dyDescent="0.25">
      <c r="A1025" s="1">
        <v>1441</v>
      </c>
      <c r="B1025" s="1">
        <v>56</v>
      </c>
      <c r="C1025" t="s">
        <v>9</v>
      </c>
      <c r="D1025" t="s">
        <v>10</v>
      </c>
      <c r="E1025" t="s">
        <v>6</v>
      </c>
      <c r="F1025" t="s">
        <v>7</v>
      </c>
      <c r="G1025" t="s">
        <v>12</v>
      </c>
      <c r="H1025" s="1">
        <v>1</v>
      </c>
      <c r="I1025" s="1">
        <v>2066</v>
      </c>
      <c r="J1025" t="s">
        <v>9</v>
      </c>
      <c r="K1025" s="1">
        <v>22</v>
      </c>
      <c r="L1025" s="1">
        <v>4</v>
      </c>
      <c r="M1025" s="1">
        <v>5</v>
      </c>
      <c r="N1025" s="1">
        <v>4</v>
      </c>
      <c r="O1025" s="1">
        <v>3</v>
      </c>
      <c r="P1025" s="1">
        <f>COUNTIF(HR_Data[Employee Number],HR_Data[[#This Row],[Employee Number]])</f>
        <v>1</v>
      </c>
      <c r="Q1025" s="1" t="str">
        <f>IF(HR_Data[[#This Row],[Years At Company]]&lt;=HR_Data[[#This Row],[Total Working Years]],"Valid","error")</f>
        <v>Valid</v>
      </c>
      <c r="R1025" s="1" t="str" cm="1">
        <f t="array" ref="R1025">_xlfn.IFS(HR_Data[[#This Row],[Age]]&lt;=30,"Young", HR_Data[[#This Row],[Age]]&lt;=45,"Mid-Age",HR_Data[[#This Row],[Age]]&gt;45,"Senior")</f>
        <v>Senior</v>
      </c>
      <c r="S1025" s="1" t="str" cm="1">
        <f t="array" ref="S1025">_xlfn.IFS(HR_Data[[#This Row],[Monthly Income]]&lt;5000,"Low", HR_Data[[#This Row],[Monthly Income]]&lt;10000,"Medium",TRUE,"High")</f>
        <v>Low</v>
      </c>
      <c r="T1025" s="1" t="str" cm="1">
        <f t="array" ref="T1025">_xlfn.IFS(HR_Data[[#This Row],[Total Working Years]]&lt;=5,"Junior", HR_Data[[#This Row],[Total Working Years]]&lt;=15,"Mid-Level", TRUE, "Senior")</f>
        <v>Junior</v>
      </c>
    </row>
    <row r="1026" spans="1:20" x14ac:dyDescent="0.25">
      <c r="A1026" s="1">
        <v>1443</v>
      </c>
      <c r="B1026" s="1">
        <v>47</v>
      </c>
      <c r="C1026" t="s">
        <v>9</v>
      </c>
      <c r="D1026" t="s">
        <v>10</v>
      </c>
      <c r="E1026" t="s">
        <v>15</v>
      </c>
      <c r="F1026" t="s">
        <v>7</v>
      </c>
      <c r="G1026" t="s">
        <v>20</v>
      </c>
      <c r="H1026" s="1">
        <v>3</v>
      </c>
      <c r="I1026" s="1">
        <v>17169</v>
      </c>
      <c r="J1026" t="s">
        <v>9</v>
      </c>
      <c r="K1026" s="1">
        <v>19</v>
      </c>
      <c r="L1026" s="1">
        <v>3</v>
      </c>
      <c r="M1026" s="1">
        <v>26</v>
      </c>
      <c r="N1026" s="1">
        <v>4</v>
      </c>
      <c r="O1026" s="1">
        <v>20</v>
      </c>
      <c r="P1026" s="1">
        <f>COUNTIF(HR_Data[Employee Number],HR_Data[[#This Row],[Employee Number]])</f>
        <v>1</v>
      </c>
      <c r="Q1026" s="1" t="str">
        <f>IF(HR_Data[[#This Row],[Years At Company]]&lt;=HR_Data[[#This Row],[Total Working Years]],"Valid","error")</f>
        <v>Valid</v>
      </c>
      <c r="R1026" s="1" t="str" cm="1">
        <f t="array" ref="R1026">_xlfn.IFS(HR_Data[[#This Row],[Age]]&lt;=30,"Young", HR_Data[[#This Row],[Age]]&lt;=45,"Mid-Age",HR_Data[[#This Row],[Age]]&gt;45,"Senior")</f>
        <v>Senior</v>
      </c>
      <c r="S1026" s="1" t="str" cm="1">
        <f t="array" ref="S1026">_xlfn.IFS(HR_Data[[#This Row],[Monthly Income]]&lt;5000,"Low", HR_Data[[#This Row],[Monthly Income]]&lt;10000,"Medium",TRUE,"High")</f>
        <v>High</v>
      </c>
      <c r="T1026" s="1" t="str" cm="1">
        <f t="array" ref="T1026">_xlfn.IFS(HR_Data[[#This Row],[Total Working Years]]&lt;=5,"Junior", HR_Data[[#This Row],[Total Working Years]]&lt;=15,"Mid-Level", TRUE, "Senior")</f>
        <v>Senior</v>
      </c>
    </row>
    <row r="1027" spans="1:20" x14ac:dyDescent="0.25">
      <c r="A1027" s="1">
        <v>1445</v>
      </c>
      <c r="B1027" s="1">
        <v>24</v>
      </c>
      <c r="C1027" t="s">
        <v>9</v>
      </c>
      <c r="D1027" t="s">
        <v>5</v>
      </c>
      <c r="E1027" t="s">
        <v>15</v>
      </c>
      <c r="F1027" t="s">
        <v>7</v>
      </c>
      <c r="G1027" t="s">
        <v>8</v>
      </c>
      <c r="H1027" s="1">
        <v>3</v>
      </c>
      <c r="I1027" s="1">
        <v>4162</v>
      </c>
      <c r="J1027" t="s">
        <v>4</v>
      </c>
      <c r="K1027" s="1">
        <v>12</v>
      </c>
      <c r="L1027" s="1">
        <v>3</v>
      </c>
      <c r="M1027" s="1">
        <v>5</v>
      </c>
      <c r="N1027" s="1">
        <v>3</v>
      </c>
      <c r="O1027" s="1">
        <v>5</v>
      </c>
      <c r="P1027" s="1">
        <f>COUNTIF(HR_Data[Employee Number],HR_Data[[#This Row],[Employee Number]])</f>
        <v>1</v>
      </c>
      <c r="Q1027" s="1" t="str">
        <f>IF(HR_Data[[#This Row],[Years At Company]]&lt;=HR_Data[[#This Row],[Total Working Years]],"Valid","error")</f>
        <v>Valid</v>
      </c>
      <c r="R1027" s="1" t="str" cm="1">
        <f t="array" ref="R1027">_xlfn.IFS(HR_Data[[#This Row],[Age]]&lt;=30,"Young", HR_Data[[#This Row],[Age]]&lt;=45,"Mid-Age",HR_Data[[#This Row],[Age]]&gt;45,"Senior")</f>
        <v>Young</v>
      </c>
      <c r="S1027" s="1" t="str" cm="1">
        <f t="array" ref="S1027">_xlfn.IFS(HR_Data[[#This Row],[Monthly Income]]&lt;5000,"Low", HR_Data[[#This Row],[Monthly Income]]&lt;10000,"Medium",TRUE,"High")</f>
        <v>Low</v>
      </c>
      <c r="T1027" s="1" t="str" cm="1">
        <f t="array" ref="T1027">_xlfn.IFS(HR_Data[[#This Row],[Total Working Years]]&lt;=5,"Junior", HR_Data[[#This Row],[Total Working Years]]&lt;=15,"Mid-Level", TRUE, "Senior")</f>
        <v>Junior</v>
      </c>
    </row>
    <row r="1028" spans="1:20" x14ac:dyDescent="0.25">
      <c r="A1028" s="1">
        <v>1446</v>
      </c>
      <c r="B1028" s="1">
        <v>32</v>
      </c>
      <c r="C1028" t="s">
        <v>9</v>
      </c>
      <c r="D1028" t="s">
        <v>5</v>
      </c>
      <c r="E1028" t="s">
        <v>21</v>
      </c>
      <c r="F1028" t="s">
        <v>11</v>
      </c>
      <c r="G1028" t="s">
        <v>8</v>
      </c>
      <c r="H1028" s="1">
        <v>4</v>
      </c>
      <c r="I1028" s="1">
        <v>9204</v>
      </c>
      <c r="J1028" t="s">
        <v>9</v>
      </c>
      <c r="K1028" s="1">
        <v>12</v>
      </c>
      <c r="L1028" s="1">
        <v>3</v>
      </c>
      <c r="M1028" s="1">
        <v>7</v>
      </c>
      <c r="N1028" s="1">
        <v>2</v>
      </c>
      <c r="O1028" s="1">
        <v>4</v>
      </c>
      <c r="P1028" s="1">
        <f>COUNTIF(HR_Data[Employee Number],HR_Data[[#This Row],[Employee Number]])</f>
        <v>1</v>
      </c>
      <c r="Q1028" s="1" t="str">
        <f>IF(HR_Data[[#This Row],[Years At Company]]&lt;=HR_Data[[#This Row],[Total Working Years]],"Valid","error")</f>
        <v>Valid</v>
      </c>
      <c r="R1028" s="1" t="str" cm="1">
        <f t="array" ref="R1028">_xlfn.IFS(HR_Data[[#This Row],[Age]]&lt;=30,"Young", HR_Data[[#This Row],[Age]]&lt;=45,"Mid-Age",HR_Data[[#This Row],[Age]]&gt;45,"Senior")</f>
        <v>Mid-Age</v>
      </c>
      <c r="S1028" s="1" t="str" cm="1">
        <f t="array" ref="S1028">_xlfn.IFS(HR_Data[[#This Row],[Monthly Income]]&lt;5000,"Low", HR_Data[[#This Row],[Monthly Income]]&lt;10000,"Medium",TRUE,"High")</f>
        <v>Medium</v>
      </c>
      <c r="T1028" s="1" t="str" cm="1">
        <f t="array" ref="T1028">_xlfn.IFS(HR_Data[[#This Row],[Total Working Years]]&lt;=5,"Junior", HR_Data[[#This Row],[Total Working Years]]&lt;=15,"Mid-Level", TRUE, "Senior")</f>
        <v>Mid-Level</v>
      </c>
    </row>
    <row r="1029" spans="1:20" x14ac:dyDescent="0.25">
      <c r="A1029" s="1">
        <v>1447</v>
      </c>
      <c r="B1029" s="1">
        <v>34</v>
      </c>
      <c r="C1029" t="s">
        <v>9</v>
      </c>
      <c r="D1029" t="s">
        <v>10</v>
      </c>
      <c r="E1029" t="s">
        <v>6</v>
      </c>
      <c r="F1029" t="s">
        <v>7</v>
      </c>
      <c r="G1029" t="s">
        <v>14</v>
      </c>
      <c r="H1029" s="1">
        <v>2</v>
      </c>
      <c r="I1029" s="1">
        <v>3294</v>
      </c>
      <c r="J1029" t="s">
        <v>9</v>
      </c>
      <c r="K1029" s="1">
        <v>17</v>
      </c>
      <c r="L1029" s="1">
        <v>3</v>
      </c>
      <c r="M1029" s="1">
        <v>7</v>
      </c>
      <c r="N1029" s="1">
        <v>2</v>
      </c>
      <c r="O1029" s="1">
        <v>5</v>
      </c>
      <c r="P1029" s="1">
        <f>COUNTIF(HR_Data[Employee Number],HR_Data[[#This Row],[Employee Number]])</f>
        <v>1</v>
      </c>
      <c r="Q1029" s="1" t="str">
        <f>IF(HR_Data[[#This Row],[Years At Company]]&lt;=HR_Data[[#This Row],[Total Working Years]],"Valid","error")</f>
        <v>Valid</v>
      </c>
      <c r="R1029" s="1" t="str" cm="1">
        <f t="array" ref="R1029">_xlfn.IFS(HR_Data[[#This Row],[Age]]&lt;=30,"Young", HR_Data[[#This Row],[Age]]&lt;=45,"Mid-Age",HR_Data[[#This Row],[Age]]&gt;45,"Senior")</f>
        <v>Mid-Age</v>
      </c>
      <c r="S1029" s="1" t="str" cm="1">
        <f t="array" ref="S1029">_xlfn.IFS(HR_Data[[#This Row],[Monthly Income]]&lt;5000,"Low", HR_Data[[#This Row],[Monthly Income]]&lt;10000,"Medium",TRUE,"High")</f>
        <v>Low</v>
      </c>
      <c r="T1029" s="1" t="str" cm="1">
        <f t="array" ref="T1029">_xlfn.IFS(HR_Data[[#This Row],[Total Working Years]]&lt;=5,"Junior", HR_Data[[#This Row],[Total Working Years]]&lt;=15,"Mid-Level", TRUE, "Senior")</f>
        <v>Mid-Level</v>
      </c>
    </row>
    <row r="1030" spans="1:20" x14ac:dyDescent="0.25">
      <c r="A1030" s="1">
        <v>1448</v>
      </c>
      <c r="B1030" s="1">
        <v>41</v>
      </c>
      <c r="C1030" t="s">
        <v>9</v>
      </c>
      <c r="D1030" t="s">
        <v>10</v>
      </c>
      <c r="E1030" t="s">
        <v>15</v>
      </c>
      <c r="F1030" t="s">
        <v>11</v>
      </c>
      <c r="G1030" t="s">
        <v>12</v>
      </c>
      <c r="H1030" s="1">
        <v>3</v>
      </c>
      <c r="I1030" s="1">
        <v>2127</v>
      </c>
      <c r="J1030" t="s">
        <v>4</v>
      </c>
      <c r="K1030" s="1">
        <v>12</v>
      </c>
      <c r="L1030" s="1">
        <v>3</v>
      </c>
      <c r="M1030" s="1">
        <v>7</v>
      </c>
      <c r="N1030" s="1">
        <v>2</v>
      </c>
      <c r="O1030" s="1">
        <v>4</v>
      </c>
      <c r="P1030" s="1">
        <f>COUNTIF(HR_Data[Employee Number],HR_Data[[#This Row],[Employee Number]])</f>
        <v>1</v>
      </c>
      <c r="Q1030" s="1" t="str">
        <f>IF(HR_Data[[#This Row],[Years At Company]]&lt;=HR_Data[[#This Row],[Total Working Years]],"Valid","error")</f>
        <v>Valid</v>
      </c>
      <c r="R1030" s="1" t="str" cm="1">
        <f t="array" ref="R1030">_xlfn.IFS(HR_Data[[#This Row],[Age]]&lt;=30,"Young", HR_Data[[#This Row],[Age]]&lt;=45,"Mid-Age",HR_Data[[#This Row],[Age]]&gt;45,"Senior")</f>
        <v>Mid-Age</v>
      </c>
      <c r="S1030" s="1" t="str" cm="1">
        <f t="array" ref="S1030">_xlfn.IFS(HR_Data[[#This Row],[Monthly Income]]&lt;5000,"Low", HR_Data[[#This Row],[Monthly Income]]&lt;10000,"Medium",TRUE,"High")</f>
        <v>Low</v>
      </c>
      <c r="T1030" s="1" t="str" cm="1">
        <f t="array" ref="T1030">_xlfn.IFS(HR_Data[[#This Row],[Total Working Years]]&lt;=5,"Junior", HR_Data[[#This Row],[Total Working Years]]&lt;=15,"Mid-Level", TRUE, "Senior")</f>
        <v>Mid-Level</v>
      </c>
    </row>
    <row r="1031" spans="1:20" x14ac:dyDescent="0.25">
      <c r="A1031" s="1">
        <v>1449</v>
      </c>
      <c r="B1031" s="1">
        <v>40</v>
      </c>
      <c r="C1031" t="s">
        <v>9</v>
      </c>
      <c r="D1031" t="s">
        <v>10</v>
      </c>
      <c r="E1031" t="s">
        <v>13</v>
      </c>
      <c r="F1031" t="s">
        <v>11</v>
      </c>
      <c r="G1031" t="s">
        <v>14</v>
      </c>
      <c r="H1031" s="1">
        <v>3</v>
      </c>
      <c r="I1031" s="1">
        <v>3975</v>
      </c>
      <c r="J1031" t="s">
        <v>9</v>
      </c>
      <c r="K1031" s="1">
        <v>11</v>
      </c>
      <c r="L1031" s="1">
        <v>3</v>
      </c>
      <c r="M1031" s="1">
        <v>11</v>
      </c>
      <c r="N1031" s="1">
        <v>4</v>
      </c>
      <c r="O1031" s="1">
        <v>8</v>
      </c>
      <c r="P1031" s="1">
        <f>COUNTIF(HR_Data[Employee Number],HR_Data[[#This Row],[Employee Number]])</f>
        <v>1</v>
      </c>
      <c r="Q1031" s="1" t="str">
        <f>IF(HR_Data[[#This Row],[Years At Company]]&lt;=HR_Data[[#This Row],[Total Working Years]],"Valid","error")</f>
        <v>Valid</v>
      </c>
      <c r="R1031" s="1" t="str" cm="1">
        <f t="array" ref="R1031">_xlfn.IFS(HR_Data[[#This Row],[Age]]&lt;=30,"Young", HR_Data[[#This Row],[Age]]&lt;=45,"Mid-Age",HR_Data[[#This Row],[Age]]&gt;45,"Senior")</f>
        <v>Mid-Age</v>
      </c>
      <c r="S1031" s="1" t="str" cm="1">
        <f t="array" ref="S1031">_xlfn.IFS(HR_Data[[#This Row],[Monthly Income]]&lt;5000,"Low", HR_Data[[#This Row],[Monthly Income]]&lt;10000,"Medium",TRUE,"High")</f>
        <v>Low</v>
      </c>
      <c r="T1031" s="1" t="str" cm="1">
        <f t="array" ref="T1031">_xlfn.IFS(HR_Data[[#This Row],[Total Working Years]]&lt;=5,"Junior", HR_Data[[#This Row],[Total Working Years]]&lt;=15,"Mid-Level", TRUE, "Senior")</f>
        <v>Mid-Level</v>
      </c>
    </row>
    <row r="1032" spans="1:20" x14ac:dyDescent="0.25">
      <c r="A1032" s="1">
        <v>1453</v>
      </c>
      <c r="B1032" s="1">
        <v>31</v>
      </c>
      <c r="C1032" t="s">
        <v>9</v>
      </c>
      <c r="D1032" t="s">
        <v>5</v>
      </c>
      <c r="E1032" t="s">
        <v>6</v>
      </c>
      <c r="F1032" t="s">
        <v>11</v>
      </c>
      <c r="G1032" t="s">
        <v>8</v>
      </c>
      <c r="H1032" s="1">
        <v>4</v>
      </c>
      <c r="I1032" s="1">
        <v>10793</v>
      </c>
      <c r="J1032" t="s">
        <v>9</v>
      </c>
      <c r="K1032" s="1">
        <v>18</v>
      </c>
      <c r="L1032" s="1">
        <v>3</v>
      </c>
      <c r="M1032" s="1">
        <v>13</v>
      </c>
      <c r="N1032" s="1">
        <v>3</v>
      </c>
      <c r="O1032" s="1">
        <v>13</v>
      </c>
      <c r="P1032" s="1">
        <f>COUNTIF(HR_Data[Employee Number],HR_Data[[#This Row],[Employee Number]])</f>
        <v>1</v>
      </c>
      <c r="Q1032" s="1" t="str">
        <f>IF(HR_Data[[#This Row],[Years At Company]]&lt;=HR_Data[[#This Row],[Total Working Years]],"Valid","error")</f>
        <v>Valid</v>
      </c>
      <c r="R1032" s="1" t="str" cm="1">
        <f t="array" ref="R1032">_xlfn.IFS(HR_Data[[#This Row],[Age]]&lt;=30,"Young", HR_Data[[#This Row],[Age]]&lt;=45,"Mid-Age",HR_Data[[#This Row],[Age]]&gt;45,"Senior")</f>
        <v>Mid-Age</v>
      </c>
      <c r="S1032" s="1" t="str" cm="1">
        <f t="array" ref="S1032">_xlfn.IFS(HR_Data[[#This Row],[Monthly Income]]&lt;5000,"Low", HR_Data[[#This Row],[Monthly Income]]&lt;10000,"Medium",TRUE,"High")</f>
        <v>High</v>
      </c>
      <c r="T1032" s="1" t="str" cm="1">
        <f t="array" ref="T1032">_xlfn.IFS(HR_Data[[#This Row],[Total Working Years]]&lt;=5,"Junior", HR_Data[[#This Row],[Total Working Years]]&lt;=15,"Mid-Level", TRUE, "Senior")</f>
        <v>Mid-Level</v>
      </c>
    </row>
    <row r="1033" spans="1:20" x14ac:dyDescent="0.25">
      <c r="A1033" s="1">
        <v>1457</v>
      </c>
      <c r="B1033" s="1">
        <v>46</v>
      </c>
      <c r="C1033" t="s">
        <v>4</v>
      </c>
      <c r="D1033" t="s">
        <v>5</v>
      </c>
      <c r="E1033" t="s">
        <v>21</v>
      </c>
      <c r="F1033" t="s">
        <v>11</v>
      </c>
      <c r="G1033" t="s">
        <v>8</v>
      </c>
      <c r="H1033" s="1">
        <v>4</v>
      </c>
      <c r="I1033" s="1">
        <v>10096</v>
      </c>
      <c r="J1033" t="s">
        <v>9</v>
      </c>
      <c r="K1033" s="1">
        <v>11</v>
      </c>
      <c r="L1033" s="1">
        <v>3</v>
      </c>
      <c r="M1033" s="1">
        <v>28</v>
      </c>
      <c r="N1033" s="1">
        <v>4</v>
      </c>
      <c r="O1033" s="1">
        <v>7</v>
      </c>
      <c r="P1033" s="1">
        <f>COUNTIF(HR_Data[Employee Number],HR_Data[[#This Row],[Employee Number]])</f>
        <v>1</v>
      </c>
      <c r="Q1033" s="1" t="str">
        <f>IF(HR_Data[[#This Row],[Years At Company]]&lt;=HR_Data[[#This Row],[Total Working Years]],"Valid","error")</f>
        <v>Valid</v>
      </c>
      <c r="R1033" s="1" t="str" cm="1">
        <f t="array" ref="R1033">_xlfn.IFS(HR_Data[[#This Row],[Age]]&lt;=30,"Young", HR_Data[[#This Row],[Age]]&lt;=45,"Mid-Age",HR_Data[[#This Row],[Age]]&gt;45,"Senior")</f>
        <v>Senior</v>
      </c>
      <c r="S1033" s="1" t="str" cm="1">
        <f t="array" ref="S1033">_xlfn.IFS(HR_Data[[#This Row],[Monthly Income]]&lt;5000,"Low", HR_Data[[#This Row],[Monthly Income]]&lt;10000,"Medium",TRUE,"High")</f>
        <v>High</v>
      </c>
      <c r="T1033" s="1" t="str" cm="1">
        <f t="array" ref="T1033">_xlfn.IFS(HR_Data[[#This Row],[Total Working Years]]&lt;=5,"Junior", HR_Data[[#This Row],[Total Working Years]]&lt;=15,"Mid-Level", TRUE, "Senior")</f>
        <v>Senior</v>
      </c>
    </row>
    <row r="1034" spans="1:20" x14ac:dyDescent="0.25">
      <c r="A1034" s="1">
        <v>1458</v>
      </c>
      <c r="B1034" s="1">
        <v>39</v>
      </c>
      <c r="C1034" t="s">
        <v>4</v>
      </c>
      <c r="D1034" t="s">
        <v>10</v>
      </c>
      <c r="E1034" t="s">
        <v>6</v>
      </c>
      <c r="F1034" t="s">
        <v>7</v>
      </c>
      <c r="G1034" t="s">
        <v>14</v>
      </c>
      <c r="H1034" s="1">
        <v>1</v>
      </c>
      <c r="I1034" s="1">
        <v>3646</v>
      </c>
      <c r="J1034" t="s">
        <v>4</v>
      </c>
      <c r="K1034" s="1">
        <v>23</v>
      </c>
      <c r="L1034" s="1">
        <v>4</v>
      </c>
      <c r="M1034" s="1">
        <v>11</v>
      </c>
      <c r="N1034" s="1">
        <v>4</v>
      </c>
      <c r="O1034" s="1">
        <v>1</v>
      </c>
      <c r="P1034" s="1">
        <f>COUNTIF(HR_Data[Employee Number],HR_Data[[#This Row],[Employee Number]])</f>
        <v>1</v>
      </c>
      <c r="Q1034" s="1" t="str">
        <f>IF(HR_Data[[#This Row],[Years At Company]]&lt;=HR_Data[[#This Row],[Total Working Years]],"Valid","error")</f>
        <v>Valid</v>
      </c>
      <c r="R1034" s="1" t="str" cm="1">
        <f t="array" ref="R1034">_xlfn.IFS(HR_Data[[#This Row],[Age]]&lt;=30,"Young", HR_Data[[#This Row],[Age]]&lt;=45,"Mid-Age",HR_Data[[#This Row],[Age]]&gt;45,"Senior")</f>
        <v>Mid-Age</v>
      </c>
      <c r="S1034" s="1" t="str" cm="1">
        <f t="array" ref="S1034">_xlfn.IFS(HR_Data[[#This Row],[Monthly Income]]&lt;5000,"Low", HR_Data[[#This Row],[Monthly Income]]&lt;10000,"Medium",TRUE,"High")</f>
        <v>Low</v>
      </c>
      <c r="T1034" s="1" t="str" cm="1">
        <f t="array" ref="T1034">_xlfn.IFS(HR_Data[[#This Row],[Total Working Years]]&lt;=5,"Junior", HR_Data[[#This Row],[Total Working Years]]&lt;=15,"Mid-Level", TRUE, "Senior")</f>
        <v>Mid-Level</v>
      </c>
    </row>
    <row r="1035" spans="1:20" x14ac:dyDescent="0.25">
      <c r="A1035" s="1">
        <v>1459</v>
      </c>
      <c r="B1035" s="1">
        <v>31</v>
      </c>
      <c r="C1035" t="s">
        <v>4</v>
      </c>
      <c r="D1035" t="s">
        <v>10</v>
      </c>
      <c r="E1035" t="s">
        <v>6</v>
      </c>
      <c r="F1035" t="s">
        <v>7</v>
      </c>
      <c r="G1035" t="s">
        <v>16</v>
      </c>
      <c r="H1035" s="1">
        <v>2</v>
      </c>
      <c r="I1035" s="1">
        <v>7446</v>
      </c>
      <c r="J1035" t="s">
        <v>9</v>
      </c>
      <c r="K1035" s="1">
        <v>11</v>
      </c>
      <c r="L1035" s="1">
        <v>3</v>
      </c>
      <c r="M1035" s="1">
        <v>10</v>
      </c>
      <c r="N1035" s="1">
        <v>3</v>
      </c>
      <c r="O1035" s="1">
        <v>10</v>
      </c>
      <c r="P1035" s="1">
        <f>COUNTIF(HR_Data[Employee Number],HR_Data[[#This Row],[Employee Number]])</f>
        <v>1</v>
      </c>
      <c r="Q1035" s="1" t="str">
        <f>IF(HR_Data[[#This Row],[Years At Company]]&lt;=HR_Data[[#This Row],[Total Working Years]],"Valid","error")</f>
        <v>Valid</v>
      </c>
      <c r="R1035" s="1" t="str" cm="1">
        <f t="array" ref="R1035">_xlfn.IFS(HR_Data[[#This Row],[Age]]&lt;=30,"Young", HR_Data[[#This Row],[Age]]&lt;=45,"Mid-Age",HR_Data[[#This Row],[Age]]&gt;45,"Senior")</f>
        <v>Mid-Age</v>
      </c>
      <c r="S1035" s="1" t="str" cm="1">
        <f t="array" ref="S1035">_xlfn.IFS(HR_Data[[#This Row],[Monthly Income]]&lt;5000,"Low", HR_Data[[#This Row],[Monthly Income]]&lt;10000,"Medium",TRUE,"High")</f>
        <v>Medium</v>
      </c>
      <c r="T1035" s="1" t="str" cm="1">
        <f t="array" ref="T1035">_xlfn.IFS(HR_Data[[#This Row],[Total Working Years]]&lt;=5,"Junior", HR_Data[[#This Row],[Total Working Years]]&lt;=15,"Mid-Level", TRUE, "Senior")</f>
        <v>Mid-Level</v>
      </c>
    </row>
    <row r="1036" spans="1:20" x14ac:dyDescent="0.25">
      <c r="A1036" s="1">
        <v>1460</v>
      </c>
      <c r="B1036" s="1">
        <v>45</v>
      </c>
      <c r="C1036" t="s">
        <v>9</v>
      </c>
      <c r="D1036" t="s">
        <v>10</v>
      </c>
      <c r="E1036" t="s">
        <v>15</v>
      </c>
      <c r="F1036" t="s">
        <v>11</v>
      </c>
      <c r="G1036" t="s">
        <v>17</v>
      </c>
      <c r="H1036" s="1">
        <v>1</v>
      </c>
      <c r="I1036" s="1">
        <v>10851</v>
      </c>
      <c r="J1036" t="s">
        <v>4</v>
      </c>
      <c r="K1036" s="1">
        <v>18</v>
      </c>
      <c r="L1036" s="1">
        <v>3</v>
      </c>
      <c r="M1036" s="1">
        <v>24</v>
      </c>
      <c r="N1036" s="1">
        <v>3</v>
      </c>
      <c r="O1036" s="1">
        <v>7</v>
      </c>
      <c r="P1036" s="1">
        <f>COUNTIF(HR_Data[Employee Number],HR_Data[[#This Row],[Employee Number]])</f>
        <v>1</v>
      </c>
      <c r="Q1036" s="1" t="str">
        <f>IF(HR_Data[[#This Row],[Years At Company]]&lt;=HR_Data[[#This Row],[Total Working Years]],"Valid","error")</f>
        <v>Valid</v>
      </c>
      <c r="R1036" s="1" t="str" cm="1">
        <f t="array" ref="R1036">_xlfn.IFS(HR_Data[[#This Row],[Age]]&lt;=30,"Young", HR_Data[[#This Row],[Age]]&lt;=45,"Mid-Age",HR_Data[[#This Row],[Age]]&gt;45,"Senior")</f>
        <v>Mid-Age</v>
      </c>
      <c r="S1036" s="1" t="str" cm="1">
        <f t="array" ref="S1036">_xlfn.IFS(HR_Data[[#This Row],[Monthly Income]]&lt;5000,"Low", HR_Data[[#This Row],[Monthly Income]]&lt;10000,"Medium",TRUE,"High")</f>
        <v>High</v>
      </c>
      <c r="T1036" s="1" t="str" cm="1">
        <f t="array" ref="T1036">_xlfn.IFS(HR_Data[[#This Row],[Total Working Years]]&lt;=5,"Junior", HR_Data[[#This Row],[Total Working Years]]&lt;=15,"Mid-Level", TRUE, "Senior")</f>
        <v>Senior</v>
      </c>
    </row>
    <row r="1037" spans="1:20" x14ac:dyDescent="0.25">
      <c r="A1037" s="1">
        <v>1461</v>
      </c>
      <c r="B1037" s="1">
        <v>31</v>
      </c>
      <c r="C1037" t="s">
        <v>9</v>
      </c>
      <c r="D1037" t="s">
        <v>23</v>
      </c>
      <c r="E1037" t="s">
        <v>15</v>
      </c>
      <c r="F1037" t="s">
        <v>7</v>
      </c>
      <c r="G1037" t="s">
        <v>23</v>
      </c>
      <c r="H1037" s="1">
        <v>2</v>
      </c>
      <c r="I1037" s="1">
        <v>2109</v>
      </c>
      <c r="J1037" t="s">
        <v>9</v>
      </c>
      <c r="K1037" s="1">
        <v>18</v>
      </c>
      <c r="L1037" s="1">
        <v>3</v>
      </c>
      <c r="M1037" s="1">
        <v>8</v>
      </c>
      <c r="N1037" s="1">
        <v>3</v>
      </c>
      <c r="O1037" s="1">
        <v>3</v>
      </c>
      <c r="P1037" s="1">
        <f>COUNTIF(HR_Data[Employee Number],HR_Data[[#This Row],[Employee Number]])</f>
        <v>1</v>
      </c>
      <c r="Q1037" s="1" t="str">
        <f>IF(HR_Data[[#This Row],[Years At Company]]&lt;=HR_Data[[#This Row],[Total Working Years]],"Valid","error")</f>
        <v>Valid</v>
      </c>
      <c r="R1037" s="1" t="str" cm="1">
        <f t="array" ref="R1037">_xlfn.IFS(HR_Data[[#This Row],[Age]]&lt;=30,"Young", HR_Data[[#This Row],[Age]]&lt;=45,"Mid-Age",HR_Data[[#This Row],[Age]]&gt;45,"Senior")</f>
        <v>Mid-Age</v>
      </c>
      <c r="S1037" s="1" t="str" cm="1">
        <f t="array" ref="S1037">_xlfn.IFS(HR_Data[[#This Row],[Monthly Income]]&lt;5000,"Low", HR_Data[[#This Row],[Monthly Income]]&lt;10000,"Medium",TRUE,"High")</f>
        <v>Low</v>
      </c>
      <c r="T1037" s="1" t="str" cm="1">
        <f t="array" ref="T1037">_xlfn.IFS(HR_Data[[#This Row],[Total Working Years]]&lt;=5,"Junior", HR_Data[[#This Row],[Total Working Years]]&lt;=15,"Mid-Level", TRUE, "Senior")</f>
        <v>Mid-Level</v>
      </c>
    </row>
    <row r="1038" spans="1:20" x14ac:dyDescent="0.25">
      <c r="A1038" s="1">
        <v>1464</v>
      </c>
      <c r="B1038" s="1">
        <v>31</v>
      </c>
      <c r="C1038" t="s">
        <v>4</v>
      </c>
      <c r="D1038" t="s">
        <v>10</v>
      </c>
      <c r="E1038" t="s">
        <v>6</v>
      </c>
      <c r="F1038" t="s">
        <v>11</v>
      </c>
      <c r="G1038" t="s">
        <v>14</v>
      </c>
      <c r="H1038" s="1">
        <v>4</v>
      </c>
      <c r="I1038" s="1">
        <v>3722</v>
      </c>
      <c r="J1038" t="s">
        <v>4</v>
      </c>
      <c r="K1038" s="1">
        <v>13</v>
      </c>
      <c r="L1038" s="1">
        <v>3</v>
      </c>
      <c r="M1038" s="1">
        <v>7</v>
      </c>
      <c r="N1038" s="1">
        <v>1</v>
      </c>
      <c r="O1038" s="1">
        <v>2</v>
      </c>
      <c r="P1038" s="1">
        <f>COUNTIF(HR_Data[Employee Number],HR_Data[[#This Row],[Employee Number]])</f>
        <v>1</v>
      </c>
      <c r="Q1038" s="1" t="str">
        <f>IF(HR_Data[[#This Row],[Years At Company]]&lt;=HR_Data[[#This Row],[Total Working Years]],"Valid","error")</f>
        <v>Valid</v>
      </c>
      <c r="R1038" s="1" t="str" cm="1">
        <f t="array" ref="R1038">_xlfn.IFS(HR_Data[[#This Row],[Age]]&lt;=30,"Young", HR_Data[[#This Row],[Age]]&lt;=45,"Mid-Age",HR_Data[[#This Row],[Age]]&gt;45,"Senior")</f>
        <v>Mid-Age</v>
      </c>
      <c r="S1038" s="1" t="str" cm="1">
        <f t="array" ref="S1038">_xlfn.IFS(HR_Data[[#This Row],[Monthly Income]]&lt;5000,"Low", HR_Data[[#This Row],[Monthly Income]]&lt;10000,"Medium",TRUE,"High")</f>
        <v>Low</v>
      </c>
      <c r="T1038" s="1" t="str" cm="1">
        <f t="array" ref="T1038">_xlfn.IFS(HR_Data[[#This Row],[Total Working Years]]&lt;=5,"Junior", HR_Data[[#This Row],[Total Working Years]]&lt;=15,"Mid-Level", TRUE, "Senior")</f>
        <v>Mid-Level</v>
      </c>
    </row>
    <row r="1039" spans="1:20" x14ac:dyDescent="0.25">
      <c r="A1039" s="1">
        <v>1465</v>
      </c>
      <c r="B1039" s="1">
        <v>45</v>
      </c>
      <c r="C1039" t="s">
        <v>9</v>
      </c>
      <c r="D1039" t="s">
        <v>10</v>
      </c>
      <c r="E1039" t="s">
        <v>22</v>
      </c>
      <c r="F1039" t="s">
        <v>11</v>
      </c>
      <c r="G1039" t="s">
        <v>16</v>
      </c>
      <c r="H1039" s="1">
        <v>4</v>
      </c>
      <c r="I1039" s="1">
        <v>9380</v>
      </c>
      <c r="J1039" t="s">
        <v>4</v>
      </c>
      <c r="K1039" s="1">
        <v>18</v>
      </c>
      <c r="L1039" s="1">
        <v>3</v>
      </c>
      <c r="M1039" s="1">
        <v>10</v>
      </c>
      <c r="N1039" s="1">
        <v>4</v>
      </c>
      <c r="O1039" s="1">
        <v>3</v>
      </c>
      <c r="P1039" s="1">
        <f>COUNTIF(HR_Data[Employee Number],HR_Data[[#This Row],[Employee Number]])</f>
        <v>1</v>
      </c>
      <c r="Q1039" s="1" t="str">
        <f>IF(HR_Data[[#This Row],[Years At Company]]&lt;=HR_Data[[#This Row],[Total Working Years]],"Valid","error")</f>
        <v>Valid</v>
      </c>
      <c r="R1039" s="1" t="str" cm="1">
        <f t="array" ref="R1039">_xlfn.IFS(HR_Data[[#This Row],[Age]]&lt;=30,"Young", HR_Data[[#This Row],[Age]]&lt;=45,"Mid-Age",HR_Data[[#This Row],[Age]]&gt;45,"Senior")</f>
        <v>Mid-Age</v>
      </c>
      <c r="S1039" s="1" t="str" cm="1">
        <f t="array" ref="S1039">_xlfn.IFS(HR_Data[[#This Row],[Monthly Income]]&lt;5000,"Low", HR_Data[[#This Row],[Monthly Income]]&lt;10000,"Medium",TRUE,"High")</f>
        <v>Medium</v>
      </c>
      <c r="T1039" s="1" t="str" cm="1">
        <f t="array" ref="T1039">_xlfn.IFS(HR_Data[[#This Row],[Total Working Years]]&lt;=5,"Junior", HR_Data[[#This Row],[Total Working Years]]&lt;=15,"Mid-Level", TRUE, "Senior")</f>
        <v>Mid-Level</v>
      </c>
    </row>
    <row r="1040" spans="1:20" x14ac:dyDescent="0.25">
      <c r="A1040" s="1">
        <v>1466</v>
      </c>
      <c r="B1040" s="1">
        <v>48</v>
      </c>
      <c r="C1040" t="s">
        <v>9</v>
      </c>
      <c r="D1040" t="s">
        <v>5</v>
      </c>
      <c r="E1040" t="s">
        <v>21</v>
      </c>
      <c r="F1040" t="s">
        <v>11</v>
      </c>
      <c r="G1040" t="s">
        <v>8</v>
      </c>
      <c r="H1040" s="1">
        <v>1</v>
      </c>
      <c r="I1040" s="1">
        <v>5486</v>
      </c>
      <c r="J1040" t="s">
        <v>9</v>
      </c>
      <c r="K1040" s="1">
        <v>11</v>
      </c>
      <c r="L1040" s="1">
        <v>3</v>
      </c>
      <c r="M1040" s="1">
        <v>15</v>
      </c>
      <c r="N1040" s="1">
        <v>3</v>
      </c>
      <c r="O1040" s="1">
        <v>2</v>
      </c>
      <c r="P1040" s="1">
        <f>COUNTIF(HR_Data[Employee Number],HR_Data[[#This Row],[Employee Number]])</f>
        <v>1</v>
      </c>
      <c r="Q1040" s="1" t="str">
        <f>IF(HR_Data[[#This Row],[Years At Company]]&lt;=HR_Data[[#This Row],[Total Working Years]],"Valid","error")</f>
        <v>Valid</v>
      </c>
      <c r="R1040" s="1" t="str" cm="1">
        <f t="array" ref="R1040">_xlfn.IFS(HR_Data[[#This Row],[Age]]&lt;=30,"Young", HR_Data[[#This Row],[Age]]&lt;=45,"Mid-Age",HR_Data[[#This Row],[Age]]&gt;45,"Senior")</f>
        <v>Senior</v>
      </c>
      <c r="S1040" s="1" t="str" cm="1">
        <f t="array" ref="S1040">_xlfn.IFS(HR_Data[[#This Row],[Monthly Income]]&lt;5000,"Low", HR_Data[[#This Row],[Monthly Income]]&lt;10000,"Medium",TRUE,"High")</f>
        <v>Medium</v>
      </c>
      <c r="T1040" s="1" t="str" cm="1">
        <f t="array" ref="T1040">_xlfn.IFS(HR_Data[[#This Row],[Total Working Years]]&lt;=5,"Junior", HR_Data[[#This Row],[Total Working Years]]&lt;=15,"Mid-Level", TRUE, "Senior")</f>
        <v>Mid-Level</v>
      </c>
    </row>
    <row r="1041" spans="1:20" x14ac:dyDescent="0.25">
      <c r="A1041" s="1">
        <v>1467</v>
      </c>
      <c r="B1041" s="1">
        <v>34</v>
      </c>
      <c r="C1041" t="s">
        <v>4</v>
      </c>
      <c r="D1041" t="s">
        <v>23</v>
      </c>
      <c r="E1041" t="s">
        <v>22</v>
      </c>
      <c r="F1041" t="s">
        <v>7</v>
      </c>
      <c r="G1041" t="s">
        <v>23</v>
      </c>
      <c r="H1041" s="1">
        <v>3</v>
      </c>
      <c r="I1041" s="1">
        <v>2742</v>
      </c>
      <c r="J1041" t="s">
        <v>9</v>
      </c>
      <c r="K1041" s="1">
        <v>15</v>
      </c>
      <c r="L1041" s="1">
        <v>3</v>
      </c>
      <c r="M1041" s="1">
        <v>2</v>
      </c>
      <c r="N1041" s="1">
        <v>3</v>
      </c>
      <c r="O1041" s="1">
        <v>2</v>
      </c>
      <c r="P1041" s="1">
        <f>COUNTIF(HR_Data[Employee Number],HR_Data[[#This Row],[Employee Number]])</f>
        <v>1</v>
      </c>
      <c r="Q1041" s="1" t="str">
        <f>IF(HR_Data[[#This Row],[Years At Company]]&lt;=HR_Data[[#This Row],[Total Working Years]],"Valid","error")</f>
        <v>Valid</v>
      </c>
      <c r="R1041" s="1" t="str" cm="1">
        <f t="array" ref="R1041">_xlfn.IFS(HR_Data[[#This Row],[Age]]&lt;=30,"Young", HR_Data[[#This Row],[Age]]&lt;=45,"Mid-Age",HR_Data[[#This Row],[Age]]&gt;45,"Senior")</f>
        <v>Mid-Age</v>
      </c>
      <c r="S1041" s="1" t="str" cm="1">
        <f t="array" ref="S1041">_xlfn.IFS(HR_Data[[#This Row],[Monthly Income]]&lt;5000,"Low", HR_Data[[#This Row],[Monthly Income]]&lt;10000,"Medium",TRUE,"High")</f>
        <v>Low</v>
      </c>
      <c r="T1041" s="1" t="str" cm="1">
        <f t="array" ref="T1041">_xlfn.IFS(HR_Data[[#This Row],[Total Working Years]]&lt;=5,"Junior", HR_Data[[#This Row],[Total Working Years]]&lt;=15,"Mid-Level", TRUE, "Senior")</f>
        <v>Junior</v>
      </c>
    </row>
    <row r="1042" spans="1:20" x14ac:dyDescent="0.25">
      <c r="A1042" s="1">
        <v>1468</v>
      </c>
      <c r="B1042" s="1">
        <v>40</v>
      </c>
      <c r="C1042" t="s">
        <v>9</v>
      </c>
      <c r="D1042" t="s">
        <v>10</v>
      </c>
      <c r="E1042" t="s">
        <v>15</v>
      </c>
      <c r="F1042" t="s">
        <v>11</v>
      </c>
      <c r="G1042" t="s">
        <v>20</v>
      </c>
      <c r="H1042" s="1">
        <v>2</v>
      </c>
      <c r="I1042" s="1">
        <v>13757</v>
      </c>
      <c r="J1042" t="s">
        <v>9</v>
      </c>
      <c r="K1042" s="1">
        <v>11</v>
      </c>
      <c r="L1042" s="1">
        <v>3</v>
      </c>
      <c r="M1042" s="1">
        <v>16</v>
      </c>
      <c r="N1042" s="1">
        <v>3</v>
      </c>
      <c r="O1042" s="1">
        <v>9</v>
      </c>
      <c r="P1042" s="1">
        <f>COUNTIF(HR_Data[Employee Number],HR_Data[[#This Row],[Employee Number]])</f>
        <v>1</v>
      </c>
      <c r="Q1042" s="1" t="str">
        <f>IF(HR_Data[[#This Row],[Years At Company]]&lt;=HR_Data[[#This Row],[Total Working Years]],"Valid","error")</f>
        <v>Valid</v>
      </c>
      <c r="R1042" s="1" t="str" cm="1">
        <f t="array" ref="R1042">_xlfn.IFS(HR_Data[[#This Row],[Age]]&lt;=30,"Young", HR_Data[[#This Row],[Age]]&lt;=45,"Mid-Age",HR_Data[[#This Row],[Age]]&gt;45,"Senior")</f>
        <v>Mid-Age</v>
      </c>
      <c r="S1042" s="1" t="str" cm="1">
        <f t="array" ref="S1042">_xlfn.IFS(HR_Data[[#This Row],[Monthly Income]]&lt;5000,"Low", HR_Data[[#This Row],[Monthly Income]]&lt;10000,"Medium",TRUE,"High")</f>
        <v>High</v>
      </c>
      <c r="T1042" s="1" t="str" cm="1">
        <f t="array" ref="T1042">_xlfn.IFS(HR_Data[[#This Row],[Total Working Years]]&lt;=5,"Junior", HR_Data[[#This Row],[Total Working Years]]&lt;=15,"Mid-Level", TRUE, "Senior")</f>
        <v>Senior</v>
      </c>
    </row>
    <row r="1043" spans="1:20" x14ac:dyDescent="0.25">
      <c r="A1043" s="1">
        <v>1469</v>
      </c>
      <c r="B1043" s="1">
        <v>28</v>
      </c>
      <c r="C1043" t="s">
        <v>9</v>
      </c>
      <c r="D1043" t="s">
        <v>5</v>
      </c>
      <c r="E1043" t="s">
        <v>15</v>
      </c>
      <c r="F1043" t="s">
        <v>11</v>
      </c>
      <c r="G1043" t="s">
        <v>8</v>
      </c>
      <c r="H1043" s="1">
        <v>1</v>
      </c>
      <c r="I1043" s="1">
        <v>8463</v>
      </c>
      <c r="J1043" t="s">
        <v>9</v>
      </c>
      <c r="K1043" s="1">
        <v>18</v>
      </c>
      <c r="L1043" s="1">
        <v>3</v>
      </c>
      <c r="M1043" s="1">
        <v>6</v>
      </c>
      <c r="N1043" s="1">
        <v>3</v>
      </c>
      <c r="O1043" s="1">
        <v>5</v>
      </c>
      <c r="P1043" s="1">
        <f>COUNTIF(HR_Data[Employee Number],HR_Data[[#This Row],[Employee Number]])</f>
        <v>1</v>
      </c>
      <c r="Q1043" s="1" t="str">
        <f>IF(HR_Data[[#This Row],[Years At Company]]&lt;=HR_Data[[#This Row],[Total Working Years]],"Valid","error")</f>
        <v>Valid</v>
      </c>
      <c r="R1043" s="1" t="str" cm="1">
        <f t="array" ref="R1043">_xlfn.IFS(HR_Data[[#This Row],[Age]]&lt;=30,"Young", HR_Data[[#This Row],[Age]]&lt;=45,"Mid-Age",HR_Data[[#This Row],[Age]]&gt;45,"Senior")</f>
        <v>Young</v>
      </c>
      <c r="S1043" s="1" t="str" cm="1">
        <f t="array" ref="S1043">_xlfn.IFS(HR_Data[[#This Row],[Monthly Income]]&lt;5000,"Low", HR_Data[[#This Row],[Monthly Income]]&lt;10000,"Medium",TRUE,"High")</f>
        <v>Medium</v>
      </c>
      <c r="T1043" s="1" t="str" cm="1">
        <f t="array" ref="T1043">_xlfn.IFS(HR_Data[[#This Row],[Total Working Years]]&lt;=5,"Junior", HR_Data[[#This Row],[Total Working Years]]&lt;=15,"Mid-Level", TRUE, "Senior")</f>
        <v>Mid-Level</v>
      </c>
    </row>
    <row r="1044" spans="1:20" x14ac:dyDescent="0.25">
      <c r="A1044" s="1">
        <v>1471</v>
      </c>
      <c r="B1044" s="1">
        <v>44</v>
      </c>
      <c r="C1044" t="s">
        <v>9</v>
      </c>
      <c r="D1044" t="s">
        <v>10</v>
      </c>
      <c r="E1044" t="s">
        <v>6</v>
      </c>
      <c r="F1044" t="s">
        <v>11</v>
      </c>
      <c r="G1044" t="s">
        <v>14</v>
      </c>
      <c r="H1044" s="1">
        <v>3</v>
      </c>
      <c r="I1044" s="1">
        <v>3162</v>
      </c>
      <c r="J1044" t="s">
        <v>9</v>
      </c>
      <c r="K1044" s="1">
        <v>14</v>
      </c>
      <c r="L1044" s="1">
        <v>3</v>
      </c>
      <c r="M1044" s="1">
        <v>7</v>
      </c>
      <c r="N1044" s="1">
        <v>3</v>
      </c>
      <c r="O1044" s="1">
        <v>5</v>
      </c>
      <c r="P1044" s="1">
        <f>COUNTIF(HR_Data[Employee Number],HR_Data[[#This Row],[Employee Number]])</f>
        <v>1</v>
      </c>
      <c r="Q1044" s="1" t="str">
        <f>IF(HR_Data[[#This Row],[Years At Company]]&lt;=HR_Data[[#This Row],[Total Working Years]],"Valid","error")</f>
        <v>Valid</v>
      </c>
      <c r="R1044" s="1" t="str" cm="1">
        <f t="array" ref="R1044">_xlfn.IFS(HR_Data[[#This Row],[Age]]&lt;=30,"Young", HR_Data[[#This Row],[Age]]&lt;=45,"Mid-Age",HR_Data[[#This Row],[Age]]&gt;45,"Senior")</f>
        <v>Mid-Age</v>
      </c>
      <c r="S1044" s="1" t="str" cm="1">
        <f t="array" ref="S1044">_xlfn.IFS(HR_Data[[#This Row],[Monthly Income]]&lt;5000,"Low", HR_Data[[#This Row],[Monthly Income]]&lt;10000,"Medium",TRUE,"High")</f>
        <v>Low</v>
      </c>
      <c r="T1044" s="1" t="str" cm="1">
        <f t="array" ref="T1044">_xlfn.IFS(HR_Data[[#This Row],[Total Working Years]]&lt;=5,"Junior", HR_Data[[#This Row],[Total Working Years]]&lt;=15,"Mid-Level", TRUE, "Senior")</f>
        <v>Mid-Level</v>
      </c>
    </row>
    <row r="1045" spans="1:20" x14ac:dyDescent="0.25">
      <c r="A1045" s="1">
        <v>1472</v>
      </c>
      <c r="B1045" s="1">
        <v>53</v>
      </c>
      <c r="C1045" t="s">
        <v>9</v>
      </c>
      <c r="D1045" t="s">
        <v>10</v>
      </c>
      <c r="E1045" t="s">
        <v>15</v>
      </c>
      <c r="F1045" t="s">
        <v>11</v>
      </c>
      <c r="G1045" t="s">
        <v>20</v>
      </c>
      <c r="H1045" s="1">
        <v>2</v>
      </c>
      <c r="I1045" s="1">
        <v>16598</v>
      </c>
      <c r="J1045" t="s">
        <v>9</v>
      </c>
      <c r="K1045" s="1">
        <v>12</v>
      </c>
      <c r="L1045" s="1">
        <v>3</v>
      </c>
      <c r="M1045" s="1">
        <v>35</v>
      </c>
      <c r="N1045" s="1">
        <v>2</v>
      </c>
      <c r="O1045" s="1">
        <v>9</v>
      </c>
      <c r="P1045" s="1">
        <f>COUNTIF(HR_Data[Employee Number],HR_Data[[#This Row],[Employee Number]])</f>
        <v>1</v>
      </c>
      <c r="Q1045" s="1" t="str">
        <f>IF(HR_Data[[#This Row],[Years At Company]]&lt;=HR_Data[[#This Row],[Total Working Years]],"Valid","error")</f>
        <v>Valid</v>
      </c>
      <c r="R1045" s="1" t="str" cm="1">
        <f t="array" ref="R1045">_xlfn.IFS(HR_Data[[#This Row],[Age]]&lt;=30,"Young", HR_Data[[#This Row],[Age]]&lt;=45,"Mid-Age",HR_Data[[#This Row],[Age]]&gt;45,"Senior")</f>
        <v>Senior</v>
      </c>
      <c r="S1045" s="1" t="str" cm="1">
        <f t="array" ref="S1045">_xlfn.IFS(HR_Data[[#This Row],[Monthly Income]]&lt;5000,"Low", HR_Data[[#This Row],[Monthly Income]]&lt;10000,"Medium",TRUE,"High")</f>
        <v>High</v>
      </c>
      <c r="T1045" s="1" t="str" cm="1">
        <f t="array" ref="T1045">_xlfn.IFS(HR_Data[[#This Row],[Total Working Years]]&lt;=5,"Junior", HR_Data[[#This Row],[Total Working Years]]&lt;=15,"Mid-Level", TRUE, "Senior")</f>
        <v>Senior</v>
      </c>
    </row>
    <row r="1046" spans="1:20" x14ac:dyDescent="0.25">
      <c r="A1046" s="1">
        <v>1473</v>
      </c>
      <c r="B1046" s="1">
        <v>49</v>
      </c>
      <c r="C1046" t="s">
        <v>9</v>
      </c>
      <c r="D1046" t="s">
        <v>10</v>
      </c>
      <c r="E1046" t="s">
        <v>22</v>
      </c>
      <c r="F1046" t="s">
        <v>11</v>
      </c>
      <c r="G1046" t="s">
        <v>17</v>
      </c>
      <c r="H1046" s="1">
        <v>3</v>
      </c>
      <c r="I1046" s="1">
        <v>6651</v>
      </c>
      <c r="J1046" t="s">
        <v>9</v>
      </c>
      <c r="K1046" s="1">
        <v>14</v>
      </c>
      <c r="L1046" s="1">
        <v>3</v>
      </c>
      <c r="M1046" s="1">
        <v>20</v>
      </c>
      <c r="N1046" s="1">
        <v>2</v>
      </c>
      <c r="O1046" s="1">
        <v>3</v>
      </c>
      <c r="P1046" s="1">
        <f>COUNTIF(HR_Data[Employee Number],HR_Data[[#This Row],[Employee Number]])</f>
        <v>1</v>
      </c>
      <c r="Q1046" s="1" t="str">
        <f>IF(HR_Data[[#This Row],[Years At Company]]&lt;=HR_Data[[#This Row],[Total Working Years]],"Valid","error")</f>
        <v>Valid</v>
      </c>
      <c r="R1046" s="1" t="str" cm="1">
        <f t="array" ref="R1046">_xlfn.IFS(HR_Data[[#This Row],[Age]]&lt;=30,"Young", HR_Data[[#This Row],[Age]]&lt;=45,"Mid-Age",HR_Data[[#This Row],[Age]]&gt;45,"Senior")</f>
        <v>Senior</v>
      </c>
      <c r="S1046" s="1" t="str" cm="1">
        <f t="array" ref="S1046">_xlfn.IFS(HR_Data[[#This Row],[Monthly Income]]&lt;5000,"Low", HR_Data[[#This Row],[Monthly Income]]&lt;10000,"Medium",TRUE,"High")</f>
        <v>Medium</v>
      </c>
      <c r="T1046" s="1" t="str" cm="1">
        <f t="array" ref="T1046">_xlfn.IFS(HR_Data[[#This Row],[Total Working Years]]&lt;=5,"Junior", HR_Data[[#This Row],[Total Working Years]]&lt;=15,"Mid-Level", TRUE, "Senior")</f>
        <v>Senior</v>
      </c>
    </row>
    <row r="1047" spans="1:20" x14ac:dyDescent="0.25">
      <c r="A1047" s="1">
        <v>1474</v>
      </c>
      <c r="B1047" s="1">
        <v>40</v>
      </c>
      <c r="C1047" t="s">
        <v>9</v>
      </c>
      <c r="D1047" t="s">
        <v>10</v>
      </c>
      <c r="E1047" t="s">
        <v>15</v>
      </c>
      <c r="F1047" t="s">
        <v>11</v>
      </c>
      <c r="G1047" t="s">
        <v>12</v>
      </c>
      <c r="H1047" s="1">
        <v>3</v>
      </c>
      <c r="I1047" s="1">
        <v>2345</v>
      </c>
      <c r="J1047" t="s">
        <v>9</v>
      </c>
      <c r="K1047" s="1">
        <v>14</v>
      </c>
      <c r="L1047" s="1">
        <v>3</v>
      </c>
      <c r="M1047" s="1">
        <v>8</v>
      </c>
      <c r="N1047" s="1">
        <v>4</v>
      </c>
      <c r="O1047" s="1">
        <v>3</v>
      </c>
      <c r="P1047" s="1">
        <f>COUNTIF(HR_Data[Employee Number],HR_Data[[#This Row],[Employee Number]])</f>
        <v>1</v>
      </c>
      <c r="Q1047" s="1" t="str">
        <f>IF(HR_Data[[#This Row],[Years At Company]]&lt;=HR_Data[[#This Row],[Total Working Years]],"Valid","error")</f>
        <v>Valid</v>
      </c>
      <c r="R1047" s="1" t="str" cm="1">
        <f t="array" ref="R1047">_xlfn.IFS(HR_Data[[#This Row],[Age]]&lt;=30,"Young", HR_Data[[#This Row],[Age]]&lt;=45,"Mid-Age",HR_Data[[#This Row],[Age]]&gt;45,"Senior")</f>
        <v>Mid-Age</v>
      </c>
      <c r="S1047" s="1" t="str" cm="1">
        <f t="array" ref="S1047">_xlfn.IFS(HR_Data[[#This Row],[Monthly Income]]&lt;5000,"Low", HR_Data[[#This Row],[Monthly Income]]&lt;10000,"Medium",TRUE,"High")</f>
        <v>Low</v>
      </c>
      <c r="T1047" s="1" t="str" cm="1">
        <f t="array" ref="T1047">_xlfn.IFS(HR_Data[[#This Row],[Total Working Years]]&lt;=5,"Junior", HR_Data[[#This Row],[Total Working Years]]&lt;=15,"Mid-Level", TRUE, "Senior")</f>
        <v>Mid-Level</v>
      </c>
    </row>
    <row r="1048" spans="1:20" x14ac:dyDescent="0.25">
      <c r="A1048" s="1">
        <v>1475</v>
      </c>
      <c r="B1048" s="1">
        <v>44</v>
      </c>
      <c r="C1048" t="s">
        <v>9</v>
      </c>
      <c r="D1048" t="s">
        <v>10</v>
      </c>
      <c r="E1048" t="s">
        <v>6</v>
      </c>
      <c r="F1048" t="s">
        <v>11</v>
      </c>
      <c r="G1048" t="s">
        <v>12</v>
      </c>
      <c r="H1048" s="1">
        <v>2</v>
      </c>
      <c r="I1048" s="1">
        <v>3420</v>
      </c>
      <c r="J1048" t="s">
        <v>9</v>
      </c>
      <c r="K1048" s="1">
        <v>13</v>
      </c>
      <c r="L1048" s="1">
        <v>3</v>
      </c>
      <c r="M1048" s="1">
        <v>6</v>
      </c>
      <c r="N1048" s="1">
        <v>2</v>
      </c>
      <c r="O1048" s="1">
        <v>5</v>
      </c>
      <c r="P1048" s="1">
        <f>COUNTIF(HR_Data[Employee Number],HR_Data[[#This Row],[Employee Number]])</f>
        <v>1</v>
      </c>
      <c r="Q1048" s="1" t="str">
        <f>IF(HR_Data[[#This Row],[Years At Company]]&lt;=HR_Data[[#This Row],[Total Working Years]],"Valid","error")</f>
        <v>Valid</v>
      </c>
      <c r="R1048" s="1" t="str" cm="1">
        <f t="array" ref="R1048">_xlfn.IFS(HR_Data[[#This Row],[Age]]&lt;=30,"Young", HR_Data[[#This Row],[Age]]&lt;=45,"Mid-Age",HR_Data[[#This Row],[Age]]&gt;45,"Senior")</f>
        <v>Mid-Age</v>
      </c>
      <c r="S1048" s="1" t="str" cm="1">
        <f t="array" ref="S1048">_xlfn.IFS(HR_Data[[#This Row],[Monthly Income]]&lt;5000,"Low", HR_Data[[#This Row],[Monthly Income]]&lt;10000,"Medium",TRUE,"High")</f>
        <v>Low</v>
      </c>
      <c r="T1048" s="1" t="str" cm="1">
        <f t="array" ref="T1048">_xlfn.IFS(HR_Data[[#This Row],[Total Working Years]]&lt;=5,"Junior", HR_Data[[#This Row],[Total Working Years]]&lt;=15,"Mid-Level", TRUE, "Senior")</f>
        <v>Mid-Level</v>
      </c>
    </row>
    <row r="1049" spans="1:20" x14ac:dyDescent="0.25">
      <c r="A1049" s="1">
        <v>1477</v>
      </c>
      <c r="B1049" s="1">
        <v>33</v>
      </c>
      <c r="C1049" t="s">
        <v>9</v>
      </c>
      <c r="D1049" t="s">
        <v>5</v>
      </c>
      <c r="E1049" t="s">
        <v>15</v>
      </c>
      <c r="F1049" t="s">
        <v>11</v>
      </c>
      <c r="G1049" t="s">
        <v>8</v>
      </c>
      <c r="H1049" s="1">
        <v>1</v>
      </c>
      <c r="I1049" s="1">
        <v>4373</v>
      </c>
      <c r="J1049" t="s">
        <v>9</v>
      </c>
      <c r="K1049" s="1">
        <v>14</v>
      </c>
      <c r="L1049" s="1">
        <v>3</v>
      </c>
      <c r="M1049" s="1">
        <v>5</v>
      </c>
      <c r="N1049" s="1">
        <v>3</v>
      </c>
      <c r="O1049" s="1">
        <v>4</v>
      </c>
      <c r="P1049" s="1">
        <f>COUNTIF(HR_Data[Employee Number],HR_Data[[#This Row],[Employee Number]])</f>
        <v>1</v>
      </c>
      <c r="Q1049" s="1" t="str">
        <f>IF(HR_Data[[#This Row],[Years At Company]]&lt;=HR_Data[[#This Row],[Total Working Years]],"Valid","error")</f>
        <v>Valid</v>
      </c>
      <c r="R1049" s="1" t="str" cm="1">
        <f t="array" ref="R1049">_xlfn.IFS(HR_Data[[#This Row],[Age]]&lt;=30,"Young", HR_Data[[#This Row],[Age]]&lt;=45,"Mid-Age",HR_Data[[#This Row],[Age]]&gt;45,"Senior")</f>
        <v>Mid-Age</v>
      </c>
      <c r="S1049" s="1" t="str" cm="1">
        <f t="array" ref="S1049">_xlfn.IFS(HR_Data[[#This Row],[Monthly Income]]&lt;5000,"Low", HR_Data[[#This Row],[Monthly Income]]&lt;10000,"Medium",TRUE,"High")</f>
        <v>Low</v>
      </c>
      <c r="T1049" s="1" t="str" cm="1">
        <f t="array" ref="T1049">_xlfn.IFS(HR_Data[[#This Row],[Total Working Years]]&lt;=5,"Junior", HR_Data[[#This Row],[Total Working Years]]&lt;=15,"Mid-Level", TRUE, "Senior")</f>
        <v>Junior</v>
      </c>
    </row>
    <row r="1050" spans="1:20" x14ac:dyDescent="0.25">
      <c r="A1050" s="1">
        <v>1478</v>
      </c>
      <c r="B1050" s="1">
        <v>34</v>
      </c>
      <c r="C1050" t="s">
        <v>9</v>
      </c>
      <c r="D1050" t="s">
        <v>5</v>
      </c>
      <c r="E1050" t="s">
        <v>13</v>
      </c>
      <c r="F1050" t="s">
        <v>11</v>
      </c>
      <c r="G1050" t="s">
        <v>8</v>
      </c>
      <c r="H1050" s="1">
        <v>1</v>
      </c>
      <c r="I1050" s="1">
        <v>4759</v>
      </c>
      <c r="J1050" t="s">
        <v>9</v>
      </c>
      <c r="K1050" s="1">
        <v>18</v>
      </c>
      <c r="L1050" s="1">
        <v>3</v>
      </c>
      <c r="M1050" s="1">
        <v>15</v>
      </c>
      <c r="N1050" s="1">
        <v>3</v>
      </c>
      <c r="O1050" s="1">
        <v>13</v>
      </c>
      <c r="P1050" s="1">
        <f>COUNTIF(HR_Data[Employee Number],HR_Data[[#This Row],[Employee Number]])</f>
        <v>1</v>
      </c>
      <c r="Q1050" s="1" t="str">
        <f>IF(HR_Data[[#This Row],[Years At Company]]&lt;=HR_Data[[#This Row],[Total Working Years]],"Valid","error")</f>
        <v>Valid</v>
      </c>
      <c r="R1050" s="1" t="str" cm="1">
        <f t="array" ref="R1050">_xlfn.IFS(HR_Data[[#This Row],[Age]]&lt;=30,"Young", HR_Data[[#This Row],[Age]]&lt;=45,"Mid-Age",HR_Data[[#This Row],[Age]]&gt;45,"Senior")</f>
        <v>Mid-Age</v>
      </c>
      <c r="S1050" s="1" t="str" cm="1">
        <f t="array" ref="S1050">_xlfn.IFS(HR_Data[[#This Row],[Monthly Income]]&lt;5000,"Low", HR_Data[[#This Row],[Monthly Income]]&lt;10000,"Medium",TRUE,"High")</f>
        <v>Low</v>
      </c>
      <c r="T1050" s="1" t="str" cm="1">
        <f t="array" ref="T1050">_xlfn.IFS(HR_Data[[#This Row],[Total Working Years]]&lt;=5,"Junior", HR_Data[[#This Row],[Total Working Years]]&lt;=15,"Mid-Level", TRUE, "Senior")</f>
        <v>Mid-Level</v>
      </c>
    </row>
    <row r="1051" spans="1:20" x14ac:dyDescent="0.25">
      <c r="A1051" s="1">
        <v>1479</v>
      </c>
      <c r="B1051" s="1">
        <v>30</v>
      </c>
      <c r="C1051" t="s">
        <v>9</v>
      </c>
      <c r="D1051" t="s">
        <v>5</v>
      </c>
      <c r="E1051" t="s">
        <v>6</v>
      </c>
      <c r="F1051" t="s">
        <v>11</v>
      </c>
      <c r="G1051" t="s">
        <v>8</v>
      </c>
      <c r="H1051" s="1">
        <v>3</v>
      </c>
      <c r="I1051" s="1">
        <v>5301</v>
      </c>
      <c r="J1051" t="s">
        <v>9</v>
      </c>
      <c r="K1051" s="1">
        <v>15</v>
      </c>
      <c r="L1051" s="1">
        <v>3</v>
      </c>
      <c r="M1051" s="1">
        <v>4</v>
      </c>
      <c r="N1051" s="1">
        <v>2</v>
      </c>
      <c r="O1051" s="1">
        <v>2</v>
      </c>
      <c r="P1051" s="1">
        <f>COUNTIF(HR_Data[Employee Number],HR_Data[[#This Row],[Employee Number]])</f>
        <v>1</v>
      </c>
      <c r="Q1051" s="1" t="str">
        <f>IF(HR_Data[[#This Row],[Years At Company]]&lt;=HR_Data[[#This Row],[Total Working Years]],"Valid","error")</f>
        <v>Valid</v>
      </c>
      <c r="R1051" s="1" t="str" cm="1">
        <f t="array" ref="R1051">_xlfn.IFS(HR_Data[[#This Row],[Age]]&lt;=30,"Young", HR_Data[[#This Row],[Age]]&lt;=45,"Mid-Age",HR_Data[[#This Row],[Age]]&gt;45,"Senior")</f>
        <v>Young</v>
      </c>
      <c r="S1051" s="1" t="str" cm="1">
        <f t="array" ref="S1051">_xlfn.IFS(HR_Data[[#This Row],[Monthly Income]]&lt;5000,"Low", HR_Data[[#This Row],[Monthly Income]]&lt;10000,"Medium",TRUE,"High")</f>
        <v>Medium</v>
      </c>
      <c r="T1051" s="1" t="str" cm="1">
        <f t="array" ref="T1051">_xlfn.IFS(HR_Data[[#This Row],[Total Working Years]]&lt;=5,"Junior", HR_Data[[#This Row],[Total Working Years]]&lt;=15,"Mid-Level", TRUE, "Senior")</f>
        <v>Junior</v>
      </c>
    </row>
    <row r="1052" spans="1:20" x14ac:dyDescent="0.25">
      <c r="A1052" s="1">
        <v>1480</v>
      </c>
      <c r="B1052" s="1">
        <v>42</v>
      </c>
      <c r="C1052" t="s">
        <v>9</v>
      </c>
      <c r="D1052" t="s">
        <v>10</v>
      </c>
      <c r="E1052" t="s">
        <v>15</v>
      </c>
      <c r="F1052" t="s">
        <v>7</v>
      </c>
      <c r="G1052" t="s">
        <v>14</v>
      </c>
      <c r="H1052" s="1">
        <v>4</v>
      </c>
      <c r="I1052" s="1">
        <v>3673</v>
      </c>
      <c r="J1052" t="s">
        <v>9</v>
      </c>
      <c r="K1052" s="1">
        <v>13</v>
      </c>
      <c r="L1052" s="1">
        <v>3</v>
      </c>
      <c r="M1052" s="1">
        <v>12</v>
      </c>
      <c r="N1052" s="1">
        <v>3</v>
      </c>
      <c r="O1052" s="1">
        <v>12</v>
      </c>
      <c r="P1052" s="1">
        <f>COUNTIF(HR_Data[Employee Number],HR_Data[[#This Row],[Employee Number]])</f>
        <v>1</v>
      </c>
      <c r="Q1052" s="1" t="str">
        <f>IF(HR_Data[[#This Row],[Years At Company]]&lt;=HR_Data[[#This Row],[Total Working Years]],"Valid","error")</f>
        <v>Valid</v>
      </c>
      <c r="R1052" s="1" t="str" cm="1">
        <f t="array" ref="R1052">_xlfn.IFS(HR_Data[[#This Row],[Age]]&lt;=30,"Young", HR_Data[[#This Row],[Age]]&lt;=45,"Mid-Age",HR_Data[[#This Row],[Age]]&gt;45,"Senior")</f>
        <v>Mid-Age</v>
      </c>
      <c r="S1052" s="1" t="str" cm="1">
        <f t="array" ref="S1052">_xlfn.IFS(HR_Data[[#This Row],[Monthly Income]]&lt;5000,"Low", HR_Data[[#This Row],[Monthly Income]]&lt;10000,"Medium",TRUE,"High")</f>
        <v>Low</v>
      </c>
      <c r="T1052" s="1" t="str" cm="1">
        <f t="array" ref="T1052">_xlfn.IFS(HR_Data[[#This Row],[Total Working Years]]&lt;=5,"Junior", HR_Data[[#This Row],[Total Working Years]]&lt;=15,"Mid-Level", TRUE, "Senior")</f>
        <v>Mid-Level</v>
      </c>
    </row>
    <row r="1053" spans="1:20" x14ac:dyDescent="0.25">
      <c r="A1053" s="1">
        <v>1481</v>
      </c>
      <c r="B1053" s="1">
        <v>44</v>
      </c>
      <c r="C1053" t="s">
        <v>9</v>
      </c>
      <c r="D1053" t="s">
        <v>5</v>
      </c>
      <c r="E1053" t="s">
        <v>21</v>
      </c>
      <c r="F1053" t="s">
        <v>7</v>
      </c>
      <c r="G1053" t="s">
        <v>8</v>
      </c>
      <c r="H1053" s="1">
        <v>3</v>
      </c>
      <c r="I1053" s="1">
        <v>4768</v>
      </c>
      <c r="J1053" t="s">
        <v>9</v>
      </c>
      <c r="K1053" s="1">
        <v>12</v>
      </c>
      <c r="L1053" s="1">
        <v>3</v>
      </c>
      <c r="M1053" s="1">
        <v>11</v>
      </c>
      <c r="N1053" s="1">
        <v>2</v>
      </c>
      <c r="O1053" s="1">
        <v>1</v>
      </c>
      <c r="P1053" s="1">
        <f>COUNTIF(HR_Data[Employee Number],HR_Data[[#This Row],[Employee Number]])</f>
        <v>1</v>
      </c>
      <c r="Q1053" s="1" t="str">
        <f>IF(HR_Data[[#This Row],[Years At Company]]&lt;=HR_Data[[#This Row],[Total Working Years]],"Valid","error")</f>
        <v>Valid</v>
      </c>
      <c r="R1053" s="1" t="str" cm="1">
        <f t="array" ref="R1053">_xlfn.IFS(HR_Data[[#This Row],[Age]]&lt;=30,"Young", HR_Data[[#This Row],[Age]]&lt;=45,"Mid-Age",HR_Data[[#This Row],[Age]]&gt;45,"Senior")</f>
        <v>Mid-Age</v>
      </c>
      <c r="S1053" s="1" t="str" cm="1">
        <f t="array" ref="S1053">_xlfn.IFS(HR_Data[[#This Row],[Monthly Income]]&lt;5000,"Low", HR_Data[[#This Row],[Monthly Income]]&lt;10000,"Medium",TRUE,"High")</f>
        <v>Low</v>
      </c>
      <c r="T1053" s="1" t="str" cm="1">
        <f t="array" ref="T1053">_xlfn.IFS(HR_Data[[#This Row],[Total Working Years]]&lt;=5,"Junior", HR_Data[[#This Row],[Total Working Years]]&lt;=15,"Mid-Level", TRUE, "Senior")</f>
        <v>Mid-Level</v>
      </c>
    </row>
    <row r="1054" spans="1:20" x14ac:dyDescent="0.25">
      <c r="A1054" s="1">
        <v>1482</v>
      </c>
      <c r="B1054" s="1">
        <v>30</v>
      </c>
      <c r="C1054" t="s">
        <v>9</v>
      </c>
      <c r="D1054" t="s">
        <v>10</v>
      </c>
      <c r="E1054" t="s">
        <v>22</v>
      </c>
      <c r="F1054" t="s">
        <v>11</v>
      </c>
      <c r="G1054" t="s">
        <v>12</v>
      </c>
      <c r="H1054" s="1">
        <v>3</v>
      </c>
      <c r="I1054" s="1">
        <v>1274</v>
      </c>
      <c r="J1054" t="s">
        <v>9</v>
      </c>
      <c r="K1054" s="1">
        <v>13</v>
      </c>
      <c r="L1054" s="1">
        <v>3</v>
      </c>
      <c r="M1054" s="1">
        <v>1</v>
      </c>
      <c r="N1054" s="1">
        <v>2</v>
      </c>
      <c r="O1054" s="1">
        <v>1</v>
      </c>
      <c r="P1054" s="1">
        <f>COUNTIF(HR_Data[Employee Number],HR_Data[[#This Row],[Employee Number]])</f>
        <v>1</v>
      </c>
      <c r="Q1054" s="1" t="str">
        <f>IF(HR_Data[[#This Row],[Years At Company]]&lt;=HR_Data[[#This Row],[Total Working Years]],"Valid","error")</f>
        <v>Valid</v>
      </c>
      <c r="R1054" s="1" t="str" cm="1">
        <f t="array" ref="R1054">_xlfn.IFS(HR_Data[[#This Row],[Age]]&lt;=30,"Young", HR_Data[[#This Row],[Age]]&lt;=45,"Mid-Age",HR_Data[[#This Row],[Age]]&gt;45,"Senior")</f>
        <v>Young</v>
      </c>
      <c r="S1054" s="1" t="str" cm="1">
        <f t="array" ref="S1054">_xlfn.IFS(HR_Data[[#This Row],[Monthly Income]]&lt;5000,"Low", HR_Data[[#This Row],[Monthly Income]]&lt;10000,"Medium",TRUE,"High")</f>
        <v>Low</v>
      </c>
      <c r="T1054" s="1" t="str" cm="1">
        <f t="array" ref="T1054">_xlfn.IFS(HR_Data[[#This Row],[Total Working Years]]&lt;=5,"Junior", HR_Data[[#This Row],[Total Working Years]]&lt;=15,"Mid-Level", TRUE, "Senior")</f>
        <v>Junior</v>
      </c>
    </row>
    <row r="1055" spans="1:20" x14ac:dyDescent="0.25">
      <c r="A1055" s="1">
        <v>1483</v>
      </c>
      <c r="B1055" s="1">
        <v>57</v>
      </c>
      <c r="C1055" t="s">
        <v>9</v>
      </c>
      <c r="D1055" t="s">
        <v>10</v>
      </c>
      <c r="E1055" t="s">
        <v>6</v>
      </c>
      <c r="F1055" t="s">
        <v>11</v>
      </c>
      <c r="G1055" t="s">
        <v>12</v>
      </c>
      <c r="H1055" s="1">
        <v>3</v>
      </c>
      <c r="I1055" s="1">
        <v>4900</v>
      </c>
      <c r="J1055" t="s">
        <v>9</v>
      </c>
      <c r="K1055" s="1">
        <v>24</v>
      </c>
      <c r="L1055" s="1">
        <v>4</v>
      </c>
      <c r="M1055" s="1">
        <v>13</v>
      </c>
      <c r="N1055" s="1">
        <v>2</v>
      </c>
      <c r="O1055" s="1">
        <v>12</v>
      </c>
      <c r="P1055" s="1">
        <f>COUNTIF(HR_Data[Employee Number],HR_Data[[#This Row],[Employee Number]])</f>
        <v>1</v>
      </c>
      <c r="Q1055" s="1" t="str">
        <f>IF(HR_Data[[#This Row],[Years At Company]]&lt;=HR_Data[[#This Row],[Total Working Years]],"Valid","error")</f>
        <v>Valid</v>
      </c>
      <c r="R1055" s="1" t="str" cm="1">
        <f t="array" ref="R1055">_xlfn.IFS(HR_Data[[#This Row],[Age]]&lt;=30,"Young", HR_Data[[#This Row],[Age]]&lt;=45,"Mid-Age",HR_Data[[#This Row],[Age]]&gt;45,"Senior")</f>
        <v>Senior</v>
      </c>
      <c r="S1055" s="1" t="str" cm="1">
        <f t="array" ref="S1055">_xlfn.IFS(HR_Data[[#This Row],[Monthly Income]]&lt;5000,"Low", HR_Data[[#This Row],[Monthly Income]]&lt;10000,"Medium",TRUE,"High")</f>
        <v>Low</v>
      </c>
      <c r="T1055" s="1" t="str" cm="1">
        <f t="array" ref="T1055">_xlfn.IFS(HR_Data[[#This Row],[Total Working Years]]&lt;=5,"Junior", HR_Data[[#This Row],[Total Working Years]]&lt;=15,"Mid-Level", TRUE, "Senior")</f>
        <v>Mid-Level</v>
      </c>
    </row>
    <row r="1056" spans="1:20" x14ac:dyDescent="0.25">
      <c r="A1056" s="1">
        <v>1484</v>
      </c>
      <c r="B1056" s="1">
        <v>49</v>
      </c>
      <c r="C1056" t="s">
        <v>9</v>
      </c>
      <c r="D1056" t="s">
        <v>10</v>
      </c>
      <c r="E1056" t="s">
        <v>6</v>
      </c>
      <c r="F1056" t="s">
        <v>11</v>
      </c>
      <c r="G1056" t="s">
        <v>17</v>
      </c>
      <c r="H1056" s="1">
        <v>2</v>
      </c>
      <c r="I1056" s="1">
        <v>10466</v>
      </c>
      <c r="J1056" t="s">
        <v>9</v>
      </c>
      <c r="K1056" s="1">
        <v>14</v>
      </c>
      <c r="L1056" s="1">
        <v>3</v>
      </c>
      <c r="M1056" s="1">
        <v>29</v>
      </c>
      <c r="N1056" s="1">
        <v>3</v>
      </c>
      <c r="O1056" s="1">
        <v>8</v>
      </c>
      <c r="P1056" s="1">
        <f>COUNTIF(HR_Data[Employee Number],HR_Data[[#This Row],[Employee Number]])</f>
        <v>1</v>
      </c>
      <c r="Q1056" s="1" t="str">
        <f>IF(HR_Data[[#This Row],[Years At Company]]&lt;=HR_Data[[#This Row],[Total Working Years]],"Valid","error")</f>
        <v>Valid</v>
      </c>
      <c r="R1056" s="1" t="str" cm="1">
        <f t="array" ref="R1056">_xlfn.IFS(HR_Data[[#This Row],[Age]]&lt;=30,"Young", HR_Data[[#This Row],[Age]]&lt;=45,"Mid-Age",HR_Data[[#This Row],[Age]]&gt;45,"Senior")</f>
        <v>Senior</v>
      </c>
      <c r="S1056" s="1" t="str" cm="1">
        <f t="array" ref="S1056">_xlfn.IFS(HR_Data[[#This Row],[Monthly Income]]&lt;5000,"Low", HR_Data[[#This Row],[Monthly Income]]&lt;10000,"Medium",TRUE,"High")</f>
        <v>High</v>
      </c>
      <c r="T1056" s="1" t="str" cm="1">
        <f t="array" ref="T1056">_xlfn.IFS(HR_Data[[#This Row],[Total Working Years]]&lt;=5,"Junior", HR_Data[[#This Row],[Total Working Years]]&lt;=15,"Mid-Level", TRUE, "Senior")</f>
        <v>Senior</v>
      </c>
    </row>
    <row r="1057" spans="1:20" x14ac:dyDescent="0.25">
      <c r="A1057" s="1">
        <v>1485</v>
      </c>
      <c r="B1057" s="1">
        <v>34</v>
      </c>
      <c r="C1057" t="s">
        <v>9</v>
      </c>
      <c r="D1057" t="s">
        <v>10</v>
      </c>
      <c r="E1057" t="s">
        <v>15</v>
      </c>
      <c r="F1057" t="s">
        <v>11</v>
      </c>
      <c r="G1057" t="s">
        <v>20</v>
      </c>
      <c r="H1057" s="1">
        <v>1</v>
      </c>
      <c r="I1057" s="1">
        <v>17007</v>
      </c>
      <c r="J1057" t="s">
        <v>9</v>
      </c>
      <c r="K1057" s="1">
        <v>14</v>
      </c>
      <c r="L1057" s="1">
        <v>3</v>
      </c>
      <c r="M1057" s="1">
        <v>16</v>
      </c>
      <c r="N1057" s="1">
        <v>2</v>
      </c>
      <c r="O1057" s="1">
        <v>14</v>
      </c>
      <c r="P1057" s="1">
        <f>COUNTIF(HR_Data[Employee Number],HR_Data[[#This Row],[Employee Number]])</f>
        <v>1</v>
      </c>
      <c r="Q1057" s="1" t="str">
        <f>IF(HR_Data[[#This Row],[Years At Company]]&lt;=HR_Data[[#This Row],[Total Working Years]],"Valid","error")</f>
        <v>Valid</v>
      </c>
      <c r="R1057" s="1" t="str" cm="1">
        <f t="array" ref="R1057">_xlfn.IFS(HR_Data[[#This Row],[Age]]&lt;=30,"Young", HR_Data[[#This Row],[Age]]&lt;=45,"Mid-Age",HR_Data[[#This Row],[Age]]&gt;45,"Senior")</f>
        <v>Mid-Age</v>
      </c>
      <c r="S1057" s="1" t="str" cm="1">
        <f t="array" ref="S1057">_xlfn.IFS(HR_Data[[#This Row],[Monthly Income]]&lt;5000,"Low", HR_Data[[#This Row],[Monthly Income]]&lt;10000,"Medium",TRUE,"High")</f>
        <v>High</v>
      </c>
      <c r="T1057" s="1" t="str" cm="1">
        <f t="array" ref="T1057">_xlfn.IFS(HR_Data[[#This Row],[Total Working Years]]&lt;=5,"Junior", HR_Data[[#This Row],[Total Working Years]]&lt;=15,"Mid-Level", TRUE, "Senior")</f>
        <v>Senior</v>
      </c>
    </row>
    <row r="1058" spans="1:20" x14ac:dyDescent="0.25">
      <c r="A1058" s="1">
        <v>1486</v>
      </c>
      <c r="B1058" s="1">
        <v>28</v>
      </c>
      <c r="C1058" t="s">
        <v>4</v>
      </c>
      <c r="D1058" t="s">
        <v>5</v>
      </c>
      <c r="E1058" t="s">
        <v>22</v>
      </c>
      <c r="F1058" t="s">
        <v>11</v>
      </c>
      <c r="G1058" t="s">
        <v>19</v>
      </c>
      <c r="H1058" s="1">
        <v>3</v>
      </c>
      <c r="I1058" s="1">
        <v>2909</v>
      </c>
      <c r="J1058" t="s">
        <v>9</v>
      </c>
      <c r="K1058" s="1">
        <v>15</v>
      </c>
      <c r="L1058" s="1">
        <v>3</v>
      </c>
      <c r="M1058" s="1">
        <v>5</v>
      </c>
      <c r="N1058" s="1">
        <v>4</v>
      </c>
      <c r="O1058" s="1">
        <v>3</v>
      </c>
      <c r="P1058" s="1">
        <f>COUNTIF(HR_Data[Employee Number],HR_Data[[#This Row],[Employee Number]])</f>
        <v>1</v>
      </c>
      <c r="Q1058" s="1" t="str">
        <f>IF(HR_Data[[#This Row],[Years At Company]]&lt;=HR_Data[[#This Row],[Total Working Years]],"Valid","error")</f>
        <v>Valid</v>
      </c>
      <c r="R1058" s="1" t="str" cm="1">
        <f t="array" ref="R1058">_xlfn.IFS(HR_Data[[#This Row],[Age]]&lt;=30,"Young", HR_Data[[#This Row],[Age]]&lt;=45,"Mid-Age",HR_Data[[#This Row],[Age]]&gt;45,"Senior")</f>
        <v>Young</v>
      </c>
      <c r="S1058" s="1" t="str" cm="1">
        <f t="array" ref="S1058">_xlfn.IFS(HR_Data[[#This Row],[Monthly Income]]&lt;5000,"Low", HR_Data[[#This Row],[Monthly Income]]&lt;10000,"Medium",TRUE,"High")</f>
        <v>Low</v>
      </c>
      <c r="T1058" s="1" t="str" cm="1">
        <f t="array" ref="T1058">_xlfn.IFS(HR_Data[[#This Row],[Total Working Years]]&lt;=5,"Junior", HR_Data[[#This Row],[Total Working Years]]&lt;=15,"Mid-Level", TRUE, "Senior")</f>
        <v>Junior</v>
      </c>
    </row>
    <row r="1059" spans="1:20" x14ac:dyDescent="0.25">
      <c r="A1059" s="1">
        <v>1487</v>
      </c>
      <c r="B1059" s="1">
        <v>29</v>
      </c>
      <c r="C1059" t="s">
        <v>4</v>
      </c>
      <c r="D1059" t="s">
        <v>5</v>
      </c>
      <c r="E1059" t="s">
        <v>22</v>
      </c>
      <c r="F1059" t="s">
        <v>7</v>
      </c>
      <c r="G1059" t="s">
        <v>8</v>
      </c>
      <c r="H1059" s="1">
        <v>2</v>
      </c>
      <c r="I1059" s="1">
        <v>5765</v>
      </c>
      <c r="J1059" t="s">
        <v>9</v>
      </c>
      <c r="K1059" s="1">
        <v>11</v>
      </c>
      <c r="L1059" s="1">
        <v>3</v>
      </c>
      <c r="M1059" s="1">
        <v>7</v>
      </c>
      <c r="N1059" s="1">
        <v>1</v>
      </c>
      <c r="O1059" s="1">
        <v>5</v>
      </c>
      <c r="P1059" s="1">
        <f>COUNTIF(HR_Data[Employee Number],HR_Data[[#This Row],[Employee Number]])</f>
        <v>1</v>
      </c>
      <c r="Q1059" s="1" t="str">
        <f>IF(HR_Data[[#This Row],[Years At Company]]&lt;=HR_Data[[#This Row],[Total Working Years]],"Valid","error")</f>
        <v>Valid</v>
      </c>
      <c r="R1059" s="1" t="str" cm="1">
        <f t="array" ref="R1059">_xlfn.IFS(HR_Data[[#This Row],[Age]]&lt;=30,"Young", HR_Data[[#This Row],[Age]]&lt;=45,"Mid-Age",HR_Data[[#This Row],[Age]]&gt;45,"Senior")</f>
        <v>Young</v>
      </c>
      <c r="S1059" s="1" t="str" cm="1">
        <f t="array" ref="S1059">_xlfn.IFS(HR_Data[[#This Row],[Monthly Income]]&lt;5000,"Low", HR_Data[[#This Row],[Monthly Income]]&lt;10000,"Medium",TRUE,"High")</f>
        <v>Medium</v>
      </c>
      <c r="T1059" s="1" t="str" cm="1">
        <f t="array" ref="T1059">_xlfn.IFS(HR_Data[[#This Row],[Total Working Years]]&lt;=5,"Junior", HR_Data[[#This Row],[Total Working Years]]&lt;=15,"Mid-Level", TRUE, "Senior")</f>
        <v>Mid-Level</v>
      </c>
    </row>
    <row r="1060" spans="1:20" x14ac:dyDescent="0.25">
      <c r="A1060" s="1">
        <v>1489</v>
      </c>
      <c r="B1060" s="1">
        <v>34</v>
      </c>
      <c r="C1060" t="s">
        <v>4</v>
      </c>
      <c r="D1060" t="s">
        <v>5</v>
      </c>
      <c r="E1060" t="s">
        <v>15</v>
      </c>
      <c r="F1060" t="s">
        <v>7</v>
      </c>
      <c r="G1060" t="s">
        <v>8</v>
      </c>
      <c r="H1060" s="1">
        <v>2</v>
      </c>
      <c r="I1060" s="1">
        <v>4599</v>
      </c>
      <c r="J1060" t="s">
        <v>4</v>
      </c>
      <c r="K1060" s="1">
        <v>23</v>
      </c>
      <c r="L1060" s="1">
        <v>4</v>
      </c>
      <c r="M1060" s="1">
        <v>16</v>
      </c>
      <c r="N1060" s="1">
        <v>4</v>
      </c>
      <c r="O1060" s="1">
        <v>15</v>
      </c>
      <c r="P1060" s="1">
        <f>COUNTIF(HR_Data[Employee Number],HR_Data[[#This Row],[Employee Number]])</f>
        <v>1</v>
      </c>
      <c r="Q1060" s="1" t="str">
        <f>IF(HR_Data[[#This Row],[Years At Company]]&lt;=HR_Data[[#This Row],[Total Working Years]],"Valid","error")</f>
        <v>Valid</v>
      </c>
      <c r="R1060" s="1" t="str" cm="1">
        <f t="array" ref="R1060">_xlfn.IFS(HR_Data[[#This Row],[Age]]&lt;=30,"Young", HR_Data[[#This Row],[Age]]&lt;=45,"Mid-Age",HR_Data[[#This Row],[Age]]&gt;45,"Senior")</f>
        <v>Mid-Age</v>
      </c>
      <c r="S1060" s="1" t="str" cm="1">
        <f t="array" ref="S1060">_xlfn.IFS(HR_Data[[#This Row],[Monthly Income]]&lt;5000,"Low", HR_Data[[#This Row],[Monthly Income]]&lt;10000,"Medium",TRUE,"High")</f>
        <v>Low</v>
      </c>
      <c r="T1060" s="1" t="str" cm="1">
        <f t="array" ref="T1060">_xlfn.IFS(HR_Data[[#This Row],[Total Working Years]]&lt;=5,"Junior", HR_Data[[#This Row],[Total Working Years]]&lt;=15,"Mid-Level", TRUE, "Senior")</f>
        <v>Senior</v>
      </c>
    </row>
    <row r="1061" spans="1:20" x14ac:dyDescent="0.25">
      <c r="A1061" s="1">
        <v>1492</v>
      </c>
      <c r="B1061" s="1">
        <v>35</v>
      </c>
      <c r="C1061" t="s">
        <v>9</v>
      </c>
      <c r="D1061" t="s">
        <v>5</v>
      </c>
      <c r="E1061" t="s">
        <v>6</v>
      </c>
      <c r="F1061" t="s">
        <v>11</v>
      </c>
      <c r="G1061" t="s">
        <v>19</v>
      </c>
      <c r="H1061" s="1">
        <v>3</v>
      </c>
      <c r="I1061" s="1">
        <v>2404</v>
      </c>
      <c r="J1061" t="s">
        <v>9</v>
      </c>
      <c r="K1061" s="1">
        <v>13</v>
      </c>
      <c r="L1061" s="1">
        <v>3</v>
      </c>
      <c r="M1061" s="1">
        <v>1</v>
      </c>
      <c r="N1061" s="1">
        <v>3</v>
      </c>
      <c r="O1061" s="1">
        <v>1</v>
      </c>
      <c r="P1061" s="1">
        <f>COUNTIF(HR_Data[Employee Number],HR_Data[[#This Row],[Employee Number]])</f>
        <v>1</v>
      </c>
      <c r="Q1061" s="1" t="str">
        <f>IF(HR_Data[[#This Row],[Years At Company]]&lt;=HR_Data[[#This Row],[Total Working Years]],"Valid","error")</f>
        <v>Valid</v>
      </c>
      <c r="R1061" s="1" t="str" cm="1">
        <f t="array" ref="R1061">_xlfn.IFS(HR_Data[[#This Row],[Age]]&lt;=30,"Young", HR_Data[[#This Row],[Age]]&lt;=45,"Mid-Age",HR_Data[[#This Row],[Age]]&gt;45,"Senior")</f>
        <v>Mid-Age</v>
      </c>
      <c r="S1061" s="1" t="str" cm="1">
        <f t="array" ref="S1061">_xlfn.IFS(HR_Data[[#This Row],[Monthly Income]]&lt;5000,"Low", HR_Data[[#This Row],[Monthly Income]]&lt;10000,"Medium",TRUE,"High")</f>
        <v>Low</v>
      </c>
      <c r="T1061" s="1" t="str" cm="1">
        <f t="array" ref="T1061">_xlfn.IFS(HR_Data[[#This Row],[Total Working Years]]&lt;=5,"Junior", HR_Data[[#This Row],[Total Working Years]]&lt;=15,"Mid-Level", TRUE, "Senior")</f>
        <v>Junior</v>
      </c>
    </row>
    <row r="1062" spans="1:20" x14ac:dyDescent="0.25">
      <c r="A1062" s="1">
        <v>1494</v>
      </c>
      <c r="B1062" s="1">
        <v>24</v>
      </c>
      <c r="C1062" t="s">
        <v>4</v>
      </c>
      <c r="D1062" t="s">
        <v>10</v>
      </c>
      <c r="E1062" t="s">
        <v>15</v>
      </c>
      <c r="F1062" t="s">
        <v>11</v>
      </c>
      <c r="G1062" t="s">
        <v>14</v>
      </c>
      <c r="H1062" s="1">
        <v>1</v>
      </c>
      <c r="I1062" s="1">
        <v>3172</v>
      </c>
      <c r="J1062" t="s">
        <v>4</v>
      </c>
      <c r="K1062" s="1">
        <v>11</v>
      </c>
      <c r="L1062" s="1">
        <v>3</v>
      </c>
      <c r="M1062" s="1">
        <v>4</v>
      </c>
      <c r="N1062" s="1">
        <v>2</v>
      </c>
      <c r="O1062" s="1">
        <v>0</v>
      </c>
      <c r="P1062" s="1">
        <f>COUNTIF(HR_Data[Employee Number],HR_Data[[#This Row],[Employee Number]])</f>
        <v>1</v>
      </c>
      <c r="Q1062" s="1" t="str">
        <f>IF(HR_Data[[#This Row],[Years At Company]]&lt;=HR_Data[[#This Row],[Total Working Years]],"Valid","error")</f>
        <v>Valid</v>
      </c>
      <c r="R1062" s="1" t="str" cm="1">
        <f t="array" ref="R1062">_xlfn.IFS(HR_Data[[#This Row],[Age]]&lt;=30,"Young", HR_Data[[#This Row],[Age]]&lt;=45,"Mid-Age",HR_Data[[#This Row],[Age]]&gt;45,"Senior")</f>
        <v>Young</v>
      </c>
      <c r="S1062" s="1" t="str" cm="1">
        <f t="array" ref="S1062">_xlfn.IFS(HR_Data[[#This Row],[Monthly Income]]&lt;5000,"Low", HR_Data[[#This Row],[Monthly Income]]&lt;10000,"Medium",TRUE,"High")</f>
        <v>Low</v>
      </c>
      <c r="T1062" s="1" t="str" cm="1">
        <f t="array" ref="T1062">_xlfn.IFS(HR_Data[[#This Row],[Total Working Years]]&lt;=5,"Junior", HR_Data[[#This Row],[Total Working Years]]&lt;=15,"Mid-Level", TRUE, "Senior")</f>
        <v>Junior</v>
      </c>
    </row>
    <row r="1063" spans="1:20" x14ac:dyDescent="0.25">
      <c r="A1063" s="1">
        <v>1495</v>
      </c>
      <c r="B1063" s="1">
        <v>24</v>
      </c>
      <c r="C1063" t="s">
        <v>9</v>
      </c>
      <c r="D1063" t="s">
        <v>5</v>
      </c>
      <c r="E1063" t="s">
        <v>6</v>
      </c>
      <c r="F1063" t="s">
        <v>7</v>
      </c>
      <c r="G1063" t="s">
        <v>19</v>
      </c>
      <c r="H1063" s="1">
        <v>2</v>
      </c>
      <c r="I1063" s="1">
        <v>2033</v>
      </c>
      <c r="J1063" t="s">
        <v>9</v>
      </c>
      <c r="K1063" s="1">
        <v>13</v>
      </c>
      <c r="L1063" s="1">
        <v>3</v>
      </c>
      <c r="M1063" s="1">
        <v>1</v>
      </c>
      <c r="N1063" s="1">
        <v>3</v>
      </c>
      <c r="O1063" s="1">
        <v>1</v>
      </c>
      <c r="P1063" s="1">
        <f>COUNTIF(HR_Data[Employee Number],HR_Data[[#This Row],[Employee Number]])</f>
        <v>1</v>
      </c>
      <c r="Q1063" s="1" t="str">
        <f>IF(HR_Data[[#This Row],[Years At Company]]&lt;=HR_Data[[#This Row],[Total Working Years]],"Valid","error")</f>
        <v>Valid</v>
      </c>
      <c r="R1063" s="1" t="str" cm="1">
        <f t="array" ref="R1063">_xlfn.IFS(HR_Data[[#This Row],[Age]]&lt;=30,"Young", HR_Data[[#This Row],[Age]]&lt;=45,"Mid-Age",HR_Data[[#This Row],[Age]]&gt;45,"Senior")</f>
        <v>Young</v>
      </c>
      <c r="S1063" s="1" t="str" cm="1">
        <f t="array" ref="S1063">_xlfn.IFS(HR_Data[[#This Row],[Monthly Income]]&lt;5000,"Low", HR_Data[[#This Row],[Monthly Income]]&lt;10000,"Medium",TRUE,"High")</f>
        <v>Low</v>
      </c>
      <c r="T1063" s="1" t="str" cm="1">
        <f t="array" ref="T1063">_xlfn.IFS(HR_Data[[#This Row],[Total Working Years]]&lt;=5,"Junior", HR_Data[[#This Row],[Total Working Years]]&lt;=15,"Mid-Level", TRUE, "Senior")</f>
        <v>Junior</v>
      </c>
    </row>
    <row r="1064" spans="1:20" x14ac:dyDescent="0.25">
      <c r="A1064" s="1">
        <v>1496</v>
      </c>
      <c r="B1064" s="1">
        <v>44</v>
      </c>
      <c r="C1064" t="s">
        <v>9</v>
      </c>
      <c r="D1064" t="s">
        <v>10</v>
      </c>
      <c r="E1064" t="s">
        <v>15</v>
      </c>
      <c r="F1064" t="s">
        <v>11</v>
      </c>
      <c r="G1064" t="s">
        <v>16</v>
      </c>
      <c r="H1064" s="1">
        <v>3</v>
      </c>
      <c r="I1064" s="1">
        <v>10209</v>
      </c>
      <c r="J1064" t="s">
        <v>4</v>
      </c>
      <c r="K1064" s="1">
        <v>18</v>
      </c>
      <c r="L1064" s="1">
        <v>3</v>
      </c>
      <c r="M1064" s="1">
        <v>16</v>
      </c>
      <c r="N1064" s="1">
        <v>2</v>
      </c>
      <c r="O1064" s="1">
        <v>2</v>
      </c>
      <c r="P1064" s="1">
        <f>COUNTIF(HR_Data[Employee Number],HR_Data[[#This Row],[Employee Number]])</f>
        <v>1</v>
      </c>
      <c r="Q1064" s="1" t="str">
        <f>IF(HR_Data[[#This Row],[Years At Company]]&lt;=HR_Data[[#This Row],[Total Working Years]],"Valid","error")</f>
        <v>Valid</v>
      </c>
      <c r="R1064" s="1" t="str" cm="1">
        <f t="array" ref="R1064">_xlfn.IFS(HR_Data[[#This Row],[Age]]&lt;=30,"Young", HR_Data[[#This Row],[Age]]&lt;=45,"Mid-Age",HR_Data[[#This Row],[Age]]&gt;45,"Senior")</f>
        <v>Mid-Age</v>
      </c>
      <c r="S1064" s="1" t="str" cm="1">
        <f t="array" ref="S1064">_xlfn.IFS(HR_Data[[#This Row],[Monthly Income]]&lt;5000,"Low", HR_Data[[#This Row],[Monthly Income]]&lt;10000,"Medium",TRUE,"High")</f>
        <v>High</v>
      </c>
      <c r="T1064" s="1" t="str" cm="1">
        <f t="array" ref="T1064">_xlfn.IFS(HR_Data[[#This Row],[Total Working Years]]&lt;=5,"Junior", HR_Data[[#This Row],[Total Working Years]]&lt;=15,"Mid-Level", TRUE, "Senior")</f>
        <v>Senior</v>
      </c>
    </row>
    <row r="1065" spans="1:20" x14ac:dyDescent="0.25">
      <c r="A1065" s="1">
        <v>1497</v>
      </c>
      <c r="B1065" s="1">
        <v>29</v>
      </c>
      <c r="C1065" t="s">
        <v>9</v>
      </c>
      <c r="D1065" t="s">
        <v>5</v>
      </c>
      <c r="E1065" t="s">
        <v>6</v>
      </c>
      <c r="F1065" t="s">
        <v>11</v>
      </c>
      <c r="G1065" t="s">
        <v>8</v>
      </c>
      <c r="H1065" s="1">
        <v>3</v>
      </c>
      <c r="I1065" s="1">
        <v>8620</v>
      </c>
      <c r="J1065" t="s">
        <v>9</v>
      </c>
      <c r="K1065" s="1">
        <v>14</v>
      </c>
      <c r="L1065" s="1">
        <v>3</v>
      </c>
      <c r="M1065" s="1">
        <v>10</v>
      </c>
      <c r="N1065" s="1">
        <v>3</v>
      </c>
      <c r="O1065" s="1">
        <v>10</v>
      </c>
      <c r="P1065" s="1">
        <f>COUNTIF(HR_Data[Employee Number],HR_Data[[#This Row],[Employee Number]])</f>
        <v>1</v>
      </c>
      <c r="Q1065" s="1" t="str">
        <f>IF(HR_Data[[#This Row],[Years At Company]]&lt;=HR_Data[[#This Row],[Total Working Years]],"Valid","error")</f>
        <v>Valid</v>
      </c>
      <c r="R1065" s="1" t="str" cm="1">
        <f t="array" ref="R1065">_xlfn.IFS(HR_Data[[#This Row],[Age]]&lt;=30,"Young", HR_Data[[#This Row],[Age]]&lt;=45,"Mid-Age",HR_Data[[#This Row],[Age]]&gt;45,"Senior")</f>
        <v>Young</v>
      </c>
      <c r="S1065" s="1" t="str" cm="1">
        <f t="array" ref="S1065">_xlfn.IFS(HR_Data[[#This Row],[Monthly Income]]&lt;5000,"Low", HR_Data[[#This Row],[Monthly Income]]&lt;10000,"Medium",TRUE,"High")</f>
        <v>Medium</v>
      </c>
      <c r="T1065" s="1" t="str" cm="1">
        <f t="array" ref="T1065">_xlfn.IFS(HR_Data[[#This Row],[Total Working Years]]&lt;=5,"Junior", HR_Data[[#This Row],[Total Working Years]]&lt;=15,"Mid-Level", TRUE, "Senior")</f>
        <v>Mid-Level</v>
      </c>
    </row>
    <row r="1066" spans="1:20" x14ac:dyDescent="0.25">
      <c r="A1066" s="1">
        <v>1499</v>
      </c>
      <c r="B1066" s="1">
        <v>30</v>
      </c>
      <c r="C1066" t="s">
        <v>9</v>
      </c>
      <c r="D1066" t="s">
        <v>23</v>
      </c>
      <c r="E1066" t="s">
        <v>6</v>
      </c>
      <c r="F1066" t="s">
        <v>11</v>
      </c>
      <c r="G1066" t="s">
        <v>23</v>
      </c>
      <c r="H1066" s="1">
        <v>3</v>
      </c>
      <c r="I1066" s="1">
        <v>2064</v>
      </c>
      <c r="J1066" t="s">
        <v>9</v>
      </c>
      <c r="K1066" s="1">
        <v>21</v>
      </c>
      <c r="L1066" s="1">
        <v>4</v>
      </c>
      <c r="M1066" s="1">
        <v>6</v>
      </c>
      <c r="N1066" s="1">
        <v>4</v>
      </c>
      <c r="O1066" s="1">
        <v>5</v>
      </c>
      <c r="P1066" s="1">
        <f>COUNTIF(HR_Data[Employee Number],HR_Data[[#This Row],[Employee Number]])</f>
        <v>1</v>
      </c>
      <c r="Q1066" s="1" t="str">
        <f>IF(HR_Data[[#This Row],[Years At Company]]&lt;=HR_Data[[#This Row],[Total Working Years]],"Valid","error")</f>
        <v>Valid</v>
      </c>
      <c r="R1066" s="1" t="str" cm="1">
        <f t="array" ref="R1066">_xlfn.IFS(HR_Data[[#This Row],[Age]]&lt;=30,"Young", HR_Data[[#This Row],[Age]]&lt;=45,"Mid-Age",HR_Data[[#This Row],[Age]]&gt;45,"Senior")</f>
        <v>Young</v>
      </c>
      <c r="S1066" s="1" t="str" cm="1">
        <f t="array" ref="S1066">_xlfn.IFS(HR_Data[[#This Row],[Monthly Income]]&lt;5000,"Low", HR_Data[[#This Row],[Monthly Income]]&lt;10000,"Medium",TRUE,"High")</f>
        <v>Low</v>
      </c>
      <c r="T1066" s="1" t="str" cm="1">
        <f t="array" ref="T1066">_xlfn.IFS(HR_Data[[#This Row],[Total Working Years]]&lt;=5,"Junior", HR_Data[[#This Row],[Total Working Years]]&lt;=15,"Mid-Level", TRUE, "Senior")</f>
        <v>Mid-Level</v>
      </c>
    </row>
    <row r="1067" spans="1:20" x14ac:dyDescent="0.25">
      <c r="A1067" s="1">
        <v>1501</v>
      </c>
      <c r="B1067" s="1">
        <v>55</v>
      </c>
      <c r="C1067" t="s">
        <v>9</v>
      </c>
      <c r="D1067" t="s">
        <v>10</v>
      </c>
      <c r="E1067" t="s">
        <v>6</v>
      </c>
      <c r="F1067" t="s">
        <v>11</v>
      </c>
      <c r="G1067" t="s">
        <v>17</v>
      </c>
      <c r="H1067" s="1">
        <v>3</v>
      </c>
      <c r="I1067" s="1">
        <v>4035</v>
      </c>
      <c r="J1067" t="s">
        <v>4</v>
      </c>
      <c r="K1067" s="1">
        <v>16</v>
      </c>
      <c r="L1067" s="1">
        <v>3</v>
      </c>
      <c r="M1067" s="1">
        <v>4</v>
      </c>
      <c r="N1067" s="1">
        <v>3</v>
      </c>
      <c r="O1067" s="1">
        <v>3</v>
      </c>
      <c r="P1067" s="1">
        <f>COUNTIF(HR_Data[Employee Number],HR_Data[[#This Row],[Employee Number]])</f>
        <v>1</v>
      </c>
      <c r="Q1067" s="1" t="str">
        <f>IF(HR_Data[[#This Row],[Years At Company]]&lt;=HR_Data[[#This Row],[Total Working Years]],"Valid","error")</f>
        <v>Valid</v>
      </c>
      <c r="R1067" s="1" t="str" cm="1">
        <f t="array" ref="R1067">_xlfn.IFS(HR_Data[[#This Row],[Age]]&lt;=30,"Young", HR_Data[[#This Row],[Age]]&lt;=45,"Mid-Age",HR_Data[[#This Row],[Age]]&gt;45,"Senior")</f>
        <v>Senior</v>
      </c>
      <c r="S1067" s="1" t="str" cm="1">
        <f t="array" ref="S1067">_xlfn.IFS(HR_Data[[#This Row],[Monthly Income]]&lt;5000,"Low", HR_Data[[#This Row],[Monthly Income]]&lt;10000,"Medium",TRUE,"High")</f>
        <v>Low</v>
      </c>
      <c r="T1067" s="1" t="str" cm="1">
        <f t="array" ref="T1067">_xlfn.IFS(HR_Data[[#This Row],[Total Working Years]]&lt;=5,"Junior", HR_Data[[#This Row],[Total Working Years]]&lt;=15,"Mid-Level", TRUE, "Senior")</f>
        <v>Junior</v>
      </c>
    </row>
    <row r="1068" spans="1:20" x14ac:dyDescent="0.25">
      <c r="A1068" s="1">
        <v>1502</v>
      </c>
      <c r="B1068" s="1">
        <v>33</v>
      </c>
      <c r="C1068" t="s">
        <v>9</v>
      </c>
      <c r="D1068" t="s">
        <v>10</v>
      </c>
      <c r="E1068" t="s">
        <v>15</v>
      </c>
      <c r="F1068" t="s">
        <v>7</v>
      </c>
      <c r="G1068" t="s">
        <v>14</v>
      </c>
      <c r="H1068" s="1">
        <v>2</v>
      </c>
      <c r="I1068" s="1">
        <v>3838</v>
      </c>
      <c r="J1068" t="s">
        <v>9</v>
      </c>
      <c r="K1068" s="1">
        <v>11</v>
      </c>
      <c r="L1068" s="1">
        <v>3</v>
      </c>
      <c r="M1068" s="1">
        <v>8</v>
      </c>
      <c r="N1068" s="1">
        <v>3</v>
      </c>
      <c r="O1068" s="1">
        <v>5</v>
      </c>
      <c r="P1068" s="1">
        <f>COUNTIF(HR_Data[Employee Number],HR_Data[[#This Row],[Employee Number]])</f>
        <v>1</v>
      </c>
      <c r="Q1068" s="1" t="str">
        <f>IF(HR_Data[[#This Row],[Years At Company]]&lt;=HR_Data[[#This Row],[Total Working Years]],"Valid","error")</f>
        <v>Valid</v>
      </c>
      <c r="R1068" s="1" t="str" cm="1">
        <f t="array" ref="R1068">_xlfn.IFS(HR_Data[[#This Row],[Age]]&lt;=30,"Young", HR_Data[[#This Row],[Age]]&lt;=45,"Mid-Age",HR_Data[[#This Row],[Age]]&gt;45,"Senior")</f>
        <v>Mid-Age</v>
      </c>
      <c r="S1068" s="1" t="str" cm="1">
        <f t="array" ref="S1068">_xlfn.IFS(HR_Data[[#This Row],[Monthly Income]]&lt;5000,"Low", HR_Data[[#This Row],[Monthly Income]]&lt;10000,"Medium",TRUE,"High")</f>
        <v>Low</v>
      </c>
      <c r="T1068" s="1" t="str" cm="1">
        <f t="array" ref="T1068">_xlfn.IFS(HR_Data[[#This Row],[Total Working Years]]&lt;=5,"Junior", HR_Data[[#This Row],[Total Working Years]]&lt;=15,"Mid-Level", TRUE, "Senior")</f>
        <v>Mid-Level</v>
      </c>
    </row>
    <row r="1069" spans="1:20" x14ac:dyDescent="0.25">
      <c r="A1069" s="1">
        <v>1503</v>
      </c>
      <c r="B1069" s="1">
        <v>47</v>
      </c>
      <c r="C1069" t="s">
        <v>9</v>
      </c>
      <c r="D1069" t="s">
        <v>5</v>
      </c>
      <c r="E1069" t="s">
        <v>15</v>
      </c>
      <c r="F1069" t="s">
        <v>7</v>
      </c>
      <c r="G1069" t="s">
        <v>8</v>
      </c>
      <c r="H1069" s="1">
        <v>3</v>
      </c>
      <c r="I1069" s="1">
        <v>4591</v>
      </c>
      <c r="J1069" t="s">
        <v>4</v>
      </c>
      <c r="K1069" s="1">
        <v>17</v>
      </c>
      <c r="L1069" s="1">
        <v>3</v>
      </c>
      <c r="M1069" s="1">
        <v>11</v>
      </c>
      <c r="N1069" s="1">
        <v>2</v>
      </c>
      <c r="O1069" s="1">
        <v>5</v>
      </c>
      <c r="P1069" s="1">
        <f>COUNTIF(HR_Data[Employee Number],HR_Data[[#This Row],[Employee Number]])</f>
        <v>1</v>
      </c>
      <c r="Q1069" s="1" t="str">
        <f>IF(HR_Data[[#This Row],[Years At Company]]&lt;=HR_Data[[#This Row],[Total Working Years]],"Valid","error")</f>
        <v>Valid</v>
      </c>
      <c r="R1069" s="1" t="str" cm="1">
        <f t="array" ref="R1069">_xlfn.IFS(HR_Data[[#This Row],[Age]]&lt;=30,"Young", HR_Data[[#This Row],[Age]]&lt;=45,"Mid-Age",HR_Data[[#This Row],[Age]]&gt;45,"Senior")</f>
        <v>Senior</v>
      </c>
      <c r="S1069" s="1" t="str" cm="1">
        <f t="array" ref="S1069">_xlfn.IFS(HR_Data[[#This Row],[Monthly Income]]&lt;5000,"Low", HR_Data[[#This Row],[Monthly Income]]&lt;10000,"Medium",TRUE,"High")</f>
        <v>Low</v>
      </c>
      <c r="T1069" s="1" t="str" cm="1">
        <f t="array" ref="T1069">_xlfn.IFS(HR_Data[[#This Row],[Total Working Years]]&lt;=5,"Junior", HR_Data[[#This Row],[Total Working Years]]&lt;=15,"Mid-Level", TRUE, "Senior")</f>
        <v>Mid-Level</v>
      </c>
    </row>
    <row r="1070" spans="1:20" x14ac:dyDescent="0.25">
      <c r="A1070" s="1">
        <v>1504</v>
      </c>
      <c r="B1070" s="1">
        <v>28</v>
      </c>
      <c r="C1070" t="s">
        <v>4</v>
      </c>
      <c r="D1070" t="s">
        <v>10</v>
      </c>
      <c r="E1070" t="s">
        <v>15</v>
      </c>
      <c r="F1070" t="s">
        <v>11</v>
      </c>
      <c r="G1070" t="s">
        <v>14</v>
      </c>
      <c r="H1070" s="1">
        <v>1</v>
      </c>
      <c r="I1070" s="1">
        <v>2561</v>
      </c>
      <c r="J1070" t="s">
        <v>9</v>
      </c>
      <c r="K1070" s="1">
        <v>11</v>
      </c>
      <c r="L1070" s="1">
        <v>3</v>
      </c>
      <c r="M1070" s="1">
        <v>8</v>
      </c>
      <c r="N1070" s="1">
        <v>2</v>
      </c>
      <c r="O1070" s="1">
        <v>0</v>
      </c>
      <c r="P1070" s="1">
        <f>COUNTIF(HR_Data[Employee Number],HR_Data[[#This Row],[Employee Number]])</f>
        <v>1</v>
      </c>
      <c r="Q1070" s="1" t="str">
        <f>IF(HR_Data[[#This Row],[Years At Company]]&lt;=HR_Data[[#This Row],[Total Working Years]],"Valid","error")</f>
        <v>Valid</v>
      </c>
      <c r="R1070" s="1" t="str" cm="1">
        <f t="array" ref="R1070">_xlfn.IFS(HR_Data[[#This Row],[Age]]&lt;=30,"Young", HR_Data[[#This Row],[Age]]&lt;=45,"Mid-Age",HR_Data[[#This Row],[Age]]&gt;45,"Senior")</f>
        <v>Young</v>
      </c>
      <c r="S1070" s="1" t="str" cm="1">
        <f t="array" ref="S1070">_xlfn.IFS(HR_Data[[#This Row],[Monthly Income]]&lt;5000,"Low", HR_Data[[#This Row],[Monthly Income]]&lt;10000,"Medium",TRUE,"High")</f>
        <v>Low</v>
      </c>
      <c r="T1070" s="1" t="str" cm="1">
        <f t="array" ref="T1070">_xlfn.IFS(HR_Data[[#This Row],[Total Working Years]]&lt;=5,"Junior", HR_Data[[#This Row],[Total Working Years]]&lt;=15,"Mid-Level", TRUE, "Senior")</f>
        <v>Mid-Level</v>
      </c>
    </row>
    <row r="1071" spans="1:20" x14ac:dyDescent="0.25">
      <c r="A1071" s="1">
        <v>1506</v>
      </c>
      <c r="B1071" s="1">
        <v>28</v>
      </c>
      <c r="C1071" t="s">
        <v>9</v>
      </c>
      <c r="D1071" t="s">
        <v>10</v>
      </c>
      <c r="E1071" t="s">
        <v>6</v>
      </c>
      <c r="F1071" t="s">
        <v>11</v>
      </c>
      <c r="G1071" t="s">
        <v>12</v>
      </c>
      <c r="H1071" s="1">
        <v>3</v>
      </c>
      <c r="I1071" s="1">
        <v>1563</v>
      </c>
      <c r="J1071" t="s">
        <v>9</v>
      </c>
      <c r="K1071" s="1">
        <v>14</v>
      </c>
      <c r="L1071" s="1">
        <v>3</v>
      </c>
      <c r="M1071" s="1">
        <v>1</v>
      </c>
      <c r="N1071" s="1">
        <v>1</v>
      </c>
      <c r="O1071" s="1">
        <v>1</v>
      </c>
      <c r="P1071" s="1">
        <f>COUNTIF(HR_Data[Employee Number],HR_Data[[#This Row],[Employee Number]])</f>
        <v>1</v>
      </c>
      <c r="Q1071" s="1" t="str">
        <f>IF(HR_Data[[#This Row],[Years At Company]]&lt;=HR_Data[[#This Row],[Total Working Years]],"Valid","error")</f>
        <v>Valid</v>
      </c>
      <c r="R1071" s="1" t="str" cm="1">
        <f t="array" ref="R1071">_xlfn.IFS(HR_Data[[#This Row],[Age]]&lt;=30,"Young", HR_Data[[#This Row],[Age]]&lt;=45,"Mid-Age",HR_Data[[#This Row],[Age]]&gt;45,"Senior")</f>
        <v>Young</v>
      </c>
      <c r="S1071" s="1" t="str" cm="1">
        <f t="array" ref="S1071">_xlfn.IFS(HR_Data[[#This Row],[Monthly Income]]&lt;5000,"Low", HR_Data[[#This Row],[Monthly Income]]&lt;10000,"Medium",TRUE,"High")</f>
        <v>Low</v>
      </c>
      <c r="T1071" s="1" t="str" cm="1">
        <f t="array" ref="T1071">_xlfn.IFS(HR_Data[[#This Row],[Total Working Years]]&lt;=5,"Junior", HR_Data[[#This Row],[Total Working Years]]&lt;=15,"Mid-Level", TRUE, "Senior")</f>
        <v>Junior</v>
      </c>
    </row>
    <row r="1072" spans="1:20" x14ac:dyDescent="0.25">
      <c r="A1072" s="1">
        <v>1507</v>
      </c>
      <c r="B1072" s="1">
        <v>28</v>
      </c>
      <c r="C1072" t="s">
        <v>9</v>
      </c>
      <c r="D1072" t="s">
        <v>5</v>
      </c>
      <c r="E1072" t="s">
        <v>6</v>
      </c>
      <c r="F1072" t="s">
        <v>11</v>
      </c>
      <c r="G1072" t="s">
        <v>8</v>
      </c>
      <c r="H1072" s="1">
        <v>1</v>
      </c>
      <c r="I1072" s="1">
        <v>4898</v>
      </c>
      <c r="J1072" t="s">
        <v>9</v>
      </c>
      <c r="K1072" s="1">
        <v>14</v>
      </c>
      <c r="L1072" s="1">
        <v>3</v>
      </c>
      <c r="M1072" s="1">
        <v>5</v>
      </c>
      <c r="N1072" s="1">
        <v>3</v>
      </c>
      <c r="O1072" s="1">
        <v>4</v>
      </c>
      <c r="P1072" s="1">
        <f>COUNTIF(HR_Data[Employee Number],HR_Data[[#This Row],[Employee Number]])</f>
        <v>1</v>
      </c>
      <c r="Q1072" s="1" t="str">
        <f>IF(HR_Data[[#This Row],[Years At Company]]&lt;=HR_Data[[#This Row],[Total Working Years]],"Valid","error")</f>
        <v>Valid</v>
      </c>
      <c r="R1072" s="1" t="str" cm="1">
        <f t="array" ref="R1072">_xlfn.IFS(HR_Data[[#This Row],[Age]]&lt;=30,"Young", HR_Data[[#This Row],[Age]]&lt;=45,"Mid-Age",HR_Data[[#This Row],[Age]]&gt;45,"Senior")</f>
        <v>Young</v>
      </c>
      <c r="S1072" s="1" t="str" cm="1">
        <f t="array" ref="S1072">_xlfn.IFS(HR_Data[[#This Row],[Monthly Income]]&lt;5000,"Low", HR_Data[[#This Row],[Monthly Income]]&lt;10000,"Medium",TRUE,"High")</f>
        <v>Low</v>
      </c>
      <c r="T1072" s="1" t="str" cm="1">
        <f t="array" ref="T1072">_xlfn.IFS(HR_Data[[#This Row],[Total Working Years]]&lt;=5,"Junior", HR_Data[[#This Row],[Total Working Years]]&lt;=15,"Mid-Level", TRUE, "Senior")</f>
        <v>Junior</v>
      </c>
    </row>
    <row r="1073" spans="1:20" x14ac:dyDescent="0.25">
      <c r="A1073" s="1">
        <v>1509</v>
      </c>
      <c r="B1073" s="1">
        <v>49</v>
      </c>
      <c r="C1073" t="s">
        <v>9</v>
      </c>
      <c r="D1073" t="s">
        <v>10</v>
      </c>
      <c r="E1073" t="s">
        <v>15</v>
      </c>
      <c r="F1073" t="s">
        <v>7</v>
      </c>
      <c r="G1073" t="s">
        <v>14</v>
      </c>
      <c r="H1073" s="1">
        <v>1</v>
      </c>
      <c r="I1073" s="1">
        <v>4789</v>
      </c>
      <c r="J1073" t="s">
        <v>9</v>
      </c>
      <c r="K1073" s="1">
        <v>25</v>
      </c>
      <c r="L1073" s="1">
        <v>4</v>
      </c>
      <c r="M1073" s="1">
        <v>10</v>
      </c>
      <c r="N1073" s="1">
        <v>3</v>
      </c>
      <c r="O1073" s="1">
        <v>3</v>
      </c>
      <c r="P1073" s="1">
        <f>COUNTIF(HR_Data[Employee Number],HR_Data[[#This Row],[Employee Number]])</f>
        <v>1</v>
      </c>
      <c r="Q1073" s="1" t="str">
        <f>IF(HR_Data[[#This Row],[Years At Company]]&lt;=HR_Data[[#This Row],[Total Working Years]],"Valid","error")</f>
        <v>Valid</v>
      </c>
      <c r="R1073" s="1" t="str" cm="1">
        <f t="array" ref="R1073">_xlfn.IFS(HR_Data[[#This Row],[Age]]&lt;=30,"Young", HR_Data[[#This Row],[Age]]&lt;=45,"Mid-Age",HR_Data[[#This Row],[Age]]&gt;45,"Senior")</f>
        <v>Senior</v>
      </c>
      <c r="S1073" s="1" t="str" cm="1">
        <f t="array" ref="S1073">_xlfn.IFS(HR_Data[[#This Row],[Monthly Income]]&lt;5000,"Low", HR_Data[[#This Row],[Monthly Income]]&lt;10000,"Medium",TRUE,"High")</f>
        <v>Low</v>
      </c>
      <c r="T1073" s="1" t="str" cm="1">
        <f t="array" ref="T1073">_xlfn.IFS(HR_Data[[#This Row],[Total Working Years]]&lt;=5,"Junior", HR_Data[[#This Row],[Total Working Years]]&lt;=15,"Mid-Level", TRUE, "Senior")</f>
        <v>Mid-Level</v>
      </c>
    </row>
    <row r="1074" spans="1:20" x14ac:dyDescent="0.25">
      <c r="A1074" s="1">
        <v>1513</v>
      </c>
      <c r="B1074" s="1">
        <v>29</v>
      </c>
      <c r="C1074" t="s">
        <v>9</v>
      </c>
      <c r="D1074" t="s">
        <v>10</v>
      </c>
      <c r="E1074" t="s">
        <v>6</v>
      </c>
      <c r="F1074" t="s">
        <v>7</v>
      </c>
      <c r="G1074" t="s">
        <v>14</v>
      </c>
      <c r="H1074" s="1">
        <v>2</v>
      </c>
      <c r="I1074" s="1">
        <v>3180</v>
      </c>
      <c r="J1074" t="s">
        <v>9</v>
      </c>
      <c r="K1074" s="1">
        <v>13</v>
      </c>
      <c r="L1074" s="1">
        <v>3</v>
      </c>
      <c r="M1074" s="1">
        <v>4</v>
      </c>
      <c r="N1074" s="1">
        <v>3</v>
      </c>
      <c r="O1074" s="1">
        <v>3</v>
      </c>
      <c r="P1074" s="1">
        <f>COUNTIF(HR_Data[Employee Number],HR_Data[[#This Row],[Employee Number]])</f>
        <v>1</v>
      </c>
      <c r="Q1074" s="1" t="str">
        <f>IF(HR_Data[[#This Row],[Years At Company]]&lt;=HR_Data[[#This Row],[Total Working Years]],"Valid","error")</f>
        <v>Valid</v>
      </c>
      <c r="R1074" s="1" t="str" cm="1">
        <f t="array" ref="R1074">_xlfn.IFS(HR_Data[[#This Row],[Age]]&lt;=30,"Young", HR_Data[[#This Row],[Age]]&lt;=45,"Mid-Age",HR_Data[[#This Row],[Age]]&gt;45,"Senior")</f>
        <v>Young</v>
      </c>
      <c r="S1074" s="1" t="str" cm="1">
        <f t="array" ref="S1074">_xlfn.IFS(HR_Data[[#This Row],[Monthly Income]]&lt;5000,"Low", HR_Data[[#This Row],[Monthly Income]]&lt;10000,"Medium",TRUE,"High")</f>
        <v>Low</v>
      </c>
      <c r="T1074" s="1" t="str" cm="1">
        <f t="array" ref="T1074">_xlfn.IFS(HR_Data[[#This Row],[Total Working Years]]&lt;=5,"Junior", HR_Data[[#This Row],[Total Working Years]]&lt;=15,"Mid-Level", TRUE, "Senior")</f>
        <v>Junior</v>
      </c>
    </row>
    <row r="1075" spans="1:20" x14ac:dyDescent="0.25">
      <c r="A1075" s="1">
        <v>1514</v>
      </c>
      <c r="B1075" s="1">
        <v>28</v>
      </c>
      <c r="C1075" t="s">
        <v>9</v>
      </c>
      <c r="D1075" t="s">
        <v>10</v>
      </c>
      <c r="E1075" t="s">
        <v>6</v>
      </c>
      <c r="F1075" t="s">
        <v>11</v>
      </c>
      <c r="G1075" t="s">
        <v>16</v>
      </c>
      <c r="H1075" s="1">
        <v>2</v>
      </c>
      <c r="I1075" s="1">
        <v>6549</v>
      </c>
      <c r="J1075" t="s">
        <v>9</v>
      </c>
      <c r="K1075" s="1">
        <v>14</v>
      </c>
      <c r="L1075" s="1">
        <v>3</v>
      </c>
      <c r="M1075" s="1">
        <v>8</v>
      </c>
      <c r="N1075" s="1">
        <v>2</v>
      </c>
      <c r="O1075" s="1">
        <v>8</v>
      </c>
      <c r="P1075" s="1">
        <f>COUNTIF(HR_Data[Employee Number],HR_Data[[#This Row],[Employee Number]])</f>
        <v>1</v>
      </c>
      <c r="Q1075" s="1" t="str">
        <f>IF(HR_Data[[#This Row],[Years At Company]]&lt;=HR_Data[[#This Row],[Total Working Years]],"Valid","error")</f>
        <v>Valid</v>
      </c>
      <c r="R1075" s="1" t="str" cm="1">
        <f t="array" ref="R1075">_xlfn.IFS(HR_Data[[#This Row],[Age]]&lt;=30,"Young", HR_Data[[#This Row],[Age]]&lt;=45,"Mid-Age",HR_Data[[#This Row],[Age]]&gt;45,"Senior")</f>
        <v>Young</v>
      </c>
      <c r="S1075" s="1" t="str" cm="1">
        <f t="array" ref="S1075">_xlfn.IFS(HR_Data[[#This Row],[Monthly Income]]&lt;5000,"Low", HR_Data[[#This Row],[Monthly Income]]&lt;10000,"Medium",TRUE,"High")</f>
        <v>Medium</v>
      </c>
      <c r="T1075" s="1" t="str" cm="1">
        <f t="array" ref="T1075">_xlfn.IFS(HR_Data[[#This Row],[Total Working Years]]&lt;=5,"Junior", HR_Data[[#This Row],[Total Working Years]]&lt;=15,"Mid-Level", TRUE, "Senior")</f>
        <v>Mid-Level</v>
      </c>
    </row>
    <row r="1076" spans="1:20" x14ac:dyDescent="0.25">
      <c r="A1076" s="1">
        <v>1515</v>
      </c>
      <c r="B1076" s="1">
        <v>33</v>
      </c>
      <c r="C1076" t="s">
        <v>9</v>
      </c>
      <c r="D1076" t="s">
        <v>10</v>
      </c>
      <c r="E1076" t="s">
        <v>6</v>
      </c>
      <c r="F1076" t="s">
        <v>11</v>
      </c>
      <c r="G1076" t="s">
        <v>17</v>
      </c>
      <c r="H1076" s="1">
        <v>3</v>
      </c>
      <c r="I1076" s="1">
        <v>6388</v>
      </c>
      <c r="J1076" t="s">
        <v>4</v>
      </c>
      <c r="K1076" s="1">
        <v>17</v>
      </c>
      <c r="L1076" s="1">
        <v>3</v>
      </c>
      <c r="M1076" s="1">
        <v>14</v>
      </c>
      <c r="N1076" s="1">
        <v>3</v>
      </c>
      <c r="O1076" s="1">
        <v>0</v>
      </c>
      <c r="P1076" s="1">
        <f>COUNTIF(HR_Data[Employee Number],HR_Data[[#This Row],[Employee Number]])</f>
        <v>1</v>
      </c>
      <c r="Q1076" s="1" t="str">
        <f>IF(HR_Data[[#This Row],[Years At Company]]&lt;=HR_Data[[#This Row],[Total Working Years]],"Valid","error")</f>
        <v>Valid</v>
      </c>
      <c r="R1076" s="1" t="str" cm="1">
        <f t="array" ref="R1076">_xlfn.IFS(HR_Data[[#This Row],[Age]]&lt;=30,"Young", HR_Data[[#This Row],[Age]]&lt;=45,"Mid-Age",HR_Data[[#This Row],[Age]]&gt;45,"Senior")</f>
        <v>Mid-Age</v>
      </c>
      <c r="S1076" s="1" t="str" cm="1">
        <f t="array" ref="S1076">_xlfn.IFS(HR_Data[[#This Row],[Monthly Income]]&lt;5000,"Low", HR_Data[[#This Row],[Monthly Income]]&lt;10000,"Medium",TRUE,"High")</f>
        <v>Medium</v>
      </c>
      <c r="T1076" s="1" t="str" cm="1">
        <f t="array" ref="T1076">_xlfn.IFS(HR_Data[[#This Row],[Total Working Years]]&lt;=5,"Junior", HR_Data[[#This Row],[Total Working Years]]&lt;=15,"Mid-Level", TRUE, "Senior")</f>
        <v>Mid-Level</v>
      </c>
    </row>
    <row r="1077" spans="1:20" x14ac:dyDescent="0.25">
      <c r="A1077" s="1">
        <v>1516</v>
      </c>
      <c r="B1077" s="1">
        <v>32</v>
      </c>
      <c r="C1077" t="s">
        <v>9</v>
      </c>
      <c r="D1077" t="s">
        <v>10</v>
      </c>
      <c r="E1077" t="s">
        <v>15</v>
      </c>
      <c r="F1077" t="s">
        <v>11</v>
      </c>
      <c r="G1077" t="s">
        <v>18</v>
      </c>
      <c r="H1077" s="1">
        <v>4</v>
      </c>
      <c r="I1077" s="1">
        <v>11244</v>
      </c>
      <c r="J1077" t="s">
        <v>9</v>
      </c>
      <c r="K1077" s="1">
        <v>25</v>
      </c>
      <c r="L1077" s="1">
        <v>4</v>
      </c>
      <c r="M1077" s="1">
        <v>10</v>
      </c>
      <c r="N1077" s="1">
        <v>4</v>
      </c>
      <c r="O1077" s="1">
        <v>5</v>
      </c>
      <c r="P1077" s="1">
        <f>COUNTIF(HR_Data[Employee Number],HR_Data[[#This Row],[Employee Number]])</f>
        <v>1</v>
      </c>
      <c r="Q1077" s="1" t="str">
        <f>IF(HR_Data[[#This Row],[Years At Company]]&lt;=HR_Data[[#This Row],[Total Working Years]],"Valid","error")</f>
        <v>Valid</v>
      </c>
      <c r="R1077" s="1" t="str" cm="1">
        <f t="array" ref="R1077">_xlfn.IFS(HR_Data[[#This Row],[Age]]&lt;=30,"Young", HR_Data[[#This Row],[Age]]&lt;=45,"Mid-Age",HR_Data[[#This Row],[Age]]&gt;45,"Senior")</f>
        <v>Mid-Age</v>
      </c>
      <c r="S1077" s="1" t="str" cm="1">
        <f t="array" ref="S1077">_xlfn.IFS(HR_Data[[#This Row],[Monthly Income]]&lt;5000,"Low", HR_Data[[#This Row],[Monthly Income]]&lt;10000,"Medium",TRUE,"High")</f>
        <v>High</v>
      </c>
      <c r="T1077" s="1" t="str" cm="1">
        <f t="array" ref="T1077">_xlfn.IFS(HR_Data[[#This Row],[Total Working Years]]&lt;=5,"Junior", HR_Data[[#This Row],[Total Working Years]]&lt;=15,"Mid-Level", TRUE, "Senior")</f>
        <v>Mid-Level</v>
      </c>
    </row>
    <row r="1078" spans="1:20" x14ac:dyDescent="0.25">
      <c r="A1078" s="1">
        <v>1520</v>
      </c>
      <c r="B1078" s="1">
        <v>54</v>
      </c>
      <c r="C1078" t="s">
        <v>9</v>
      </c>
      <c r="D1078" t="s">
        <v>10</v>
      </c>
      <c r="E1078" t="s">
        <v>15</v>
      </c>
      <c r="F1078" t="s">
        <v>7</v>
      </c>
      <c r="G1078" t="s">
        <v>18</v>
      </c>
      <c r="H1078" s="1">
        <v>4</v>
      </c>
      <c r="I1078" s="1">
        <v>16032</v>
      </c>
      <c r="J1078" t="s">
        <v>9</v>
      </c>
      <c r="K1078" s="1">
        <v>20</v>
      </c>
      <c r="L1078" s="1">
        <v>4</v>
      </c>
      <c r="M1078" s="1">
        <v>26</v>
      </c>
      <c r="N1078" s="1">
        <v>3</v>
      </c>
      <c r="O1078" s="1">
        <v>14</v>
      </c>
      <c r="P1078" s="1">
        <f>COUNTIF(HR_Data[Employee Number],HR_Data[[#This Row],[Employee Number]])</f>
        <v>1</v>
      </c>
      <c r="Q1078" s="1" t="str">
        <f>IF(HR_Data[[#This Row],[Years At Company]]&lt;=HR_Data[[#This Row],[Total Working Years]],"Valid","error")</f>
        <v>Valid</v>
      </c>
      <c r="R1078" s="1" t="str" cm="1">
        <f t="array" ref="R1078">_xlfn.IFS(HR_Data[[#This Row],[Age]]&lt;=30,"Young", HR_Data[[#This Row],[Age]]&lt;=45,"Mid-Age",HR_Data[[#This Row],[Age]]&gt;45,"Senior")</f>
        <v>Senior</v>
      </c>
      <c r="S1078" s="1" t="str" cm="1">
        <f t="array" ref="S1078">_xlfn.IFS(HR_Data[[#This Row],[Monthly Income]]&lt;5000,"Low", HR_Data[[#This Row],[Monthly Income]]&lt;10000,"Medium",TRUE,"High")</f>
        <v>High</v>
      </c>
      <c r="T1078" s="1" t="str" cm="1">
        <f t="array" ref="T1078">_xlfn.IFS(HR_Data[[#This Row],[Total Working Years]]&lt;=5,"Junior", HR_Data[[#This Row],[Total Working Years]]&lt;=15,"Mid-Level", TRUE, "Senior")</f>
        <v>Senior</v>
      </c>
    </row>
    <row r="1079" spans="1:20" x14ac:dyDescent="0.25">
      <c r="A1079" s="1">
        <v>1522</v>
      </c>
      <c r="B1079" s="1">
        <v>29</v>
      </c>
      <c r="C1079" t="s">
        <v>4</v>
      </c>
      <c r="D1079" t="s">
        <v>10</v>
      </c>
      <c r="E1079" t="s">
        <v>22</v>
      </c>
      <c r="F1079" t="s">
        <v>11</v>
      </c>
      <c r="G1079" t="s">
        <v>12</v>
      </c>
      <c r="H1079" s="1">
        <v>1</v>
      </c>
      <c r="I1079" s="1">
        <v>2362</v>
      </c>
      <c r="J1079" t="s">
        <v>9</v>
      </c>
      <c r="K1079" s="1">
        <v>13</v>
      </c>
      <c r="L1079" s="1">
        <v>3</v>
      </c>
      <c r="M1079" s="1">
        <v>11</v>
      </c>
      <c r="N1079" s="1">
        <v>1</v>
      </c>
      <c r="O1079" s="1">
        <v>9</v>
      </c>
      <c r="P1079" s="1">
        <f>COUNTIF(HR_Data[Employee Number],HR_Data[[#This Row],[Employee Number]])</f>
        <v>1</v>
      </c>
      <c r="Q1079" s="1" t="str">
        <f>IF(HR_Data[[#This Row],[Years At Company]]&lt;=HR_Data[[#This Row],[Total Working Years]],"Valid","error")</f>
        <v>Valid</v>
      </c>
      <c r="R1079" s="1" t="str" cm="1">
        <f t="array" ref="R1079">_xlfn.IFS(HR_Data[[#This Row],[Age]]&lt;=30,"Young", HR_Data[[#This Row],[Age]]&lt;=45,"Mid-Age",HR_Data[[#This Row],[Age]]&gt;45,"Senior")</f>
        <v>Young</v>
      </c>
      <c r="S1079" s="1" t="str" cm="1">
        <f t="array" ref="S1079">_xlfn.IFS(HR_Data[[#This Row],[Monthly Income]]&lt;5000,"Low", HR_Data[[#This Row],[Monthly Income]]&lt;10000,"Medium",TRUE,"High")</f>
        <v>Low</v>
      </c>
      <c r="T1079" s="1" t="str" cm="1">
        <f t="array" ref="T1079">_xlfn.IFS(HR_Data[[#This Row],[Total Working Years]]&lt;=5,"Junior", HR_Data[[#This Row],[Total Working Years]]&lt;=15,"Mid-Level", TRUE, "Senior")</f>
        <v>Mid-Level</v>
      </c>
    </row>
    <row r="1080" spans="1:20" x14ac:dyDescent="0.25">
      <c r="A1080" s="1">
        <v>1523</v>
      </c>
      <c r="B1080" s="1">
        <v>44</v>
      </c>
      <c r="C1080" t="s">
        <v>9</v>
      </c>
      <c r="D1080" t="s">
        <v>10</v>
      </c>
      <c r="E1080" t="s">
        <v>6</v>
      </c>
      <c r="F1080" t="s">
        <v>11</v>
      </c>
      <c r="G1080" t="s">
        <v>20</v>
      </c>
      <c r="H1080" s="1">
        <v>1</v>
      </c>
      <c r="I1080" s="1">
        <v>16328</v>
      </c>
      <c r="J1080" t="s">
        <v>9</v>
      </c>
      <c r="K1080" s="1">
        <v>13</v>
      </c>
      <c r="L1080" s="1">
        <v>3</v>
      </c>
      <c r="M1080" s="1">
        <v>24</v>
      </c>
      <c r="N1080" s="1">
        <v>4</v>
      </c>
      <c r="O1080" s="1">
        <v>20</v>
      </c>
      <c r="P1080" s="1">
        <f>COUNTIF(HR_Data[Employee Number],HR_Data[[#This Row],[Employee Number]])</f>
        <v>1</v>
      </c>
      <c r="Q1080" s="1" t="str">
        <f>IF(HR_Data[[#This Row],[Years At Company]]&lt;=HR_Data[[#This Row],[Total Working Years]],"Valid","error")</f>
        <v>Valid</v>
      </c>
      <c r="R1080" s="1" t="str" cm="1">
        <f t="array" ref="R1080">_xlfn.IFS(HR_Data[[#This Row],[Age]]&lt;=30,"Young", HR_Data[[#This Row],[Age]]&lt;=45,"Mid-Age",HR_Data[[#This Row],[Age]]&gt;45,"Senior")</f>
        <v>Mid-Age</v>
      </c>
      <c r="S1080" s="1" t="str" cm="1">
        <f t="array" ref="S1080">_xlfn.IFS(HR_Data[[#This Row],[Monthly Income]]&lt;5000,"Low", HR_Data[[#This Row],[Monthly Income]]&lt;10000,"Medium",TRUE,"High")</f>
        <v>High</v>
      </c>
      <c r="T1080" s="1" t="str" cm="1">
        <f t="array" ref="T1080">_xlfn.IFS(HR_Data[[#This Row],[Total Working Years]]&lt;=5,"Junior", HR_Data[[#This Row],[Total Working Years]]&lt;=15,"Mid-Level", TRUE, "Senior")</f>
        <v>Senior</v>
      </c>
    </row>
    <row r="1081" spans="1:20" x14ac:dyDescent="0.25">
      <c r="A1081" s="1">
        <v>1525</v>
      </c>
      <c r="B1081" s="1">
        <v>39</v>
      </c>
      <c r="C1081" t="s">
        <v>9</v>
      </c>
      <c r="D1081" t="s">
        <v>10</v>
      </c>
      <c r="E1081" t="s">
        <v>6</v>
      </c>
      <c r="F1081" t="s">
        <v>7</v>
      </c>
      <c r="G1081" t="s">
        <v>16</v>
      </c>
      <c r="H1081" s="1">
        <v>2</v>
      </c>
      <c r="I1081" s="1">
        <v>8376</v>
      </c>
      <c r="J1081" t="s">
        <v>9</v>
      </c>
      <c r="K1081" s="1">
        <v>18</v>
      </c>
      <c r="L1081" s="1">
        <v>3</v>
      </c>
      <c r="M1081" s="1">
        <v>9</v>
      </c>
      <c r="N1081" s="1">
        <v>3</v>
      </c>
      <c r="O1081" s="1">
        <v>2</v>
      </c>
      <c r="P1081" s="1">
        <f>COUNTIF(HR_Data[Employee Number],HR_Data[[#This Row],[Employee Number]])</f>
        <v>1</v>
      </c>
      <c r="Q1081" s="1" t="str">
        <f>IF(HR_Data[[#This Row],[Years At Company]]&lt;=HR_Data[[#This Row],[Total Working Years]],"Valid","error")</f>
        <v>Valid</v>
      </c>
      <c r="R1081" s="1" t="str" cm="1">
        <f t="array" ref="R1081">_xlfn.IFS(HR_Data[[#This Row],[Age]]&lt;=30,"Young", HR_Data[[#This Row],[Age]]&lt;=45,"Mid-Age",HR_Data[[#This Row],[Age]]&gt;45,"Senior")</f>
        <v>Mid-Age</v>
      </c>
      <c r="S1081" s="1" t="str" cm="1">
        <f t="array" ref="S1081">_xlfn.IFS(HR_Data[[#This Row],[Monthly Income]]&lt;5000,"Low", HR_Data[[#This Row],[Monthly Income]]&lt;10000,"Medium",TRUE,"High")</f>
        <v>Medium</v>
      </c>
      <c r="T1081" s="1" t="str" cm="1">
        <f t="array" ref="T1081">_xlfn.IFS(HR_Data[[#This Row],[Total Working Years]]&lt;=5,"Junior", HR_Data[[#This Row],[Total Working Years]]&lt;=15,"Mid-Level", TRUE, "Senior")</f>
        <v>Mid-Level</v>
      </c>
    </row>
    <row r="1082" spans="1:20" x14ac:dyDescent="0.25">
      <c r="A1082" s="1">
        <v>1527</v>
      </c>
      <c r="B1082" s="1">
        <v>46</v>
      </c>
      <c r="C1082" t="s">
        <v>9</v>
      </c>
      <c r="D1082" t="s">
        <v>5</v>
      </c>
      <c r="E1082" t="s">
        <v>6</v>
      </c>
      <c r="F1082" t="s">
        <v>7</v>
      </c>
      <c r="G1082" t="s">
        <v>18</v>
      </c>
      <c r="H1082" s="1">
        <v>2</v>
      </c>
      <c r="I1082" s="1">
        <v>16606</v>
      </c>
      <c r="J1082" t="s">
        <v>9</v>
      </c>
      <c r="K1082" s="1">
        <v>12</v>
      </c>
      <c r="L1082" s="1">
        <v>3</v>
      </c>
      <c r="M1082" s="1">
        <v>23</v>
      </c>
      <c r="N1082" s="1">
        <v>4</v>
      </c>
      <c r="O1082" s="1">
        <v>13</v>
      </c>
      <c r="P1082" s="1">
        <f>COUNTIF(HR_Data[Employee Number],HR_Data[[#This Row],[Employee Number]])</f>
        <v>1</v>
      </c>
      <c r="Q1082" s="1" t="str">
        <f>IF(HR_Data[[#This Row],[Years At Company]]&lt;=HR_Data[[#This Row],[Total Working Years]],"Valid","error")</f>
        <v>Valid</v>
      </c>
      <c r="R1082" s="1" t="str" cm="1">
        <f t="array" ref="R1082">_xlfn.IFS(HR_Data[[#This Row],[Age]]&lt;=30,"Young", HR_Data[[#This Row],[Age]]&lt;=45,"Mid-Age",HR_Data[[#This Row],[Age]]&gt;45,"Senior")</f>
        <v>Senior</v>
      </c>
      <c r="S1082" s="1" t="str" cm="1">
        <f t="array" ref="S1082">_xlfn.IFS(HR_Data[[#This Row],[Monthly Income]]&lt;5000,"Low", HR_Data[[#This Row],[Monthly Income]]&lt;10000,"Medium",TRUE,"High")</f>
        <v>High</v>
      </c>
      <c r="T1082" s="1" t="str" cm="1">
        <f t="array" ref="T1082">_xlfn.IFS(HR_Data[[#This Row],[Total Working Years]]&lt;=5,"Junior", HR_Data[[#This Row],[Total Working Years]]&lt;=15,"Mid-Level", TRUE, "Senior")</f>
        <v>Senior</v>
      </c>
    </row>
    <row r="1083" spans="1:20" x14ac:dyDescent="0.25">
      <c r="A1083" s="1">
        <v>1529</v>
      </c>
      <c r="B1083" s="1">
        <v>35</v>
      </c>
      <c r="C1083" t="s">
        <v>9</v>
      </c>
      <c r="D1083" t="s">
        <v>10</v>
      </c>
      <c r="E1083" t="s">
        <v>6</v>
      </c>
      <c r="F1083" t="s">
        <v>7</v>
      </c>
      <c r="G1083" t="s">
        <v>17</v>
      </c>
      <c r="H1083" s="1">
        <v>2</v>
      </c>
      <c r="I1083" s="1">
        <v>8606</v>
      </c>
      <c r="J1083" t="s">
        <v>9</v>
      </c>
      <c r="K1083" s="1">
        <v>19</v>
      </c>
      <c r="L1083" s="1">
        <v>3</v>
      </c>
      <c r="M1083" s="1">
        <v>11</v>
      </c>
      <c r="N1083" s="1">
        <v>1</v>
      </c>
      <c r="O1083" s="1">
        <v>11</v>
      </c>
      <c r="P1083" s="1">
        <f>COUNTIF(HR_Data[Employee Number],HR_Data[[#This Row],[Employee Number]])</f>
        <v>1</v>
      </c>
      <c r="Q1083" s="1" t="str">
        <f>IF(HR_Data[[#This Row],[Years At Company]]&lt;=HR_Data[[#This Row],[Total Working Years]],"Valid","error")</f>
        <v>Valid</v>
      </c>
      <c r="R1083" s="1" t="str" cm="1">
        <f t="array" ref="R1083">_xlfn.IFS(HR_Data[[#This Row],[Age]]&lt;=30,"Young", HR_Data[[#This Row],[Age]]&lt;=45,"Mid-Age",HR_Data[[#This Row],[Age]]&gt;45,"Senior")</f>
        <v>Mid-Age</v>
      </c>
      <c r="S1083" s="1" t="str" cm="1">
        <f t="array" ref="S1083">_xlfn.IFS(HR_Data[[#This Row],[Monthly Income]]&lt;5000,"Low", HR_Data[[#This Row],[Monthly Income]]&lt;10000,"Medium",TRUE,"High")</f>
        <v>Medium</v>
      </c>
      <c r="T1083" s="1" t="str" cm="1">
        <f t="array" ref="T1083">_xlfn.IFS(HR_Data[[#This Row],[Total Working Years]]&lt;=5,"Junior", HR_Data[[#This Row],[Total Working Years]]&lt;=15,"Mid-Level", TRUE, "Senior")</f>
        <v>Mid-Level</v>
      </c>
    </row>
    <row r="1084" spans="1:20" x14ac:dyDescent="0.25">
      <c r="A1084" s="1">
        <v>1533</v>
      </c>
      <c r="B1084" s="1">
        <v>23</v>
      </c>
      <c r="C1084" t="s">
        <v>9</v>
      </c>
      <c r="D1084" t="s">
        <v>10</v>
      </c>
      <c r="E1084" t="s">
        <v>6</v>
      </c>
      <c r="F1084" t="s">
        <v>11</v>
      </c>
      <c r="G1084" t="s">
        <v>14</v>
      </c>
      <c r="H1084" s="1">
        <v>3</v>
      </c>
      <c r="I1084" s="1">
        <v>2272</v>
      </c>
      <c r="J1084" t="s">
        <v>9</v>
      </c>
      <c r="K1084" s="1">
        <v>14</v>
      </c>
      <c r="L1084" s="1">
        <v>3</v>
      </c>
      <c r="M1084" s="1">
        <v>5</v>
      </c>
      <c r="N1084" s="1">
        <v>3</v>
      </c>
      <c r="O1084" s="1">
        <v>4</v>
      </c>
      <c r="P1084" s="1">
        <f>COUNTIF(HR_Data[Employee Number],HR_Data[[#This Row],[Employee Number]])</f>
        <v>1</v>
      </c>
      <c r="Q1084" s="1" t="str">
        <f>IF(HR_Data[[#This Row],[Years At Company]]&lt;=HR_Data[[#This Row],[Total Working Years]],"Valid","error")</f>
        <v>Valid</v>
      </c>
      <c r="R1084" s="1" t="str" cm="1">
        <f t="array" ref="R1084">_xlfn.IFS(HR_Data[[#This Row],[Age]]&lt;=30,"Young", HR_Data[[#This Row],[Age]]&lt;=45,"Mid-Age",HR_Data[[#This Row],[Age]]&gt;45,"Senior")</f>
        <v>Young</v>
      </c>
      <c r="S1084" s="1" t="str" cm="1">
        <f t="array" ref="S1084">_xlfn.IFS(HR_Data[[#This Row],[Monthly Income]]&lt;5000,"Low", HR_Data[[#This Row],[Monthly Income]]&lt;10000,"Medium",TRUE,"High")</f>
        <v>Low</v>
      </c>
      <c r="T1084" s="1" t="str" cm="1">
        <f t="array" ref="T1084">_xlfn.IFS(HR_Data[[#This Row],[Total Working Years]]&lt;=5,"Junior", HR_Data[[#This Row],[Total Working Years]]&lt;=15,"Mid-Level", TRUE, "Senior")</f>
        <v>Junior</v>
      </c>
    </row>
    <row r="1085" spans="1:20" x14ac:dyDescent="0.25">
      <c r="A1085" s="1">
        <v>1534</v>
      </c>
      <c r="B1085" s="1">
        <v>40</v>
      </c>
      <c r="C1085" t="s">
        <v>4</v>
      </c>
      <c r="D1085" t="s">
        <v>10</v>
      </c>
      <c r="E1085" t="s">
        <v>6</v>
      </c>
      <c r="F1085" t="s">
        <v>11</v>
      </c>
      <c r="G1085" t="s">
        <v>14</v>
      </c>
      <c r="H1085" s="1">
        <v>1</v>
      </c>
      <c r="I1085" s="1">
        <v>2018</v>
      </c>
      <c r="J1085" t="s">
        <v>9</v>
      </c>
      <c r="K1085" s="1">
        <v>14</v>
      </c>
      <c r="L1085" s="1">
        <v>3</v>
      </c>
      <c r="M1085" s="1">
        <v>15</v>
      </c>
      <c r="N1085" s="1">
        <v>1</v>
      </c>
      <c r="O1085" s="1">
        <v>5</v>
      </c>
      <c r="P1085" s="1">
        <f>COUNTIF(HR_Data[Employee Number],HR_Data[[#This Row],[Employee Number]])</f>
        <v>1</v>
      </c>
      <c r="Q1085" s="1" t="str">
        <f>IF(HR_Data[[#This Row],[Years At Company]]&lt;=HR_Data[[#This Row],[Total Working Years]],"Valid","error")</f>
        <v>Valid</v>
      </c>
      <c r="R1085" s="1" t="str" cm="1">
        <f t="array" ref="R1085">_xlfn.IFS(HR_Data[[#This Row],[Age]]&lt;=30,"Young", HR_Data[[#This Row],[Age]]&lt;=45,"Mid-Age",HR_Data[[#This Row],[Age]]&gt;45,"Senior")</f>
        <v>Mid-Age</v>
      </c>
      <c r="S1085" s="1" t="str" cm="1">
        <f t="array" ref="S1085">_xlfn.IFS(HR_Data[[#This Row],[Monthly Income]]&lt;5000,"Low", HR_Data[[#This Row],[Monthly Income]]&lt;10000,"Medium",TRUE,"High")</f>
        <v>Low</v>
      </c>
      <c r="T1085" s="1" t="str" cm="1">
        <f t="array" ref="T1085">_xlfn.IFS(HR_Data[[#This Row],[Total Working Years]]&lt;=5,"Junior", HR_Data[[#This Row],[Total Working Years]]&lt;=15,"Mid-Level", TRUE, "Senior")</f>
        <v>Mid-Level</v>
      </c>
    </row>
    <row r="1086" spans="1:20" x14ac:dyDescent="0.25">
      <c r="A1086" s="1">
        <v>1535</v>
      </c>
      <c r="B1086" s="1">
        <v>34</v>
      </c>
      <c r="C1086" t="s">
        <v>9</v>
      </c>
      <c r="D1086" t="s">
        <v>5</v>
      </c>
      <c r="E1086" t="s">
        <v>22</v>
      </c>
      <c r="F1086" t="s">
        <v>11</v>
      </c>
      <c r="G1086" t="s">
        <v>8</v>
      </c>
      <c r="H1086" s="1">
        <v>3</v>
      </c>
      <c r="I1086" s="1">
        <v>7083</v>
      </c>
      <c r="J1086" t="s">
        <v>4</v>
      </c>
      <c r="K1086" s="1">
        <v>14</v>
      </c>
      <c r="L1086" s="1">
        <v>3</v>
      </c>
      <c r="M1086" s="1">
        <v>10</v>
      </c>
      <c r="N1086" s="1">
        <v>3</v>
      </c>
      <c r="O1086" s="1">
        <v>10</v>
      </c>
      <c r="P1086" s="1">
        <f>COUNTIF(HR_Data[Employee Number],HR_Data[[#This Row],[Employee Number]])</f>
        <v>1</v>
      </c>
      <c r="Q1086" s="1" t="str">
        <f>IF(HR_Data[[#This Row],[Years At Company]]&lt;=HR_Data[[#This Row],[Total Working Years]],"Valid","error")</f>
        <v>Valid</v>
      </c>
      <c r="R1086" s="1" t="str" cm="1">
        <f t="array" ref="R1086">_xlfn.IFS(HR_Data[[#This Row],[Age]]&lt;=30,"Young", HR_Data[[#This Row],[Age]]&lt;=45,"Mid-Age",HR_Data[[#This Row],[Age]]&gt;45,"Senior")</f>
        <v>Mid-Age</v>
      </c>
      <c r="S1086" s="1" t="str" cm="1">
        <f t="array" ref="S1086">_xlfn.IFS(HR_Data[[#This Row],[Monthly Income]]&lt;5000,"Low", HR_Data[[#This Row],[Monthly Income]]&lt;10000,"Medium",TRUE,"High")</f>
        <v>Medium</v>
      </c>
      <c r="T1086" s="1" t="str" cm="1">
        <f t="array" ref="T1086">_xlfn.IFS(HR_Data[[#This Row],[Total Working Years]]&lt;=5,"Junior", HR_Data[[#This Row],[Total Working Years]]&lt;=15,"Mid-Level", TRUE, "Senior")</f>
        <v>Mid-Level</v>
      </c>
    </row>
    <row r="1087" spans="1:20" x14ac:dyDescent="0.25">
      <c r="A1087" s="1">
        <v>1537</v>
      </c>
      <c r="B1087" s="1">
        <v>31</v>
      </c>
      <c r="C1087" t="s">
        <v>4</v>
      </c>
      <c r="D1087" t="s">
        <v>10</v>
      </c>
      <c r="E1087" t="s">
        <v>6</v>
      </c>
      <c r="F1087" t="s">
        <v>7</v>
      </c>
      <c r="G1087" t="s">
        <v>12</v>
      </c>
      <c r="H1087" s="1">
        <v>3</v>
      </c>
      <c r="I1087" s="1">
        <v>4084</v>
      </c>
      <c r="J1087" t="s">
        <v>9</v>
      </c>
      <c r="K1087" s="1">
        <v>12</v>
      </c>
      <c r="L1087" s="1">
        <v>3</v>
      </c>
      <c r="M1087" s="1">
        <v>7</v>
      </c>
      <c r="N1087" s="1">
        <v>1</v>
      </c>
      <c r="O1087" s="1">
        <v>7</v>
      </c>
      <c r="P1087" s="1">
        <f>COUNTIF(HR_Data[Employee Number],HR_Data[[#This Row],[Employee Number]])</f>
        <v>1</v>
      </c>
      <c r="Q1087" s="1" t="str">
        <f>IF(HR_Data[[#This Row],[Years At Company]]&lt;=HR_Data[[#This Row],[Total Working Years]],"Valid","error")</f>
        <v>Valid</v>
      </c>
      <c r="R1087" s="1" t="str" cm="1">
        <f t="array" ref="R1087">_xlfn.IFS(HR_Data[[#This Row],[Age]]&lt;=30,"Young", HR_Data[[#This Row],[Age]]&lt;=45,"Mid-Age",HR_Data[[#This Row],[Age]]&gt;45,"Senior")</f>
        <v>Mid-Age</v>
      </c>
      <c r="S1087" s="1" t="str" cm="1">
        <f t="array" ref="S1087">_xlfn.IFS(HR_Data[[#This Row],[Monthly Income]]&lt;5000,"Low", HR_Data[[#This Row],[Monthly Income]]&lt;10000,"Medium",TRUE,"High")</f>
        <v>Low</v>
      </c>
      <c r="T1087" s="1" t="str" cm="1">
        <f t="array" ref="T1087">_xlfn.IFS(HR_Data[[#This Row],[Total Working Years]]&lt;=5,"Junior", HR_Data[[#This Row],[Total Working Years]]&lt;=15,"Mid-Level", TRUE, "Senior")</f>
        <v>Mid-Level</v>
      </c>
    </row>
    <row r="1088" spans="1:20" x14ac:dyDescent="0.25">
      <c r="A1088" s="1">
        <v>1539</v>
      </c>
      <c r="B1088" s="1">
        <v>50</v>
      </c>
      <c r="C1088" t="s">
        <v>9</v>
      </c>
      <c r="D1088" t="s">
        <v>10</v>
      </c>
      <c r="E1088" t="s">
        <v>15</v>
      </c>
      <c r="F1088" t="s">
        <v>11</v>
      </c>
      <c r="G1088" t="s">
        <v>20</v>
      </c>
      <c r="H1088" s="1">
        <v>4</v>
      </c>
      <c r="I1088" s="1">
        <v>14411</v>
      </c>
      <c r="J1088" t="s">
        <v>4</v>
      </c>
      <c r="K1088" s="1">
        <v>13</v>
      </c>
      <c r="L1088" s="1">
        <v>3</v>
      </c>
      <c r="M1088" s="1">
        <v>32</v>
      </c>
      <c r="N1088" s="1">
        <v>3</v>
      </c>
      <c r="O1088" s="1">
        <v>32</v>
      </c>
      <c r="P1088" s="1">
        <f>COUNTIF(HR_Data[Employee Number],HR_Data[[#This Row],[Employee Number]])</f>
        <v>1</v>
      </c>
      <c r="Q1088" s="1" t="str">
        <f>IF(HR_Data[[#This Row],[Years At Company]]&lt;=HR_Data[[#This Row],[Total Working Years]],"Valid","error")</f>
        <v>Valid</v>
      </c>
      <c r="R1088" s="1" t="str" cm="1">
        <f t="array" ref="R1088">_xlfn.IFS(HR_Data[[#This Row],[Age]]&lt;=30,"Young", HR_Data[[#This Row],[Age]]&lt;=45,"Mid-Age",HR_Data[[#This Row],[Age]]&gt;45,"Senior")</f>
        <v>Senior</v>
      </c>
      <c r="S1088" s="1" t="str" cm="1">
        <f t="array" ref="S1088">_xlfn.IFS(HR_Data[[#This Row],[Monthly Income]]&lt;5000,"Low", HR_Data[[#This Row],[Monthly Income]]&lt;10000,"Medium",TRUE,"High")</f>
        <v>High</v>
      </c>
      <c r="T1088" s="1" t="str" cm="1">
        <f t="array" ref="T1088">_xlfn.IFS(HR_Data[[#This Row],[Total Working Years]]&lt;=5,"Junior", HR_Data[[#This Row],[Total Working Years]]&lt;=15,"Mid-Level", TRUE, "Senior")</f>
        <v>Senior</v>
      </c>
    </row>
    <row r="1089" spans="1:20" x14ac:dyDescent="0.25">
      <c r="A1089" s="1">
        <v>1541</v>
      </c>
      <c r="B1089" s="1">
        <v>34</v>
      </c>
      <c r="C1089" t="s">
        <v>9</v>
      </c>
      <c r="D1089" t="s">
        <v>5</v>
      </c>
      <c r="E1089" t="s">
        <v>22</v>
      </c>
      <c r="F1089" t="s">
        <v>11</v>
      </c>
      <c r="G1089" t="s">
        <v>19</v>
      </c>
      <c r="H1089" s="1">
        <v>3</v>
      </c>
      <c r="I1089" s="1">
        <v>2308</v>
      </c>
      <c r="J1089" t="s">
        <v>4</v>
      </c>
      <c r="K1089" s="1">
        <v>25</v>
      </c>
      <c r="L1089" s="1">
        <v>4</v>
      </c>
      <c r="M1089" s="1">
        <v>12</v>
      </c>
      <c r="N1089" s="1">
        <v>3</v>
      </c>
      <c r="O1089" s="1">
        <v>11</v>
      </c>
      <c r="P1089" s="1">
        <f>COUNTIF(HR_Data[Employee Number],HR_Data[[#This Row],[Employee Number]])</f>
        <v>1</v>
      </c>
      <c r="Q1089" s="1" t="str">
        <f>IF(HR_Data[[#This Row],[Years At Company]]&lt;=HR_Data[[#This Row],[Total Working Years]],"Valid","error")</f>
        <v>Valid</v>
      </c>
      <c r="R1089" s="1" t="str" cm="1">
        <f t="array" ref="R1089">_xlfn.IFS(HR_Data[[#This Row],[Age]]&lt;=30,"Young", HR_Data[[#This Row],[Age]]&lt;=45,"Mid-Age",HR_Data[[#This Row],[Age]]&gt;45,"Senior")</f>
        <v>Mid-Age</v>
      </c>
      <c r="S1089" s="1" t="str" cm="1">
        <f t="array" ref="S1089">_xlfn.IFS(HR_Data[[#This Row],[Monthly Income]]&lt;5000,"Low", HR_Data[[#This Row],[Monthly Income]]&lt;10000,"Medium",TRUE,"High")</f>
        <v>Low</v>
      </c>
      <c r="T1089" s="1" t="str" cm="1">
        <f t="array" ref="T1089">_xlfn.IFS(HR_Data[[#This Row],[Total Working Years]]&lt;=5,"Junior", HR_Data[[#This Row],[Total Working Years]]&lt;=15,"Mid-Level", TRUE, "Senior")</f>
        <v>Mid-Level</v>
      </c>
    </row>
    <row r="1090" spans="1:20" x14ac:dyDescent="0.25">
      <c r="A1090" s="1">
        <v>1542</v>
      </c>
      <c r="B1090" s="1">
        <v>42</v>
      </c>
      <c r="C1090" t="s">
        <v>9</v>
      </c>
      <c r="D1090" t="s">
        <v>10</v>
      </c>
      <c r="E1090" t="s">
        <v>15</v>
      </c>
      <c r="F1090" t="s">
        <v>11</v>
      </c>
      <c r="G1090" t="s">
        <v>14</v>
      </c>
      <c r="H1090" s="1">
        <v>2</v>
      </c>
      <c r="I1090" s="1">
        <v>4841</v>
      </c>
      <c r="J1090" t="s">
        <v>9</v>
      </c>
      <c r="K1090" s="1">
        <v>14</v>
      </c>
      <c r="L1090" s="1">
        <v>3</v>
      </c>
      <c r="M1090" s="1">
        <v>4</v>
      </c>
      <c r="N1090" s="1">
        <v>3</v>
      </c>
      <c r="O1090" s="1">
        <v>1</v>
      </c>
      <c r="P1090" s="1">
        <f>COUNTIF(HR_Data[Employee Number],HR_Data[[#This Row],[Employee Number]])</f>
        <v>1</v>
      </c>
      <c r="Q1090" s="1" t="str">
        <f>IF(HR_Data[[#This Row],[Years At Company]]&lt;=HR_Data[[#This Row],[Total Working Years]],"Valid","error")</f>
        <v>Valid</v>
      </c>
      <c r="R1090" s="1" t="str" cm="1">
        <f t="array" ref="R1090">_xlfn.IFS(HR_Data[[#This Row],[Age]]&lt;=30,"Young", HR_Data[[#This Row],[Age]]&lt;=45,"Mid-Age",HR_Data[[#This Row],[Age]]&gt;45,"Senior")</f>
        <v>Mid-Age</v>
      </c>
      <c r="S1090" s="1" t="str" cm="1">
        <f t="array" ref="S1090">_xlfn.IFS(HR_Data[[#This Row],[Monthly Income]]&lt;5000,"Low", HR_Data[[#This Row],[Monthly Income]]&lt;10000,"Medium",TRUE,"High")</f>
        <v>Low</v>
      </c>
      <c r="T1090" s="1" t="str" cm="1">
        <f t="array" ref="T1090">_xlfn.IFS(HR_Data[[#This Row],[Total Working Years]]&lt;=5,"Junior", HR_Data[[#This Row],[Total Working Years]]&lt;=15,"Mid-Level", TRUE, "Senior")</f>
        <v>Junior</v>
      </c>
    </row>
    <row r="1091" spans="1:20" x14ac:dyDescent="0.25">
      <c r="A1091" s="1">
        <v>1543</v>
      </c>
      <c r="B1091" s="1">
        <v>37</v>
      </c>
      <c r="C1091" t="s">
        <v>9</v>
      </c>
      <c r="D1091" t="s">
        <v>10</v>
      </c>
      <c r="E1091" t="s">
        <v>15</v>
      </c>
      <c r="F1091" t="s">
        <v>11</v>
      </c>
      <c r="G1091" t="s">
        <v>12</v>
      </c>
      <c r="H1091" s="1">
        <v>4</v>
      </c>
      <c r="I1091" s="1">
        <v>4285</v>
      </c>
      <c r="J1091" t="s">
        <v>9</v>
      </c>
      <c r="K1091" s="1">
        <v>17</v>
      </c>
      <c r="L1091" s="1">
        <v>3</v>
      </c>
      <c r="M1091" s="1">
        <v>10</v>
      </c>
      <c r="N1091" s="1">
        <v>3</v>
      </c>
      <c r="O1091" s="1">
        <v>10</v>
      </c>
      <c r="P1091" s="1">
        <f>COUNTIF(HR_Data[Employee Number],HR_Data[[#This Row],[Employee Number]])</f>
        <v>1</v>
      </c>
      <c r="Q1091" s="1" t="str">
        <f>IF(HR_Data[[#This Row],[Years At Company]]&lt;=HR_Data[[#This Row],[Total Working Years]],"Valid","error")</f>
        <v>Valid</v>
      </c>
      <c r="R1091" s="1" t="str" cm="1">
        <f t="array" ref="R1091">_xlfn.IFS(HR_Data[[#This Row],[Age]]&lt;=30,"Young", HR_Data[[#This Row],[Age]]&lt;=45,"Mid-Age",HR_Data[[#This Row],[Age]]&gt;45,"Senior")</f>
        <v>Mid-Age</v>
      </c>
      <c r="S1091" s="1" t="str" cm="1">
        <f t="array" ref="S1091">_xlfn.IFS(HR_Data[[#This Row],[Monthly Income]]&lt;5000,"Low", HR_Data[[#This Row],[Monthly Income]]&lt;10000,"Medium",TRUE,"High")</f>
        <v>Low</v>
      </c>
      <c r="T1091" s="1" t="str" cm="1">
        <f t="array" ref="T1091">_xlfn.IFS(HR_Data[[#This Row],[Total Working Years]]&lt;=5,"Junior", HR_Data[[#This Row],[Total Working Years]]&lt;=15,"Mid-Level", TRUE, "Senior")</f>
        <v>Mid-Level</v>
      </c>
    </row>
    <row r="1092" spans="1:20" x14ac:dyDescent="0.25">
      <c r="A1092" s="1">
        <v>1544</v>
      </c>
      <c r="B1092" s="1">
        <v>29</v>
      </c>
      <c r="C1092" t="s">
        <v>9</v>
      </c>
      <c r="D1092" t="s">
        <v>10</v>
      </c>
      <c r="E1092" t="s">
        <v>13</v>
      </c>
      <c r="F1092" t="s">
        <v>7</v>
      </c>
      <c r="G1092" t="s">
        <v>17</v>
      </c>
      <c r="H1092" s="1">
        <v>1</v>
      </c>
      <c r="I1092" s="1">
        <v>9715</v>
      </c>
      <c r="J1092" t="s">
        <v>9</v>
      </c>
      <c r="K1092" s="1">
        <v>13</v>
      </c>
      <c r="L1092" s="1">
        <v>3</v>
      </c>
      <c r="M1092" s="1">
        <v>9</v>
      </c>
      <c r="N1092" s="1">
        <v>3</v>
      </c>
      <c r="O1092" s="1">
        <v>7</v>
      </c>
      <c r="P1092" s="1">
        <f>COUNTIF(HR_Data[Employee Number],HR_Data[[#This Row],[Employee Number]])</f>
        <v>1</v>
      </c>
      <c r="Q1092" s="1" t="str">
        <f>IF(HR_Data[[#This Row],[Years At Company]]&lt;=HR_Data[[#This Row],[Total Working Years]],"Valid","error")</f>
        <v>Valid</v>
      </c>
      <c r="R1092" s="1" t="str" cm="1">
        <f t="array" ref="R1092">_xlfn.IFS(HR_Data[[#This Row],[Age]]&lt;=30,"Young", HR_Data[[#This Row],[Age]]&lt;=45,"Mid-Age",HR_Data[[#This Row],[Age]]&gt;45,"Senior")</f>
        <v>Young</v>
      </c>
      <c r="S1092" s="1" t="str" cm="1">
        <f t="array" ref="S1092">_xlfn.IFS(HR_Data[[#This Row],[Monthly Income]]&lt;5000,"Low", HR_Data[[#This Row],[Monthly Income]]&lt;10000,"Medium",TRUE,"High")</f>
        <v>Medium</v>
      </c>
      <c r="T1092" s="1" t="str" cm="1">
        <f t="array" ref="T1092">_xlfn.IFS(HR_Data[[#This Row],[Total Working Years]]&lt;=5,"Junior", HR_Data[[#This Row],[Total Working Years]]&lt;=15,"Mid-Level", TRUE, "Senior")</f>
        <v>Mid-Level</v>
      </c>
    </row>
    <row r="1093" spans="1:20" x14ac:dyDescent="0.25">
      <c r="A1093" s="1">
        <v>1545</v>
      </c>
      <c r="B1093" s="1">
        <v>33</v>
      </c>
      <c r="C1093" t="s">
        <v>9</v>
      </c>
      <c r="D1093" t="s">
        <v>10</v>
      </c>
      <c r="E1093" t="s">
        <v>6</v>
      </c>
      <c r="F1093" t="s">
        <v>11</v>
      </c>
      <c r="G1093" t="s">
        <v>16</v>
      </c>
      <c r="H1093" s="1">
        <v>2</v>
      </c>
      <c r="I1093" s="1">
        <v>4320</v>
      </c>
      <c r="J1093" t="s">
        <v>9</v>
      </c>
      <c r="K1093" s="1">
        <v>13</v>
      </c>
      <c r="L1093" s="1">
        <v>3</v>
      </c>
      <c r="M1093" s="1">
        <v>5</v>
      </c>
      <c r="N1093" s="1">
        <v>3</v>
      </c>
      <c r="O1093" s="1">
        <v>5</v>
      </c>
      <c r="P1093" s="1">
        <f>COUNTIF(HR_Data[Employee Number],HR_Data[[#This Row],[Employee Number]])</f>
        <v>1</v>
      </c>
      <c r="Q1093" s="1" t="str">
        <f>IF(HR_Data[[#This Row],[Years At Company]]&lt;=HR_Data[[#This Row],[Total Working Years]],"Valid","error")</f>
        <v>Valid</v>
      </c>
      <c r="R1093" s="1" t="str" cm="1">
        <f t="array" ref="R1093">_xlfn.IFS(HR_Data[[#This Row],[Age]]&lt;=30,"Young", HR_Data[[#This Row],[Age]]&lt;=45,"Mid-Age",HR_Data[[#This Row],[Age]]&gt;45,"Senior")</f>
        <v>Mid-Age</v>
      </c>
      <c r="S1093" s="1" t="str" cm="1">
        <f t="array" ref="S1093">_xlfn.IFS(HR_Data[[#This Row],[Monthly Income]]&lt;5000,"Low", HR_Data[[#This Row],[Monthly Income]]&lt;10000,"Medium",TRUE,"High")</f>
        <v>Low</v>
      </c>
      <c r="T1093" s="1" t="str" cm="1">
        <f t="array" ref="T1093">_xlfn.IFS(HR_Data[[#This Row],[Total Working Years]]&lt;=5,"Junior", HR_Data[[#This Row],[Total Working Years]]&lt;=15,"Mid-Level", TRUE, "Senior")</f>
        <v>Junior</v>
      </c>
    </row>
    <row r="1094" spans="1:20" x14ac:dyDescent="0.25">
      <c r="A1094" s="1">
        <v>1546</v>
      </c>
      <c r="B1094" s="1">
        <v>45</v>
      </c>
      <c r="C1094" t="s">
        <v>9</v>
      </c>
      <c r="D1094" t="s">
        <v>10</v>
      </c>
      <c r="E1094" t="s">
        <v>22</v>
      </c>
      <c r="F1094" t="s">
        <v>11</v>
      </c>
      <c r="G1094" t="s">
        <v>12</v>
      </c>
      <c r="H1094" s="1">
        <v>4</v>
      </c>
      <c r="I1094" s="1">
        <v>2132</v>
      </c>
      <c r="J1094" t="s">
        <v>9</v>
      </c>
      <c r="K1094" s="1">
        <v>20</v>
      </c>
      <c r="L1094" s="1">
        <v>4</v>
      </c>
      <c r="M1094" s="1">
        <v>8</v>
      </c>
      <c r="N1094" s="1">
        <v>3</v>
      </c>
      <c r="O1094" s="1">
        <v>5</v>
      </c>
      <c r="P1094" s="1">
        <f>COUNTIF(HR_Data[Employee Number],HR_Data[[#This Row],[Employee Number]])</f>
        <v>1</v>
      </c>
      <c r="Q1094" s="1" t="str">
        <f>IF(HR_Data[[#This Row],[Years At Company]]&lt;=HR_Data[[#This Row],[Total Working Years]],"Valid","error")</f>
        <v>Valid</v>
      </c>
      <c r="R1094" s="1" t="str" cm="1">
        <f t="array" ref="R1094">_xlfn.IFS(HR_Data[[#This Row],[Age]]&lt;=30,"Young", HR_Data[[#This Row],[Age]]&lt;=45,"Mid-Age",HR_Data[[#This Row],[Age]]&gt;45,"Senior")</f>
        <v>Mid-Age</v>
      </c>
      <c r="S1094" s="1" t="str" cm="1">
        <f t="array" ref="S1094">_xlfn.IFS(HR_Data[[#This Row],[Monthly Income]]&lt;5000,"Low", HR_Data[[#This Row],[Monthly Income]]&lt;10000,"Medium",TRUE,"High")</f>
        <v>Low</v>
      </c>
      <c r="T1094" s="1" t="str" cm="1">
        <f t="array" ref="T1094">_xlfn.IFS(HR_Data[[#This Row],[Total Working Years]]&lt;=5,"Junior", HR_Data[[#This Row],[Total Working Years]]&lt;=15,"Mid-Level", TRUE, "Senior")</f>
        <v>Mid-Level</v>
      </c>
    </row>
    <row r="1095" spans="1:20" x14ac:dyDescent="0.25">
      <c r="A1095" s="1">
        <v>1547</v>
      </c>
      <c r="B1095" s="1">
        <v>42</v>
      </c>
      <c r="C1095" t="s">
        <v>9</v>
      </c>
      <c r="D1095" t="s">
        <v>10</v>
      </c>
      <c r="E1095" t="s">
        <v>6</v>
      </c>
      <c r="F1095" t="s">
        <v>11</v>
      </c>
      <c r="G1095" t="s">
        <v>17</v>
      </c>
      <c r="H1095" s="1">
        <v>4</v>
      </c>
      <c r="I1095" s="1">
        <v>10124</v>
      </c>
      <c r="J1095" t="s">
        <v>4</v>
      </c>
      <c r="K1095" s="1">
        <v>14</v>
      </c>
      <c r="L1095" s="1">
        <v>3</v>
      </c>
      <c r="M1095" s="1">
        <v>24</v>
      </c>
      <c r="N1095" s="1">
        <v>1</v>
      </c>
      <c r="O1095" s="1">
        <v>20</v>
      </c>
      <c r="P1095" s="1">
        <f>COUNTIF(HR_Data[Employee Number],HR_Data[[#This Row],[Employee Number]])</f>
        <v>1</v>
      </c>
      <c r="Q1095" s="1" t="str">
        <f>IF(HR_Data[[#This Row],[Years At Company]]&lt;=HR_Data[[#This Row],[Total Working Years]],"Valid","error")</f>
        <v>Valid</v>
      </c>
      <c r="R1095" s="1" t="str" cm="1">
        <f t="array" ref="R1095">_xlfn.IFS(HR_Data[[#This Row],[Age]]&lt;=30,"Young", HR_Data[[#This Row],[Age]]&lt;=45,"Mid-Age",HR_Data[[#This Row],[Age]]&gt;45,"Senior")</f>
        <v>Mid-Age</v>
      </c>
      <c r="S1095" s="1" t="str" cm="1">
        <f t="array" ref="S1095">_xlfn.IFS(HR_Data[[#This Row],[Monthly Income]]&lt;5000,"Low", HR_Data[[#This Row],[Monthly Income]]&lt;10000,"Medium",TRUE,"High")</f>
        <v>High</v>
      </c>
      <c r="T1095" s="1" t="str" cm="1">
        <f t="array" ref="T1095">_xlfn.IFS(HR_Data[[#This Row],[Total Working Years]]&lt;=5,"Junior", HR_Data[[#This Row],[Total Working Years]]&lt;=15,"Mid-Level", TRUE, "Senior")</f>
        <v>Senior</v>
      </c>
    </row>
    <row r="1096" spans="1:20" x14ac:dyDescent="0.25">
      <c r="A1096" s="1">
        <v>1548</v>
      </c>
      <c r="B1096" s="1">
        <v>40</v>
      </c>
      <c r="C1096" t="s">
        <v>9</v>
      </c>
      <c r="D1096" t="s">
        <v>5</v>
      </c>
      <c r="E1096" t="s">
        <v>15</v>
      </c>
      <c r="F1096" t="s">
        <v>11</v>
      </c>
      <c r="G1096" t="s">
        <v>8</v>
      </c>
      <c r="H1096" s="1">
        <v>1</v>
      </c>
      <c r="I1096" s="1">
        <v>5473</v>
      </c>
      <c r="J1096" t="s">
        <v>9</v>
      </c>
      <c r="K1096" s="1">
        <v>12</v>
      </c>
      <c r="L1096" s="1">
        <v>3</v>
      </c>
      <c r="M1096" s="1">
        <v>9</v>
      </c>
      <c r="N1096" s="1">
        <v>4</v>
      </c>
      <c r="O1096" s="1">
        <v>8</v>
      </c>
      <c r="P1096" s="1">
        <f>COUNTIF(HR_Data[Employee Number],HR_Data[[#This Row],[Employee Number]])</f>
        <v>1</v>
      </c>
      <c r="Q1096" s="1" t="str">
        <f>IF(HR_Data[[#This Row],[Years At Company]]&lt;=HR_Data[[#This Row],[Total Working Years]],"Valid","error")</f>
        <v>Valid</v>
      </c>
      <c r="R1096" s="1" t="str" cm="1">
        <f t="array" ref="R1096">_xlfn.IFS(HR_Data[[#This Row],[Age]]&lt;=30,"Young", HR_Data[[#This Row],[Age]]&lt;=45,"Mid-Age",HR_Data[[#This Row],[Age]]&gt;45,"Senior")</f>
        <v>Mid-Age</v>
      </c>
      <c r="S1096" s="1" t="str" cm="1">
        <f t="array" ref="S1096">_xlfn.IFS(HR_Data[[#This Row],[Monthly Income]]&lt;5000,"Low", HR_Data[[#This Row],[Monthly Income]]&lt;10000,"Medium",TRUE,"High")</f>
        <v>Medium</v>
      </c>
      <c r="T1096" s="1" t="str" cm="1">
        <f t="array" ref="T1096">_xlfn.IFS(HR_Data[[#This Row],[Total Working Years]]&lt;=5,"Junior", HR_Data[[#This Row],[Total Working Years]]&lt;=15,"Mid-Level", TRUE, "Senior")</f>
        <v>Mid-Level</v>
      </c>
    </row>
    <row r="1097" spans="1:20" x14ac:dyDescent="0.25">
      <c r="A1097" s="1">
        <v>1549</v>
      </c>
      <c r="B1097" s="1">
        <v>33</v>
      </c>
      <c r="C1097" t="s">
        <v>9</v>
      </c>
      <c r="D1097" t="s">
        <v>10</v>
      </c>
      <c r="E1097" t="s">
        <v>6</v>
      </c>
      <c r="F1097" t="s">
        <v>11</v>
      </c>
      <c r="G1097" t="s">
        <v>14</v>
      </c>
      <c r="H1097" s="1">
        <v>3</v>
      </c>
      <c r="I1097" s="1">
        <v>5207</v>
      </c>
      <c r="J1097" t="s">
        <v>4</v>
      </c>
      <c r="K1097" s="1">
        <v>12</v>
      </c>
      <c r="L1097" s="1">
        <v>3</v>
      </c>
      <c r="M1097" s="1">
        <v>15</v>
      </c>
      <c r="N1097" s="1">
        <v>3</v>
      </c>
      <c r="O1097" s="1">
        <v>15</v>
      </c>
      <c r="P1097" s="1">
        <f>COUNTIF(HR_Data[Employee Number],HR_Data[[#This Row],[Employee Number]])</f>
        <v>1</v>
      </c>
      <c r="Q1097" s="1" t="str">
        <f>IF(HR_Data[[#This Row],[Years At Company]]&lt;=HR_Data[[#This Row],[Total Working Years]],"Valid","error")</f>
        <v>Valid</v>
      </c>
      <c r="R1097" s="1" t="str" cm="1">
        <f t="array" ref="R1097">_xlfn.IFS(HR_Data[[#This Row],[Age]]&lt;=30,"Young", HR_Data[[#This Row],[Age]]&lt;=45,"Mid-Age",HR_Data[[#This Row],[Age]]&gt;45,"Senior")</f>
        <v>Mid-Age</v>
      </c>
      <c r="S1097" s="1" t="str" cm="1">
        <f t="array" ref="S1097">_xlfn.IFS(HR_Data[[#This Row],[Monthly Income]]&lt;5000,"Low", HR_Data[[#This Row],[Monthly Income]]&lt;10000,"Medium",TRUE,"High")</f>
        <v>Medium</v>
      </c>
      <c r="T1097" s="1" t="str" cm="1">
        <f t="array" ref="T1097">_xlfn.IFS(HR_Data[[#This Row],[Total Working Years]]&lt;=5,"Junior", HR_Data[[#This Row],[Total Working Years]]&lt;=15,"Mid-Level", TRUE, "Senior")</f>
        <v>Mid-Level</v>
      </c>
    </row>
    <row r="1098" spans="1:20" x14ac:dyDescent="0.25">
      <c r="A1098" s="1">
        <v>1550</v>
      </c>
      <c r="B1098" s="1">
        <v>40</v>
      </c>
      <c r="C1098" t="s">
        <v>9</v>
      </c>
      <c r="D1098" t="s">
        <v>23</v>
      </c>
      <c r="E1098" t="s">
        <v>15</v>
      </c>
      <c r="F1098" t="s">
        <v>11</v>
      </c>
      <c r="G1098" t="s">
        <v>18</v>
      </c>
      <c r="H1098" s="1">
        <v>4</v>
      </c>
      <c r="I1098" s="1">
        <v>16437</v>
      </c>
      <c r="J1098" t="s">
        <v>4</v>
      </c>
      <c r="K1098" s="1">
        <v>21</v>
      </c>
      <c r="L1098" s="1">
        <v>4</v>
      </c>
      <c r="M1098" s="1">
        <v>21</v>
      </c>
      <c r="N1098" s="1">
        <v>3</v>
      </c>
      <c r="O1098" s="1">
        <v>21</v>
      </c>
      <c r="P1098" s="1">
        <f>COUNTIF(HR_Data[Employee Number],HR_Data[[#This Row],[Employee Number]])</f>
        <v>1</v>
      </c>
      <c r="Q1098" s="1" t="str">
        <f>IF(HR_Data[[#This Row],[Years At Company]]&lt;=HR_Data[[#This Row],[Total Working Years]],"Valid","error")</f>
        <v>Valid</v>
      </c>
      <c r="R1098" s="1" t="str" cm="1">
        <f t="array" ref="R1098">_xlfn.IFS(HR_Data[[#This Row],[Age]]&lt;=30,"Young", HR_Data[[#This Row],[Age]]&lt;=45,"Mid-Age",HR_Data[[#This Row],[Age]]&gt;45,"Senior")</f>
        <v>Mid-Age</v>
      </c>
      <c r="S1098" s="1" t="str" cm="1">
        <f t="array" ref="S1098">_xlfn.IFS(HR_Data[[#This Row],[Monthly Income]]&lt;5000,"Low", HR_Data[[#This Row],[Monthly Income]]&lt;10000,"Medium",TRUE,"High")</f>
        <v>High</v>
      </c>
      <c r="T1098" s="1" t="str" cm="1">
        <f t="array" ref="T1098">_xlfn.IFS(HR_Data[[#This Row],[Total Working Years]]&lt;=5,"Junior", HR_Data[[#This Row],[Total Working Years]]&lt;=15,"Mid-Level", TRUE, "Senior")</f>
        <v>Senior</v>
      </c>
    </row>
    <row r="1099" spans="1:20" x14ac:dyDescent="0.25">
      <c r="A1099" s="1">
        <v>1551</v>
      </c>
      <c r="B1099" s="1">
        <v>24</v>
      </c>
      <c r="C1099" t="s">
        <v>9</v>
      </c>
      <c r="D1099" t="s">
        <v>10</v>
      </c>
      <c r="E1099" t="s">
        <v>22</v>
      </c>
      <c r="F1099" t="s">
        <v>11</v>
      </c>
      <c r="G1099" t="s">
        <v>14</v>
      </c>
      <c r="H1099" s="1">
        <v>1</v>
      </c>
      <c r="I1099" s="1">
        <v>2296</v>
      </c>
      <c r="J1099" t="s">
        <v>9</v>
      </c>
      <c r="K1099" s="1">
        <v>14</v>
      </c>
      <c r="L1099" s="1">
        <v>3</v>
      </c>
      <c r="M1099" s="1">
        <v>2</v>
      </c>
      <c r="N1099" s="1">
        <v>3</v>
      </c>
      <c r="O1099" s="1">
        <v>1</v>
      </c>
      <c r="P1099" s="1">
        <f>COUNTIF(HR_Data[Employee Number],HR_Data[[#This Row],[Employee Number]])</f>
        <v>1</v>
      </c>
      <c r="Q1099" s="1" t="str">
        <f>IF(HR_Data[[#This Row],[Years At Company]]&lt;=HR_Data[[#This Row],[Total Working Years]],"Valid","error")</f>
        <v>Valid</v>
      </c>
      <c r="R1099" s="1" t="str" cm="1">
        <f t="array" ref="R1099">_xlfn.IFS(HR_Data[[#This Row],[Age]]&lt;=30,"Young", HR_Data[[#This Row],[Age]]&lt;=45,"Mid-Age",HR_Data[[#This Row],[Age]]&gt;45,"Senior")</f>
        <v>Young</v>
      </c>
      <c r="S1099" s="1" t="str" cm="1">
        <f t="array" ref="S1099">_xlfn.IFS(HR_Data[[#This Row],[Monthly Income]]&lt;5000,"Low", HR_Data[[#This Row],[Monthly Income]]&lt;10000,"Medium",TRUE,"High")</f>
        <v>Low</v>
      </c>
      <c r="T1099" s="1" t="str" cm="1">
        <f t="array" ref="T1099">_xlfn.IFS(HR_Data[[#This Row],[Total Working Years]]&lt;=5,"Junior", HR_Data[[#This Row],[Total Working Years]]&lt;=15,"Mid-Level", TRUE, "Senior")</f>
        <v>Junior</v>
      </c>
    </row>
    <row r="1100" spans="1:20" x14ac:dyDescent="0.25">
      <c r="A1100" s="1">
        <v>1552</v>
      </c>
      <c r="B1100" s="1">
        <v>40</v>
      </c>
      <c r="C1100" t="s">
        <v>9</v>
      </c>
      <c r="D1100" t="s">
        <v>10</v>
      </c>
      <c r="E1100" t="s">
        <v>6</v>
      </c>
      <c r="F1100" t="s">
        <v>11</v>
      </c>
      <c r="G1100" t="s">
        <v>17</v>
      </c>
      <c r="H1100" s="1">
        <v>4</v>
      </c>
      <c r="I1100" s="1">
        <v>4069</v>
      </c>
      <c r="J1100" t="s">
        <v>4</v>
      </c>
      <c r="K1100" s="1">
        <v>18</v>
      </c>
      <c r="L1100" s="1">
        <v>3</v>
      </c>
      <c r="M1100" s="1">
        <v>8</v>
      </c>
      <c r="N1100" s="1">
        <v>3</v>
      </c>
      <c r="O1100" s="1">
        <v>2</v>
      </c>
      <c r="P1100" s="1">
        <f>COUNTIF(HR_Data[Employee Number],HR_Data[[#This Row],[Employee Number]])</f>
        <v>1</v>
      </c>
      <c r="Q1100" s="1" t="str">
        <f>IF(HR_Data[[#This Row],[Years At Company]]&lt;=HR_Data[[#This Row],[Total Working Years]],"Valid","error")</f>
        <v>Valid</v>
      </c>
      <c r="R1100" s="1" t="str" cm="1">
        <f t="array" ref="R1100">_xlfn.IFS(HR_Data[[#This Row],[Age]]&lt;=30,"Young", HR_Data[[#This Row],[Age]]&lt;=45,"Mid-Age",HR_Data[[#This Row],[Age]]&gt;45,"Senior")</f>
        <v>Mid-Age</v>
      </c>
      <c r="S1100" s="1" t="str" cm="1">
        <f t="array" ref="S1100">_xlfn.IFS(HR_Data[[#This Row],[Monthly Income]]&lt;5000,"Low", HR_Data[[#This Row],[Monthly Income]]&lt;10000,"Medium",TRUE,"High")</f>
        <v>Low</v>
      </c>
      <c r="T1100" s="1" t="str" cm="1">
        <f t="array" ref="T1100">_xlfn.IFS(HR_Data[[#This Row],[Total Working Years]]&lt;=5,"Junior", HR_Data[[#This Row],[Total Working Years]]&lt;=15,"Mid-Level", TRUE, "Senior")</f>
        <v>Mid-Level</v>
      </c>
    </row>
    <row r="1101" spans="1:20" x14ac:dyDescent="0.25">
      <c r="A1101" s="1">
        <v>1553</v>
      </c>
      <c r="B1101" s="1">
        <v>45</v>
      </c>
      <c r="C1101" t="s">
        <v>9</v>
      </c>
      <c r="D1101" t="s">
        <v>10</v>
      </c>
      <c r="E1101" t="s">
        <v>22</v>
      </c>
      <c r="F1101" t="s">
        <v>11</v>
      </c>
      <c r="G1101" t="s">
        <v>17</v>
      </c>
      <c r="H1101" s="1">
        <v>2</v>
      </c>
      <c r="I1101" s="1">
        <v>7441</v>
      </c>
      <c r="J1101" t="s">
        <v>9</v>
      </c>
      <c r="K1101" s="1">
        <v>12</v>
      </c>
      <c r="L1101" s="1">
        <v>3</v>
      </c>
      <c r="M1101" s="1">
        <v>10</v>
      </c>
      <c r="N1101" s="1">
        <v>3</v>
      </c>
      <c r="O1101" s="1">
        <v>10</v>
      </c>
      <c r="P1101" s="1">
        <f>COUNTIF(HR_Data[Employee Number],HR_Data[[#This Row],[Employee Number]])</f>
        <v>1</v>
      </c>
      <c r="Q1101" s="1" t="str">
        <f>IF(HR_Data[[#This Row],[Years At Company]]&lt;=HR_Data[[#This Row],[Total Working Years]],"Valid","error")</f>
        <v>Valid</v>
      </c>
      <c r="R1101" s="1" t="str" cm="1">
        <f t="array" ref="R1101">_xlfn.IFS(HR_Data[[#This Row],[Age]]&lt;=30,"Young", HR_Data[[#This Row],[Age]]&lt;=45,"Mid-Age",HR_Data[[#This Row],[Age]]&gt;45,"Senior")</f>
        <v>Mid-Age</v>
      </c>
      <c r="S1101" s="1" t="str" cm="1">
        <f t="array" ref="S1101">_xlfn.IFS(HR_Data[[#This Row],[Monthly Income]]&lt;5000,"Low", HR_Data[[#This Row],[Monthly Income]]&lt;10000,"Medium",TRUE,"High")</f>
        <v>Medium</v>
      </c>
      <c r="T1101" s="1" t="str" cm="1">
        <f t="array" ref="T1101">_xlfn.IFS(HR_Data[[#This Row],[Total Working Years]]&lt;=5,"Junior", HR_Data[[#This Row],[Total Working Years]]&lt;=15,"Mid-Level", TRUE, "Senior")</f>
        <v>Mid-Level</v>
      </c>
    </row>
    <row r="1102" spans="1:20" x14ac:dyDescent="0.25">
      <c r="A1102" s="1">
        <v>1554</v>
      </c>
      <c r="B1102" s="1">
        <v>35</v>
      </c>
      <c r="C1102" t="s">
        <v>9</v>
      </c>
      <c r="D1102" t="s">
        <v>5</v>
      </c>
      <c r="E1102" t="s">
        <v>6</v>
      </c>
      <c r="F1102" t="s">
        <v>7</v>
      </c>
      <c r="G1102" t="s">
        <v>19</v>
      </c>
      <c r="H1102" s="1">
        <v>3</v>
      </c>
      <c r="I1102" s="1">
        <v>2430</v>
      </c>
      <c r="J1102" t="s">
        <v>9</v>
      </c>
      <c r="K1102" s="1">
        <v>23</v>
      </c>
      <c r="L1102" s="1">
        <v>4</v>
      </c>
      <c r="M1102" s="1">
        <v>6</v>
      </c>
      <c r="N1102" s="1">
        <v>3</v>
      </c>
      <c r="O1102" s="1">
        <v>5</v>
      </c>
      <c r="P1102" s="1">
        <f>COUNTIF(HR_Data[Employee Number],HR_Data[[#This Row],[Employee Number]])</f>
        <v>1</v>
      </c>
      <c r="Q1102" s="1" t="str">
        <f>IF(HR_Data[[#This Row],[Years At Company]]&lt;=HR_Data[[#This Row],[Total Working Years]],"Valid","error")</f>
        <v>Valid</v>
      </c>
      <c r="R1102" s="1" t="str" cm="1">
        <f t="array" ref="R1102">_xlfn.IFS(HR_Data[[#This Row],[Age]]&lt;=30,"Young", HR_Data[[#This Row],[Age]]&lt;=45,"Mid-Age",HR_Data[[#This Row],[Age]]&gt;45,"Senior")</f>
        <v>Mid-Age</v>
      </c>
      <c r="S1102" s="1" t="str" cm="1">
        <f t="array" ref="S1102">_xlfn.IFS(HR_Data[[#This Row],[Monthly Income]]&lt;5000,"Low", HR_Data[[#This Row],[Monthly Income]]&lt;10000,"Medium",TRUE,"High")</f>
        <v>Low</v>
      </c>
      <c r="T1102" s="1" t="str" cm="1">
        <f t="array" ref="T1102">_xlfn.IFS(HR_Data[[#This Row],[Total Working Years]]&lt;=5,"Junior", HR_Data[[#This Row],[Total Working Years]]&lt;=15,"Mid-Level", TRUE, "Senior")</f>
        <v>Mid-Level</v>
      </c>
    </row>
    <row r="1103" spans="1:20" x14ac:dyDescent="0.25">
      <c r="A1103" s="1">
        <v>1555</v>
      </c>
      <c r="B1103" s="1">
        <v>32</v>
      </c>
      <c r="C1103" t="s">
        <v>9</v>
      </c>
      <c r="D1103" t="s">
        <v>10</v>
      </c>
      <c r="E1103" t="s">
        <v>6</v>
      </c>
      <c r="F1103" t="s">
        <v>7</v>
      </c>
      <c r="G1103" t="s">
        <v>12</v>
      </c>
      <c r="H1103" s="1">
        <v>2</v>
      </c>
      <c r="I1103" s="1">
        <v>5878</v>
      </c>
      <c r="J1103" t="s">
        <v>9</v>
      </c>
      <c r="K1103" s="1">
        <v>12</v>
      </c>
      <c r="L1103" s="1">
        <v>3</v>
      </c>
      <c r="M1103" s="1">
        <v>12</v>
      </c>
      <c r="N1103" s="1">
        <v>3</v>
      </c>
      <c r="O1103" s="1">
        <v>7</v>
      </c>
      <c r="P1103" s="1">
        <f>COUNTIF(HR_Data[Employee Number],HR_Data[[#This Row],[Employee Number]])</f>
        <v>1</v>
      </c>
      <c r="Q1103" s="1" t="str">
        <f>IF(HR_Data[[#This Row],[Years At Company]]&lt;=HR_Data[[#This Row],[Total Working Years]],"Valid","error")</f>
        <v>Valid</v>
      </c>
      <c r="R1103" s="1" t="str" cm="1">
        <f t="array" ref="R1103">_xlfn.IFS(HR_Data[[#This Row],[Age]]&lt;=30,"Young", HR_Data[[#This Row],[Age]]&lt;=45,"Mid-Age",HR_Data[[#This Row],[Age]]&gt;45,"Senior")</f>
        <v>Mid-Age</v>
      </c>
      <c r="S1103" s="1" t="str" cm="1">
        <f t="array" ref="S1103">_xlfn.IFS(HR_Data[[#This Row],[Monthly Income]]&lt;5000,"Low", HR_Data[[#This Row],[Monthly Income]]&lt;10000,"Medium",TRUE,"High")</f>
        <v>Medium</v>
      </c>
      <c r="T1103" s="1" t="str" cm="1">
        <f t="array" ref="T1103">_xlfn.IFS(HR_Data[[#This Row],[Total Working Years]]&lt;=5,"Junior", HR_Data[[#This Row],[Total Working Years]]&lt;=15,"Mid-Level", TRUE, "Senior")</f>
        <v>Mid-Level</v>
      </c>
    </row>
    <row r="1104" spans="1:20" x14ac:dyDescent="0.25">
      <c r="A1104" s="1">
        <v>1556</v>
      </c>
      <c r="B1104" s="1">
        <v>36</v>
      </c>
      <c r="C1104" t="s">
        <v>9</v>
      </c>
      <c r="D1104" t="s">
        <v>5</v>
      </c>
      <c r="E1104" t="s">
        <v>6</v>
      </c>
      <c r="F1104" t="s">
        <v>11</v>
      </c>
      <c r="G1104" t="s">
        <v>19</v>
      </c>
      <c r="H1104" s="1">
        <v>4</v>
      </c>
      <c r="I1104" s="1">
        <v>2644</v>
      </c>
      <c r="J1104" t="s">
        <v>4</v>
      </c>
      <c r="K1104" s="1">
        <v>21</v>
      </c>
      <c r="L1104" s="1">
        <v>4</v>
      </c>
      <c r="M1104" s="1">
        <v>7</v>
      </c>
      <c r="N1104" s="1">
        <v>2</v>
      </c>
      <c r="O1104" s="1">
        <v>3</v>
      </c>
      <c r="P1104" s="1">
        <f>COUNTIF(HR_Data[Employee Number],HR_Data[[#This Row],[Employee Number]])</f>
        <v>1</v>
      </c>
      <c r="Q1104" s="1" t="str">
        <f>IF(HR_Data[[#This Row],[Years At Company]]&lt;=HR_Data[[#This Row],[Total Working Years]],"Valid","error")</f>
        <v>Valid</v>
      </c>
      <c r="R1104" s="1" t="str" cm="1">
        <f t="array" ref="R1104">_xlfn.IFS(HR_Data[[#This Row],[Age]]&lt;=30,"Young", HR_Data[[#This Row],[Age]]&lt;=45,"Mid-Age",HR_Data[[#This Row],[Age]]&gt;45,"Senior")</f>
        <v>Mid-Age</v>
      </c>
      <c r="S1104" s="1" t="str" cm="1">
        <f t="array" ref="S1104">_xlfn.IFS(HR_Data[[#This Row],[Monthly Income]]&lt;5000,"Low", HR_Data[[#This Row],[Monthly Income]]&lt;10000,"Medium",TRUE,"High")</f>
        <v>Low</v>
      </c>
      <c r="T1104" s="1" t="str" cm="1">
        <f t="array" ref="T1104">_xlfn.IFS(HR_Data[[#This Row],[Total Working Years]]&lt;=5,"Junior", HR_Data[[#This Row],[Total Working Years]]&lt;=15,"Mid-Level", TRUE, "Senior")</f>
        <v>Mid-Level</v>
      </c>
    </row>
    <row r="1105" spans="1:20" x14ac:dyDescent="0.25">
      <c r="A1105" s="1">
        <v>1557</v>
      </c>
      <c r="B1105" s="1">
        <v>48</v>
      </c>
      <c r="C1105" t="s">
        <v>9</v>
      </c>
      <c r="D1105" t="s">
        <v>5</v>
      </c>
      <c r="E1105" t="s">
        <v>6</v>
      </c>
      <c r="F1105" t="s">
        <v>7</v>
      </c>
      <c r="G1105" t="s">
        <v>8</v>
      </c>
      <c r="H1105" s="1">
        <v>3</v>
      </c>
      <c r="I1105" s="1">
        <v>6439</v>
      </c>
      <c r="J1105" t="s">
        <v>9</v>
      </c>
      <c r="K1105" s="1">
        <v>14</v>
      </c>
      <c r="L1105" s="1">
        <v>3</v>
      </c>
      <c r="M1105" s="1">
        <v>18</v>
      </c>
      <c r="N1105" s="1">
        <v>3</v>
      </c>
      <c r="O1105" s="1">
        <v>8</v>
      </c>
      <c r="P1105" s="1">
        <f>COUNTIF(HR_Data[Employee Number],HR_Data[[#This Row],[Employee Number]])</f>
        <v>1</v>
      </c>
      <c r="Q1105" s="1" t="str">
        <f>IF(HR_Data[[#This Row],[Years At Company]]&lt;=HR_Data[[#This Row],[Total Working Years]],"Valid","error")</f>
        <v>Valid</v>
      </c>
      <c r="R1105" s="1" t="str" cm="1">
        <f t="array" ref="R1105">_xlfn.IFS(HR_Data[[#This Row],[Age]]&lt;=30,"Young", HR_Data[[#This Row],[Age]]&lt;=45,"Mid-Age",HR_Data[[#This Row],[Age]]&gt;45,"Senior")</f>
        <v>Senior</v>
      </c>
      <c r="S1105" s="1" t="str" cm="1">
        <f t="array" ref="S1105">_xlfn.IFS(HR_Data[[#This Row],[Monthly Income]]&lt;5000,"Low", HR_Data[[#This Row],[Monthly Income]]&lt;10000,"Medium",TRUE,"High")</f>
        <v>Medium</v>
      </c>
      <c r="T1105" s="1" t="str" cm="1">
        <f t="array" ref="T1105">_xlfn.IFS(HR_Data[[#This Row],[Total Working Years]]&lt;=5,"Junior", HR_Data[[#This Row],[Total Working Years]]&lt;=15,"Mid-Level", TRUE, "Senior")</f>
        <v>Senior</v>
      </c>
    </row>
    <row r="1106" spans="1:20" x14ac:dyDescent="0.25">
      <c r="A1106" s="1">
        <v>1558</v>
      </c>
      <c r="B1106" s="1">
        <v>29</v>
      </c>
      <c r="C1106" t="s">
        <v>9</v>
      </c>
      <c r="D1106" t="s">
        <v>10</v>
      </c>
      <c r="E1106" t="s">
        <v>6</v>
      </c>
      <c r="F1106" t="s">
        <v>11</v>
      </c>
      <c r="G1106" t="s">
        <v>12</v>
      </c>
      <c r="H1106" s="1">
        <v>3</v>
      </c>
      <c r="I1106" s="1">
        <v>2451</v>
      </c>
      <c r="J1106" t="s">
        <v>9</v>
      </c>
      <c r="K1106" s="1">
        <v>18</v>
      </c>
      <c r="L1106" s="1">
        <v>3</v>
      </c>
      <c r="M1106" s="1">
        <v>5</v>
      </c>
      <c r="N1106" s="1">
        <v>2</v>
      </c>
      <c r="O1106" s="1">
        <v>1</v>
      </c>
      <c r="P1106" s="1">
        <f>COUNTIF(HR_Data[Employee Number],HR_Data[[#This Row],[Employee Number]])</f>
        <v>1</v>
      </c>
      <c r="Q1106" s="1" t="str">
        <f>IF(HR_Data[[#This Row],[Years At Company]]&lt;=HR_Data[[#This Row],[Total Working Years]],"Valid","error")</f>
        <v>Valid</v>
      </c>
      <c r="R1106" s="1" t="str" cm="1">
        <f t="array" ref="R1106">_xlfn.IFS(HR_Data[[#This Row],[Age]]&lt;=30,"Young", HR_Data[[#This Row],[Age]]&lt;=45,"Mid-Age",HR_Data[[#This Row],[Age]]&gt;45,"Senior")</f>
        <v>Young</v>
      </c>
      <c r="S1106" s="1" t="str" cm="1">
        <f t="array" ref="S1106">_xlfn.IFS(HR_Data[[#This Row],[Monthly Income]]&lt;5000,"Low", HR_Data[[#This Row],[Monthly Income]]&lt;10000,"Medium",TRUE,"High")</f>
        <v>Low</v>
      </c>
      <c r="T1106" s="1" t="str" cm="1">
        <f t="array" ref="T1106">_xlfn.IFS(HR_Data[[#This Row],[Total Working Years]]&lt;=5,"Junior", HR_Data[[#This Row],[Total Working Years]]&lt;=15,"Mid-Level", TRUE, "Senior")</f>
        <v>Junior</v>
      </c>
    </row>
    <row r="1107" spans="1:20" x14ac:dyDescent="0.25">
      <c r="A1107" s="1">
        <v>1560</v>
      </c>
      <c r="B1107" s="1">
        <v>33</v>
      </c>
      <c r="C1107" t="s">
        <v>9</v>
      </c>
      <c r="D1107" t="s">
        <v>5</v>
      </c>
      <c r="E1107" t="s">
        <v>6</v>
      </c>
      <c r="F1107" t="s">
        <v>11</v>
      </c>
      <c r="G1107" t="s">
        <v>8</v>
      </c>
      <c r="H1107" s="1">
        <v>1</v>
      </c>
      <c r="I1107" s="1">
        <v>6392</v>
      </c>
      <c r="J1107" t="s">
        <v>9</v>
      </c>
      <c r="K1107" s="1">
        <v>13</v>
      </c>
      <c r="L1107" s="1">
        <v>3</v>
      </c>
      <c r="M1107" s="1">
        <v>8</v>
      </c>
      <c r="N1107" s="1">
        <v>1</v>
      </c>
      <c r="O1107" s="1">
        <v>2</v>
      </c>
      <c r="P1107" s="1">
        <f>COUNTIF(HR_Data[Employee Number],HR_Data[[#This Row],[Employee Number]])</f>
        <v>1</v>
      </c>
      <c r="Q1107" s="1" t="str">
        <f>IF(HR_Data[[#This Row],[Years At Company]]&lt;=HR_Data[[#This Row],[Total Working Years]],"Valid","error")</f>
        <v>Valid</v>
      </c>
      <c r="R1107" s="1" t="str" cm="1">
        <f t="array" ref="R1107">_xlfn.IFS(HR_Data[[#This Row],[Age]]&lt;=30,"Young", HR_Data[[#This Row],[Age]]&lt;=45,"Mid-Age",HR_Data[[#This Row],[Age]]&gt;45,"Senior")</f>
        <v>Mid-Age</v>
      </c>
      <c r="S1107" s="1" t="str" cm="1">
        <f t="array" ref="S1107">_xlfn.IFS(HR_Data[[#This Row],[Monthly Income]]&lt;5000,"Low", HR_Data[[#This Row],[Monthly Income]]&lt;10000,"Medium",TRUE,"High")</f>
        <v>Medium</v>
      </c>
      <c r="T1107" s="1" t="str" cm="1">
        <f t="array" ref="T1107">_xlfn.IFS(HR_Data[[#This Row],[Total Working Years]]&lt;=5,"Junior", HR_Data[[#This Row],[Total Working Years]]&lt;=15,"Mid-Level", TRUE, "Senior")</f>
        <v>Mid-Level</v>
      </c>
    </row>
    <row r="1108" spans="1:20" x14ac:dyDescent="0.25">
      <c r="A1108" s="1">
        <v>1562</v>
      </c>
      <c r="B1108" s="1">
        <v>30</v>
      </c>
      <c r="C1108" t="s">
        <v>4</v>
      </c>
      <c r="D1108" t="s">
        <v>5</v>
      </c>
      <c r="E1108" t="s">
        <v>6</v>
      </c>
      <c r="F1108" t="s">
        <v>11</v>
      </c>
      <c r="G1108" t="s">
        <v>8</v>
      </c>
      <c r="H1108" s="1">
        <v>1</v>
      </c>
      <c r="I1108" s="1">
        <v>9714</v>
      </c>
      <c r="J1108" t="s">
        <v>9</v>
      </c>
      <c r="K1108" s="1">
        <v>11</v>
      </c>
      <c r="L1108" s="1">
        <v>3</v>
      </c>
      <c r="M1108" s="1">
        <v>10</v>
      </c>
      <c r="N1108" s="1">
        <v>3</v>
      </c>
      <c r="O1108" s="1">
        <v>10</v>
      </c>
      <c r="P1108" s="1">
        <f>COUNTIF(HR_Data[Employee Number],HR_Data[[#This Row],[Employee Number]])</f>
        <v>1</v>
      </c>
      <c r="Q1108" s="1" t="str">
        <f>IF(HR_Data[[#This Row],[Years At Company]]&lt;=HR_Data[[#This Row],[Total Working Years]],"Valid","error")</f>
        <v>Valid</v>
      </c>
      <c r="R1108" s="1" t="str" cm="1">
        <f t="array" ref="R1108">_xlfn.IFS(HR_Data[[#This Row],[Age]]&lt;=30,"Young", HR_Data[[#This Row],[Age]]&lt;=45,"Mid-Age",HR_Data[[#This Row],[Age]]&gt;45,"Senior")</f>
        <v>Young</v>
      </c>
      <c r="S1108" s="1" t="str" cm="1">
        <f t="array" ref="S1108">_xlfn.IFS(HR_Data[[#This Row],[Monthly Income]]&lt;5000,"Low", HR_Data[[#This Row],[Monthly Income]]&lt;10000,"Medium",TRUE,"High")</f>
        <v>Medium</v>
      </c>
      <c r="T1108" s="1" t="str" cm="1">
        <f t="array" ref="T1108">_xlfn.IFS(HR_Data[[#This Row],[Total Working Years]]&lt;=5,"Junior", HR_Data[[#This Row],[Total Working Years]]&lt;=15,"Mid-Level", TRUE, "Senior")</f>
        <v>Mid-Level</v>
      </c>
    </row>
    <row r="1109" spans="1:20" x14ac:dyDescent="0.25">
      <c r="A1109" s="1">
        <v>1563</v>
      </c>
      <c r="B1109" s="1">
        <v>38</v>
      </c>
      <c r="C1109" t="s">
        <v>9</v>
      </c>
      <c r="D1109" t="s">
        <v>23</v>
      </c>
      <c r="E1109" t="s">
        <v>23</v>
      </c>
      <c r="F1109" t="s">
        <v>11</v>
      </c>
      <c r="G1109" t="s">
        <v>23</v>
      </c>
      <c r="H1109" s="1">
        <v>3</v>
      </c>
      <c r="I1109" s="1">
        <v>6077</v>
      </c>
      <c r="J1109" t="s">
        <v>9</v>
      </c>
      <c r="K1109" s="1">
        <v>11</v>
      </c>
      <c r="L1109" s="1">
        <v>3</v>
      </c>
      <c r="M1109" s="1">
        <v>10</v>
      </c>
      <c r="N1109" s="1">
        <v>3</v>
      </c>
      <c r="O1109" s="1">
        <v>6</v>
      </c>
      <c r="P1109" s="1">
        <f>COUNTIF(HR_Data[Employee Number],HR_Data[[#This Row],[Employee Number]])</f>
        <v>1</v>
      </c>
      <c r="Q1109" s="1" t="str">
        <f>IF(HR_Data[[#This Row],[Years At Company]]&lt;=HR_Data[[#This Row],[Total Working Years]],"Valid","error")</f>
        <v>Valid</v>
      </c>
      <c r="R1109" s="1" t="str" cm="1">
        <f t="array" ref="R1109">_xlfn.IFS(HR_Data[[#This Row],[Age]]&lt;=30,"Young", HR_Data[[#This Row],[Age]]&lt;=45,"Mid-Age",HR_Data[[#This Row],[Age]]&gt;45,"Senior")</f>
        <v>Mid-Age</v>
      </c>
      <c r="S1109" s="1" t="str" cm="1">
        <f t="array" ref="S1109">_xlfn.IFS(HR_Data[[#This Row],[Monthly Income]]&lt;5000,"Low", HR_Data[[#This Row],[Monthly Income]]&lt;10000,"Medium",TRUE,"High")</f>
        <v>Medium</v>
      </c>
      <c r="T1109" s="1" t="str" cm="1">
        <f t="array" ref="T1109">_xlfn.IFS(HR_Data[[#This Row],[Total Working Years]]&lt;=5,"Junior", HR_Data[[#This Row],[Total Working Years]]&lt;=15,"Mid-Level", TRUE, "Senior")</f>
        <v>Mid-Level</v>
      </c>
    </row>
    <row r="1110" spans="1:20" x14ac:dyDescent="0.25">
      <c r="A1110" s="1">
        <v>1564</v>
      </c>
      <c r="B1110" s="1">
        <v>35</v>
      </c>
      <c r="C1110" t="s">
        <v>9</v>
      </c>
      <c r="D1110" t="s">
        <v>10</v>
      </c>
      <c r="E1110" t="s">
        <v>15</v>
      </c>
      <c r="F1110" t="s">
        <v>11</v>
      </c>
      <c r="G1110" t="s">
        <v>14</v>
      </c>
      <c r="H1110" s="1">
        <v>1</v>
      </c>
      <c r="I1110" s="1">
        <v>2450</v>
      </c>
      <c r="J1110" t="s">
        <v>9</v>
      </c>
      <c r="K1110" s="1">
        <v>19</v>
      </c>
      <c r="L1110" s="1">
        <v>3</v>
      </c>
      <c r="M1110" s="1">
        <v>3</v>
      </c>
      <c r="N1110" s="1">
        <v>3</v>
      </c>
      <c r="O1110" s="1">
        <v>3</v>
      </c>
      <c r="P1110" s="1">
        <f>COUNTIF(HR_Data[Employee Number],HR_Data[[#This Row],[Employee Number]])</f>
        <v>1</v>
      </c>
      <c r="Q1110" s="1" t="str">
        <f>IF(HR_Data[[#This Row],[Years At Company]]&lt;=HR_Data[[#This Row],[Total Working Years]],"Valid","error")</f>
        <v>Valid</v>
      </c>
      <c r="R1110" s="1" t="str" cm="1">
        <f t="array" ref="R1110">_xlfn.IFS(HR_Data[[#This Row],[Age]]&lt;=30,"Young", HR_Data[[#This Row],[Age]]&lt;=45,"Mid-Age",HR_Data[[#This Row],[Age]]&gt;45,"Senior")</f>
        <v>Mid-Age</v>
      </c>
      <c r="S1110" s="1" t="str" cm="1">
        <f t="array" ref="S1110">_xlfn.IFS(HR_Data[[#This Row],[Monthly Income]]&lt;5000,"Low", HR_Data[[#This Row],[Monthly Income]]&lt;10000,"Medium",TRUE,"High")</f>
        <v>Low</v>
      </c>
      <c r="T1110" s="1" t="str" cm="1">
        <f t="array" ref="T1110">_xlfn.IFS(HR_Data[[#This Row],[Total Working Years]]&lt;=5,"Junior", HR_Data[[#This Row],[Total Working Years]]&lt;=15,"Mid-Level", TRUE, "Senior")</f>
        <v>Junior</v>
      </c>
    </row>
    <row r="1111" spans="1:20" x14ac:dyDescent="0.25">
      <c r="A1111" s="1">
        <v>1568</v>
      </c>
      <c r="B1111" s="1">
        <v>30</v>
      </c>
      <c r="C1111" t="s">
        <v>9</v>
      </c>
      <c r="D1111" t="s">
        <v>5</v>
      </c>
      <c r="E1111" t="s">
        <v>22</v>
      </c>
      <c r="F1111" t="s">
        <v>11</v>
      </c>
      <c r="G1111" t="s">
        <v>8</v>
      </c>
      <c r="H1111" s="1">
        <v>2</v>
      </c>
      <c r="I1111" s="1">
        <v>9250</v>
      </c>
      <c r="J1111" t="s">
        <v>9</v>
      </c>
      <c r="K1111" s="1">
        <v>12</v>
      </c>
      <c r="L1111" s="1">
        <v>3</v>
      </c>
      <c r="M1111" s="1">
        <v>9</v>
      </c>
      <c r="N1111" s="1">
        <v>3</v>
      </c>
      <c r="O1111" s="1">
        <v>4</v>
      </c>
      <c r="P1111" s="1">
        <f>COUNTIF(HR_Data[Employee Number],HR_Data[[#This Row],[Employee Number]])</f>
        <v>1</v>
      </c>
      <c r="Q1111" s="1" t="str">
        <f>IF(HR_Data[[#This Row],[Years At Company]]&lt;=HR_Data[[#This Row],[Total Working Years]],"Valid","error")</f>
        <v>Valid</v>
      </c>
      <c r="R1111" s="1" t="str" cm="1">
        <f t="array" ref="R1111">_xlfn.IFS(HR_Data[[#This Row],[Age]]&lt;=30,"Young", HR_Data[[#This Row],[Age]]&lt;=45,"Mid-Age",HR_Data[[#This Row],[Age]]&gt;45,"Senior")</f>
        <v>Young</v>
      </c>
      <c r="S1111" s="1" t="str" cm="1">
        <f t="array" ref="S1111">_xlfn.IFS(HR_Data[[#This Row],[Monthly Income]]&lt;5000,"Low", HR_Data[[#This Row],[Monthly Income]]&lt;10000,"Medium",TRUE,"High")</f>
        <v>Medium</v>
      </c>
      <c r="T1111" s="1" t="str" cm="1">
        <f t="array" ref="T1111">_xlfn.IFS(HR_Data[[#This Row],[Total Working Years]]&lt;=5,"Junior", HR_Data[[#This Row],[Total Working Years]]&lt;=15,"Mid-Level", TRUE, "Senior")</f>
        <v>Mid-Level</v>
      </c>
    </row>
    <row r="1112" spans="1:20" x14ac:dyDescent="0.25">
      <c r="A1112" s="1">
        <v>1569</v>
      </c>
      <c r="B1112" s="1">
        <v>35</v>
      </c>
      <c r="C1112" t="s">
        <v>4</v>
      </c>
      <c r="D1112" t="s">
        <v>10</v>
      </c>
      <c r="E1112" t="s">
        <v>6</v>
      </c>
      <c r="F1112" t="s">
        <v>7</v>
      </c>
      <c r="G1112" t="s">
        <v>14</v>
      </c>
      <c r="H1112" s="1">
        <v>1</v>
      </c>
      <c r="I1112" s="1">
        <v>2074</v>
      </c>
      <c r="J1112" t="s">
        <v>4</v>
      </c>
      <c r="K1112" s="1">
        <v>12</v>
      </c>
      <c r="L1112" s="1">
        <v>3</v>
      </c>
      <c r="M1112" s="1">
        <v>1</v>
      </c>
      <c r="N1112" s="1">
        <v>3</v>
      </c>
      <c r="O1112" s="1">
        <v>1</v>
      </c>
      <c r="P1112" s="1">
        <f>COUNTIF(HR_Data[Employee Number],HR_Data[[#This Row],[Employee Number]])</f>
        <v>1</v>
      </c>
      <c r="Q1112" s="1" t="str">
        <f>IF(HR_Data[[#This Row],[Years At Company]]&lt;=HR_Data[[#This Row],[Total Working Years]],"Valid","error")</f>
        <v>Valid</v>
      </c>
      <c r="R1112" s="1" t="str" cm="1">
        <f t="array" ref="R1112">_xlfn.IFS(HR_Data[[#This Row],[Age]]&lt;=30,"Young", HR_Data[[#This Row],[Age]]&lt;=45,"Mid-Age",HR_Data[[#This Row],[Age]]&gt;45,"Senior")</f>
        <v>Mid-Age</v>
      </c>
      <c r="S1112" s="1" t="str" cm="1">
        <f t="array" ref="S1112">_xlfn.IFS(HR_Data[[#This Row],[Monthly Income]]&lt;5000,"Low", HR_Data[[#This Row],[Monthly Income]]&lt;10000,"Medium",TRUE,"High")</f>
        <v>Low</v>
      </c>
      <c r="T1112" s="1" t="str" cm="1">
        <f t="array" ref="T1112">_xlfn.IFS(HR_Data[[#This Row],[Total Working Years]]&lt;=5,"Junior", HR_Data[[#This Row],[Total Working Years]]&lt;=15,"Mid-Level", TRUE, "Senior")</f>
        <v>Junior</v>
      </c>
    </row>
    <row r="1113" spans="1:20" x14ac:dyDescent="0.25">
      <c r="A1113" s="1">
        <v>1572</v>
      </c>
      <c r="B1113" s="1">
        <v>53</v>
      </c>
      <c r="C1113" t="s">
        <v>4</v>
      </c>
      <c r="D1113" t="s">
        <v>10</v>
      </c>
      <c r="E1113" t="s">
        <v>22</v>
      </c>
      <c r="F1113" t="s">
        <v>7</v>
      </c>
      <c r="G1113" t="s">
        <v>16</v>
      </c>
      <c r="H1113" s="1">
        <v>4</v>
      </c>
      <c r="I1113" s="1">
        <v>10169</v>
      </c>
      <c r="J1113" t="s">
        <v>9</v>
      </c>
      <c r="K1113" s="1">
        <v>16</v>
      </c>
      <c r="L1113" s="1">
        <v>3</v>
      </c>
      <c r="M1113" s="1">
        <v>34</v>
      </c>
      <c r="N1113" s="1">
        <v>3</v>
      </c>
      <c r="O1113" s="1">
        <v>33</v>
      </c>
      <c r="P1113" s="1">
        <f>COUNTIF(HR_Data[Employee Number],HR_Data[[#This Row],[Employee Number]])</f>
        <v>1</v>
      </c>
      <c r="Q1113" s="1" t="str">
        <f>IF(HR_Data[[#This Row],[Years At Company]]&lt;=HR_Data[[#This Row],[Total Working Years]],"Valid","error")</f>
        <v>Valid</v>
      </c>
      <c r="R1113" s="1" t="str" cm="1">
        <f t="array" ref="R1113">_xlfn.IFS(HR_Data[[#This Row],[Age]]&lt;=30,"Young", HR_Data[[#This Row],[Age]]&lt;=45,"Mid-Age",HR_Data[[#This Row],[Age]]&gt;45,"Senior")</f>
        <v>Senior</v>
      </c>
      <c r="S1113" s="1" t="str" cm="1">
        <f t="array" ref="S1113">_xlfn.IFS(HR_Data[[#This Row],[Monthly Income]]&lt;5000,"Low", HR_Data[[#This Row],[Monthly Income]]&lt;10000,"Medium",TRUE,"High")</f>
        <v>High</v>
      </c>
      <c r="T1113" s="1" t="str" cm="1">
        <f t="array" ref="T1113">_xlfn.IFS(HR_Data[[#This Row],[Total Working Years]]&lt;=5,"Junior", HR_Data[[#This Row],[Total Working Years]]&lt;=15,"Mid-Level", TRUE, "Senior")</f>
        <v>Senior</v>
      </c>
    </row>
    <row r="1114" spans="1:20" x14ac:dyDescent="0.25">
      <c r="A1114" s="1">
        <v>1573</v>
      </c>
      <c r="B1114" s="1">
        <v>38</v>
      </c>
      <c r="C1114" t="s">
        <v>4</v>
      </c>
      <c r="D1114" t="s">
        <v>10</v>
      </c>
      <c r="E1114" t="s">
        <v>15</v>
      </c>
      <c r="F1114" t="s">
        <v>11</v>
      </c>
      <c r="G1114" t="s">
        <v>16</v>
      </c>
      <c r="H1114" s="1">
        <v>2</v>
      </c>
      <c r="I1114" s="1">
        <v>4855</v>
      </c>
      <c r="J1114" t="s">
        <v>9</v>
      </c>
      <c r="K1114" s="1">
        <v>11</v>
      </c>
      <c r="L1114" s="1">
        <v>3</v>
      </c>
      <c r="M1114" s="1">
        <v>7</v>
      </c>
      <c r="N1114" s="1">
        <v>3</v>
      </c>
      <c r="O1114" s="1">
        <v>5</v>
      </c>
      <c r="P1114" s="1">
        <f>COUNTIF(HR_Data[Employee Number],HR_Data[[#This Row],[Employee Number]])</f>
        <v>1</v>
      </c>
      <c r="Q1114" s="1" t="str">
        <f>IF(HR_Data[[#This Row],[Years At Company]]&lt;=HR_Data[[#This Row],[Total Working Years]],"Valid","error")</f>
        <v>Valid</v>
      </c>
      <c r="R1114" s="1" t="str" cm="1">
        <f t="array" ref="R1114">_xlfn.IFS(HR_Data[[#This Row],[Age]]&lt;=30,"Young", HR_Data[[#This Row],[Age]]&lt;=45,"Mid-Age",HR_Data[[#This Row],[Age]]&gt;45,"Senior")</f>
        <v>Mid-Age</v>
      </c>
      <c r="S1114" s="1" t="str" cm="1">
        <f t="array" ref="S1114">_xlfn.IFS(HR_Data[[#This Row],[Monthly Income]]&lt;5000,"Low", HR_Data[[#This Row],[Monthly Income]]&lt;10000,"Medium",TRUE,"High")</f>
        <v>Low</v>
      </c>
      <c r="T1114" s="1" t="str" cm="1">
        <f t="array" ref="T1114">_xlfn.IFS(HR_Data[[#This Row],[Total Working Years]]&lt;=5,"Junior", HR_Data[[#This Row],[Total Working Years]]&lt;=15,"Mid-Level", TRUE, "Senior")</f>
        <v>Mid-Level</v>
      </c>
    </row>
    <row r="1115" spans="1:20" x14ac:dyDescent="0.25">
      <c r="A1115" s="1">
        <v>1574</v>
      </c>
      <c r="B1115" s="1">
        <v>32</v>
      </c>
      <c r="C1115" t="s">
        <v>9</v>
      </c>
      <c r="D1115" t="s">
        <v>10</v>
      </c>
      <c r="E1115" t="s">
        <v>22</v>
      </c>
      <c r="F1115" t="s">
        <v>11</v>
      </c>
      <c r="G1115" t="s">
        <v>12</v>
      </c>
      <c r="H1115" s="1">
        <v>1</v>
      </c>
      <c r="I1115" s="1">
        <v>4087</v>
      </c>
      <c r="J1115" t="s">
        <v>9</v>
      </c>
      <c r="K1115" s="1">
        <v>14</v>
      </c>
      <c r="L1115" s="1">
        <v>3</v>
      </c>
      <c r="M1115" s="1">
        <v>9</v>
      </c>
      <c r="N1115" s="1">
        <v>2</v>
      </c>
      <c r="O1115" s="1">
        <v>6</v>
      </c>
      <c r="P1115" s="1">
        <f>COUNTIF(HR_Data[Employee Number],HR_Data[[#This Row],[Employee Number]])</f>
        <v>1</v>
      </c>
      <c r="Q1115" s="1" t="str">
        <f>IF(HR_Data[[#This Row],[Years At Company]]&lt;=HR_Data[[#This Row],[Total Working Years]],"Valid","error")</f>
        <v>Valid</v>
      </c>
      <c r="R1115" s="1" t="str" cm="1">
        <f t="array" ref="R1115">_xlfn.IFS(HR_Data[[#This Row],[Age]]&lt;=30,"Young", HR_Data[[#This Row],[Age]]&lt;=45,"Mid-Age",HR_Data[[#This Row],[Age]]&gt;45,"Senior")</f>
        <v>Mid-Age</v>
      </c>
      <c r="S1115" s="1" t="str" cm="1">
        <f t="array" ref="S1115">_xlfn.IFS(HR_Data[[#This Row],[Monthly Income]]&lt;5000,"Low", HR_Data[[#This Row],[Monthly Income]]&lt;10000,"Medium",TRUE,"High")</f>
        <v>Low</v>
      </c>
      <c r="T1115" s="1" t="str" cm="1">
        <f t="array" ref="T1115">_xlfn.IFS(HR_Data[[#This Row],[Total Working Years]]&lt;=5,"Junior", HR_Data[[#This Row],[Total Working Years]]&lt;=15,"Mid-Level", TRUE, "Senior")</f>
        <v>Mid-Level</v>
      </c>
    </row>
    <row r="1116" spans="1:20" x14ac:dyDescent="0.25">
      <c r="A1116" s="1">
        <v>1576</v>
      </c>
      <c r="B1116" s="1">
        <v>48</v>
      </c>
      <c r="C1116" t="s">
        <v>9</v>
      </c>
      <c r="D1116" t="s">
        <v>10</v>
      </c>
      <c r="E1116" t="s">
        <v>13</v>
      </c>
      <c r="F1116" t="s">
        <v>7</v>
      </c>
      <c r="G1116" t="s">
        <v>12</v>
      </c>
      <c r="H1116" s="1">
        <v>1</v>
      </c>
      <c r="I1116" s="1">
        <v>2367</v>
      </c>
      <c r="J1116" t="s">
        <v>9</v>
      </c>
      <c r="K1116" s="1">
        <v>12</v>
      </c>
      <c r="L1116" s="1">
        <v>3</v>
      </c>
      <c r="M1116" s="1">
        <v>10</v>
      </c>
      <c r="N1116" s="1">
        <v>2</v>
      </c>
      <c r="O1116" s="1">
        <v>8</v>
      </c>
      <c r="P1116" s="1">
        <f>COUNTIF(HR_Data[Employee Number],HR_Data[[#This Row],[Employee Number]])</f>
        <v>1</v>
      </c>
      <c r="Q1116" s="1" t="str">
        <f>IF(HR_Data[[#This Row],[Years At Company]]&lt;=HR_Data[[#This Row],[Total Working Years]],"Valid","error")</f>
        <v>Valid</v>
      </c>
      <c r="R1116" s="1" t="str" cm="1">
        <f t="array" ref="R1116">_xlfn.IFS(HR_Data[[#This Row],[Age]]&lt;=30,"Young", HR_Data[[#This Row],[Age]]&lt;=45,"Mid-Age",HR_Data[[#This Row],[Age]]&gt;45,"Senior")</f>
        <v>Senior</v>
      </c>
      <c r="S1116" s="1" t="str" cm="1">
        <f t="array" ref="S1116">_xlfn.IFS(HR_Data[[#This Row],[Monthly Income]]&lt;5000,"Low", HR_Data[[#This Row],[Monthly Income]]&lt;10000,"Medium",TRUE,"High")</f>
        <v>Low</v>
      </c>
      <c r="T1116" s="1" t="str" cm="1">
        <f t="array" ref="T1116">_xlfn.IFS(HR_Data[[#This Row],[Total Working Years]]&lt;=5,"Junior", HR_Data[[#This Row],[Total Working Years]]&lt;=15,"Mid-Level", TRUE, "Senior")</f>
        <v>Mid-Level</v>
      </c>
    </row>
    <row r="1117" spans="1:20" x14ac:dyDescent="0.25">
      <c r="A1117" s="1">
        <v>1577</v>
      </c>
      <c r="B1117" s="1">
        <v>34</v>
      </c>
      <c r="C1117" t="s">
        <v>9</v>
      </c>
      <c r="D1117" t="s">
        <v>10</v>
      </c>
      <c r="E1117" t="s">
        <v>15</v>
      </c>
      <c r="F1117" t="s">
        <v>11</v>
      </c>
      <c r="G1117" t="s">
        <v>12</v>
      </c>
      <c r="H1117" s="1">
        <v>4</v>
      </c>
      <c r="I1117" s="1">
        <v>2972</v>
      </c>
      <c r="J1117" t="s">
        <v>9</v>
      </c>
      <c r="K1117" s="1">
        <v>13</v>
      </c>
      <c r="L1117" s="1">
        <v>3</v>
      </c>
      <c r="M1117" s="1">
        <v>1</v>
      </c>
      <c r="N1117" s="1">
        <v>1</v>
      </c>
      <c r="O1117" s="1">
        <v>1</v>
      </c>
      <c r="P1117" s="1">
        <f>COUNTIF(HR_Data[Employee Number],HR_Data[[#This Row],[Employee Number]])</f>
        <v>1</v>
      </c>
      <c r="Q1117" s="1" t="str">
        <f>IF(HR_Data[[#This Row],[Years At Company]]&lt;=HR_Data[[#This Row],[Total Working Years]],"Valid","error")</f>
        <v>Valid</v>
      </c>
      <c r="R1117" s="1" t="str" cm="1">
        <f t="array" ref="R1117">_xlfn.IFS(HR_Data[[#This Row],[Age]]&lt;=30,"Young", HR_Data[[#This Row],[Age]]&lt;=45,"Mid-Age",HR_Data[[#This Row],[Age]]&gt;45,"Senior")</f>
        <v>Mid-Age</v>
      </c>
      <c r="S1117" s="1" t="str" cm="1">
        <f t="array" ref="S1117">_xlfn.IFS(HR_Data[[#This Row],[Monthly Income]]&lt;5000,"Low", HR_Data[[#This Row],[Monthly Income]]&lt;10000,"Medium",TRUE,"High")</f>
        <v>Low</v>
      </c>
      <c r="T1117" s="1" t="str" cm="1">
        <f t="array" ref="T1117">_xlfn.IFS(HR_Data[[#This Row],[Total Working Years]]&lt;=5,"Junior", HR_Data[[#This Row],[Total Working Years]]&lt;=15,"Mid-Level", TRUE, "Senior")</f>
        <v>Junior</v>
      </c>
    </row>
    <row r="1118" spans="1:20" x14ac:dyDescent="0.25">
      <c r="A1118" s="1">
        <v>1578</v>
      </c>
      <c r="B1118" s="1">
        <v>55</v>
      </c>
      <c r="C1118" t="s">
        <v>9</v>
      </c>
      <c r="D1118" t="s">
        <v>5</v>
      </c>
      <c r="E1118" t="s">
        <v>21</v>
      </c>
      <c r="F1118" t="s">
        <v>11</v>
      </c>
      <c r="G1118" t="s">
        <v>18</v>
      </c>
      <c r="H1118" s="1">
        <v>4</v>
      </c>
      <c r="I1118" s="1">
        <v>19586</v>
      </c>
      <c r="J1118" t="s">
        <v>9</v>
      </c>
      <c r="K1118" s="1">
        <v>21</v>
      </c>
      <c r="L1118" s="1">
        <v>4</v>
      </c>
      <c r="M1118" s="1">
        <v>36</v>
      </c>
      <c r="N1118" s="1">
        <v>3</v>
      </c>
      <c r="O1118" s="1">
        <v>36</v>
      </c>
      <c r="P1118" s="1">
        <f>COUNTIF(HR_Data[Employee Number],HR_Data[[#This Row],[Employee Number]])</f>
        <v>1</v>
      </c>
      <c r="Q1118" s="1" t="str">
        <f>IF(HR_Data[[#This Row],[Years At Company]]&lt;=HR_Data[[#This Row],[Total Working Years]],"Valid","error")</f>
        <v>Valid</v>
      </c>
      <c r="R1118" s="1" t="str" cm="1">
        <f t="array" ref="R1118">_xlfn.IFS(HR_Data[[#This Row],[Age]]&lt;=30,"Young", HR_Data[[#This Row],[Age]]&lt;=45,"Mid-Age",HR_Data[[#This Row],[Age]]&gt;45,"Senior")</f>
        <v>Senior</v>
      </c>
      <c r="S1118" s="1" t="str" cm="1">
        <f t="array" ref="S1118">_xlfn.IFS(HR_Data[[#This Row],[Monthly Income]]&lt;5000,"Low", HR_Data[[#This Row],[Monthly Income]]&lt;10000,"Medium",TRUE,"High")</f>
        <v>High</v>
      </c>
      <c r="T1118" s="1" t="str" cm="1">
        <f t="array" ref="T1118">_xlfn.IFS(HR_Data[[#This Row],[Total Working Years]]&lt;=5,"Junior", HR_Data[[#This Row],[Total Working Years]]&lt;=15,"Mid-Level", TRUE, "Senior")</f>
        <v>Senior</v>
      </c>
    </row>
    <row r="1119" spans="1:20" x14ac:dyDescent="0.25">
      <c r="A1119" s="1">
        <v>1580</v>
      </c>
      <c r="B1119" s="1">
        <v>34</v>
      </c>
      <c r="C1119" t="s">
        <v>9</v>
      </c>
      <c r="D1119" t="s">
        <v>10</v>
      </c>
      <c r="E1119" t="s">
        <v>6</v>
      </c>
      <c r="F1119" t="s">
        <v>11</v>
      </c>
      <c r="G1119" t="s">
        <v>12</v>
      </c>
      <c r="H1119" s="1">
        <v>4</v>
      </c>
      <c r="I1119" s="1">
        <v>5484</v>
      </c>
      <c r="J1119" t="s">
        <v>9</v>
      </c>
      <c r="K1119" s="1">
        <v>17</v>
      </c>
      <c r="L1119" s="1">
        <v>3</v>
      </c>
      <c r="M1119" s="1">
        <v>9</v>
      </c>
      <c r="N1119" s="1">
        <v>2</v>
      </c>
      <c r="O1119" s="1">
        <v>2</v>
      </c>
      <c r="P1119" s="1">
        <f>COUNTIF(HR_Data[Employee Number],HR_Data[[#This Row],[Employee Number]])</f>
        <v>1</v>
      </c>
      <c r="Q1119" s="1" t="str">
        <f>IF(HR_Data[[#This Row],[Years At Company]]&lt;=HR_Data[[#This Row],[Total Working Years]],"Valid","error")</f>
        <v>Valid</v>
      </c>
      <c r="R1119" s="1" t="str" cm="1">
        <f t="array" ref="R1119">_xlfn.IFS(HR_Data[[#This Row],[Age]]&lt;=30,"Young", HR_Data[[#This Row],[Age]]&lt;=45,"Mid-Age",HR_Data[[#This Row],[Age]]&gt;45,"Senior")</f>
        <v>Mid-Age</v>
      </c>
      <c r="S1119" s="1" t="str" cm="1">
        <f t="array" ref="S1119">_xlfn.IFS(HR_Data[[#This Row],[Monthly Income]]&lt;5000,"Low", HR_Data[[#This Row],[Monthly Income]]&lt;10000,"Medium",TRUE,"High")</f>
        <v>Medium</v>
      </c>
      <c r="T1119" s="1" t="str" cm="1">
        <f t="array" ref="T1119">_xlfn.IFS(HR_Data[[#This Row],[Total Working Years]]&lt;=5,"Junior", HR_Data[[#This Row],[Total Working Years]]&lt;=15,"Mid-Level", TRUE, "Senior")</f>
        <v>Mid-Level</v>
      </c>
    </row>
    <row r="1120" spans="1:20" x14ac:dyDescent="0.25">
      <c r="A1120" s="1">
        <v>1581</v>
      </c>
      <c r="B1120" s="1">
        <v>26</v>
      </c>
      <c r="C1120" t="s">
        <v>9</v>
      </c>
      <c r="D1120" t="s">
        <v>10</v>
      </c>
      <c r="E1120" t="s">
        <v>6</v>
      </c>
      <c r="F1120" t="s">
        <v>7</v>
      </c>
      <c r="G1120" t="s">
        <v>12</v>
      </c>
      <c r="H1120" s="1">
        <v>4</v>
      </c>
      <c r="I1120" s="1">
        <v>2061</v>
      </c>
      <c r="J1120" t="s">
        <v>9</v>
      </c>
      <c r="K1120" s="1">
        <v>21</v>
      </c>
      <c r="L1120" s="1">
        <v>4</v>
      </c>
      <c r="M1120" s="1">
        <v>1</v>
      </c>
      <c r="N1120" s="1">
        <v>3</v>
      </c>
      <c r="O1120" s="1">
        <v>1</v>
      </c>
      <c r="P1120" s="1">
        <f>COUNTIF(HR_Data[Employee Number],HR_Data[[#This Row],[Employee Number]])</f>
        <v>1</v>
      </c>
      <c r="Q1120" s="1" t="str">
        <f>IF(HR_Data[[#This Row],[Years At Company]]&lt;=HR_Data[[#This Row],[Total Working Years]],"Valid","error")</f>
        <v>Valid</v>
      </c>
      <c r="R1120" s="1" t="str" cm="1">
        <f t="array" ref="R1120">_xlfn.IFS(HR_Data[[#This Row],[Age]]&lt;=30,"Young", HR_Data[[#This Row],[Age]]&lt;=45,"Mid-Age",HR_Data[[#This Row],[Age]]&gt;45,"Senior")</f>
        <v>Young</v>
      </c>
      <c r="S1120" s="1" t="str" cm="1">
        <f t="array" ref="S1120">_xlfn.IFS(HR_Data[[#This Row],[Monthly Income]]&lt;5000,"Low", HR_Data[[#This Row],[Monthly Income]]&lt;10000,"Medium",TRUE,"High")</f>
        <v>Low</v>
      </c>
      <c r="T1120" s="1" t="str" cm="1">
        <f t="array" ref="T1120">_xlfn.IFS(HR_Data[[#This Row],[Total Working Years]]&lt;=5,"Junior", HR_Data[[#This Row],[Total Working Years]]&lt;=15,"Mid-Level", TRUE, "Senior")</f>
        <v>Junior</v>
      </c>
    </row>
    <row r="1121" spans="1:20" x14ac:dyDescent="0.25">
      <c r="A1121" s="1">
        <v>1582</v>
      </c>
      <c r="B1121" s="1">
        <v>38</v>
      </c>
      <c r="C1121" t="s">
        <v>9</v>
      </c>
      <c r="D1121" t="s">
        <v>5</v>
      </c>
      <c r="E1121" t="s">
        <v>6</v>
      </c>
      <c r="F1121" t="s">
        <v>11</v>
      </c>
      <c r="G1121" t="s">
        <v>8</v>
      </c>
      <c r="H1121" s="1">
        <v>2</v>
      </c>
      <c r="I1121" s="1">
        <v>9924</v>
      </c>
      <c r="J1121" t="s">
        <v>9</v>
      </c>
      <c r="K1121" s="1">
        <v>11</v>
      </c>
      <c r="L1121" s="1">
        <v>3</v>
      </c>
      <c r="M1121" s="1">
        <v>10</v>
      </c>
      <c r="N1121" s="1">
        <v>3</v>
      </c>
      <c r="O1121" s="1">
        <v>9</v>
      </c>
      <c r="P1121" s="1">
        <f>COUNTIF(HR_Data[Employee Number],HR_Data[[#This Row],[Employee Number]])</f>
        <v>1</v>
      </c>
      <c r="Q1121" s="1" t="str">
        <f>IF(HR_Data[[#This Row],[Years At Company]]&lt;=HR_Data[[#This Row],[Total Working Years]],"Valid","error")</f>
        <v>Valid</v>
      </c>
      <c r="R1121" s="1" t="str" cm="1">
        <f t="array" ref="R1121">_xlfn.IFS(HR_Data[[#This Row],[Age]]&lt;=30,"Young", HR_Data[[#This Row],[Age]]&lt;=45,"Mid-Age",HR_Data[[#This Row],[Age]]&gt;45,"Senior")</f>
        <v>Mid-Age</v>
      </c>
      <c r="S1121" s="1" t="str" cm="1">
        <f t="array" ref="S1121">_xlfn.IFS(HR_Data[[#This Row],[Monthly Income]]&lt;5000,"Low", HR_Data[[#This Row],[Monthly Income]]&lt;10000,"Medium",TRUE,"High")</f>
        <v>Medium</v>
      </c>
      <c r="T1121" s="1" t="str" cm="1">
        <f t="array" ref="T1121">_xlfn.IFS(HR_Data[[#This Row],[Total Working Years]]&lt;=5,"Junior", HR_Data[[#This Row],[Total Working Years]]&lt;=15,"Mid-Level", TRUE, "Senior")</f>
        <v>Mid-Level</v>
      </c>
    </row>
    <row r="1122" spans="1:20" x14ac:dyDescent="0.25">
      <c r="A1122" s="1">
        <v>1583</v>
      </c>
      <c r="B1122" s="1">
        <v>38</v>
      </c>
      <c r="C1122" t="s">
        <v>9</v>
      </c>
      <c r="D1122" t="s">
        <v>5</v>
      </c>
      <c r="E1122" t="s">
        <v>6</v>
      </c>
      <c r="F1122" t="s">
        <v>7</v>
      </c>
      <c r="G1122" t="s">
        <v>8</v>
      </c>
      <c r="H1122" s="1">
        <v>2</v>
      </c>
      <c r="I1122" s="1">
        <v>4198</v>
      </c>
      <c r="J1122" t="s">
        <v>9</v>
      </c>
      <c r="K1122" s="1">
        <v>12</v>
      </c>
      <c r="L1122" s="1">
        <v>3</v>
      </c>
      <c r="M1122" s="1">
        <v>8</v>
      </c>
      <c r="N1122" s="1">
        <v>4</v>
      </c>
      <c r="O1122" s="1">
        <v>3</v>
      </c>
      <c r="P1122" s="1">
        <f>COUNTIF(HR_Data[Employee Number],HR_Data[[#This Row],[Employee Number]])</f>
        <v>1</v>
      </c>
      <c r="Q1122" s="1" t="str">
        <f>IF(HR_Data[[#This Row],[Years At Company]]&lt;=HR_Data[[#This Row],[Total Working Years]],"Valid","error")</f>
        <v>Valid</v>
      </c>
      <c r="R1122" s="1" t="str" cm="1">
        <f t="array" ref="R1122">_xlfn.IFS(HR_Data[[#This Row],[Age]]&lt;=30,"Young", HR_Data[[#This Row],[Age]]&lt;=45,"Mid-Age",HR_Data[[#This Row],[Age]]&gt;45,"Senior")</f>
        <v>Mid-Age</v>
      </c>
      <c r="S1122" s="1" t="str" cm="1">
        <f t="array" ref="S1122">_xlfn.IFS(HR_Data[[#This Row],[Monthly Income]]&lt;5000,"Low", HR_Data[[#This Row],[Monthly Income]]&lt;10000,"Medium",TRUE,"High")</f>
        <v>Low</v>
      </c>
      <c r="T1122" s="1" t="str" cm="1">
        <f t="array" ref="T1122">_xlfn.IFS(HR_Data[[#This Row],[Total Working Years]]&lt;=5,"Junior", HR_Data[[#This Row],[Total Working Years]]&lt;=15,"Mid-Level", TRUE, "Senior")</f>
        <v>Mid-Level</v>
      </c>
    </row>
    <row r="1123" spans="1:20" x14ac:dyDescent="0.25">
      <c r="A1123" s="1">
        <v>1585</v>
      </c>
      <c r="B1123" s="1">
        <v>36</v>
      </c>
      <c r="C1123" t="s">
        <v>9</v>
      </c>
      <c r="D1123" t="s">
        <v>5</v>
      </c>
      <c r="E1123" t="s">
        <v>6</v>
      </c>
      <c r="F1123" t="s">
        <v>7</v>
      </c>
      <c r="G1123" t="s">
        <v>8</v>
      </c>
      <c r="H1123" s="1">
        <v>3</v>
      </c>
      <c r="I1123" s="1">
        <v>6815</v>
      </c>
      <c r="J1123" t="s">
        <v>9</v>
      </c>
      <c r="K1123" s="1">
        <v>13</v>
      </c>
      <c r="L1123" s="1">
        <v>3</v>
      </c>
      <c r="M1123" s="1">
        <v>15</v>
      </c>
      <c r="N1123" s="1">
        <v>3</v>
      </c>
      <c r="O1123" s="1">
        <v>1</v>
      </c>
      <c r="P1123" s="1">
        <f>COUNTIF(HR_Data[Employee Number],HR_Data[[#This Row],[Employee Number]])</f>
        <v>1</v>
      </c>
      <c r="Q1123" s="1" t="str">
        <f>IF(HR_Data[[#This Row],[Years At Company]]&lt;=HR_Data[[#This Row],[Total Working Years]],"Valid","error")</f>
        <v>Valid</v>
      </c>
      <c r="R1123" s="1" t="str" cm="1">
        <f t="array" ref="R1123">_xlfn.IFS(HR_Data[[#This Row],[Age]]&lt;=30,"Young", HR_Data[[#This Row],[Age]]&lt;=45,"Mid-Age",HR_Data[[#This Row],[Age]]&gt;45,"Senior")</f>
        <v>Mid-Age</v>
      </c>
      <c r="S1123" s="1" t="str" cm="1">
        <f t="array" ref="S1123">_xlfn.IFS(HR_Data[[#This Row],[Monthly Income]]&lt;5000,"Low", HR_Data[[#This Row],[Monthly Income]]&lt;10000,"Medium",TRUE,"High")</f>
        <v>Medium</v>
      </c>
      <c r="T1123" s="1" t="str" cm="1">
        <f t="array" ref="T1123">_xlfn.IFS(HR_Data[[#This Row],[Total Working Years]]&lt;=5,"Junior", HR_Data[[#This Row],[Total Working Years]]&lt;=15,"Mid-Level", TRUE, "Senior")</f>
        <v>Mid-Level</v>
      </c>
    </row>
    <row r="1124" spans="1:20" x14ac:dyDescent="0.25">
      <c r="A1124" s="1">
        <v>1586</v>
      </c>
      <c r="B1124" s="1">
        <v>29</v>
      </c>
      <c r="C1124" t="s">
        <v>9</v>
      </c>
      <c r="D1124" t="s">
        <v>10</v>
      </c>
      <c r="E1124" t="s">
        <v>15</v>
      </c>
      <c r="F1124" t="s">
        <v>11</v>
      </c>
      <c r="G1124" t="s">
        <v>14</v>
      </c>
      <c r="H1124" s="1">
        <v>1</v>
      </c>
      <c r="I1124" s="1">
        <v>4723</v>
      </c>
      <c r="J1124" t="s">
        <v>4</v>
      </c>
      <c r="K1124" s="1">
        <v>18</v>
      </c>
      <c r="L1124" s="1">
        <v>3</v>
      </c>
      <c r="M1124" s="1">
        <v>10</v>
      </c>
      <c r="N1124" s="1">
        <v>3</v>
      </c>
      <c r="O1124" s="1">
        <v>10</v>
      </c>
      <c r="P1124" s="1">
        <f>COUNTIF(HR_Data[Employee Number],HR_Data[[#This Row],[Employee Number]])</f>
        <v>1</v>
      </c>
      <c r="Q1124" s="1" t="str">
        <f>IF(HR_Data[[#This Row],[Years At Company]]&lt;=HR_Data[[#This Row],[Total Working Years]],"Valid","error")</f>
        <v>Valid</v>
      </c>
      <c r="R1124" s="1" t="str" cm="1">
        <f t="array" ref="R1124">_xlfn.IFS(HR_Data[[#This Row],[Age]]&lt;=30,"Young", HR_Data[[#This Row],[Age]]&lt;=45,"Mid-Age",HR_Data[[#This Row],[Age]]&gt;45,"Senior")</f>
        <v>Young</v>
      </c>
      <c r="S1124" s="1" t="str" cm="1">
        <f t="array" ref="S1124">_xlfn.IFS(HR_Data[[#This Row],[Monthly Income]]&lt;5000,"Low", HR_Data[[#This Row],[Monthly Income]]&lt;10000,"Medium",TRUE,"High")</f>
        <v>Low</v>
      </c>
      <c r="T1124" s="1" t="str" cm="1">
        <f t="array" ref="T1124">_xlfn.IFS(HR_Data[[#This Row],[Total Working Years]]&lt;=5,"Junior", HR_Data[[#This Row],[Total Working Years]]&lt;=15,"Mid-Level", TRUE, "Senior")</f>
        <v>Mid-Level</v>
      </c>
    </row>
    <row r="1125" spans="1:20" x14ac:dyDescent="0.25">
      <c r="A1125" s="1">
        <v>1587</v>
      </c>
      <c r="B1125" s="1">
        <v>35</v>
      </c>
      <c r="C1125" t="s">
        <v>9</v>
      </c>
      <c r="D1125" t="s">
        <v>10</v>
      </c>
      <c r="E1125" t="s">
        <v>15</v>
      </c>
      <c r="F1125" t="s">
        <v>7</v>
      </c>
      <c r="G1125" t="s">
        <v>17</v>
      </c>
      <c r="H1125" s="1">
        <v>3</v>
      </c>
      <c r="I1125" s="1">
        <v>6142</v>
      </c>
      <c r="J1125" t="s">
        <v>4</v>
      </c>
      <c r="K1125" s="1">
        <v>16</v>
      </c>
      <c r="L1125" s="1">
        <v>3</v>
      </c>
      <c r="M1125" s="1">
        <v>10</v>
      </c>
      <c r="N1125" s="1">
        <v>3</v>
      </c>
      <c r="O1125" s="1">
        <v>5</v>
      </c>
      <c r="P1125" s="1">
        <f>COUNTIF(HR_Data[Employee Number],HR_Data[[#This Row],[Employee Number]])</f>
        <v>1</v>
      </c>
      <c r="Q1125" s="1" t="str">
        <f>IF(HR_Data[[#This Row],[Years At Company]]&lt;=HR_Data[[#This Row],[Total Working Years]],"Valid","error")</f>
        <v>Valid</v>
      </c>
      <c r="R1125" s="1" t="str" cm="1">
        <f t="array" ref="R1125">_xlfn.IFS(HR_Data[[#This Row],[Age]]&lt;=30,"Young", HR_Data[[#This Row],[Age]]&lt;=45,"Mid-Age",HR_Data[[#This Row],[Age]]&gt;45,"Senior")</f>
        <v>Mid-Age</v>
      </c>
      <c r="S1125" s="1" t="str" cm="1">
        <f t="array" ref="S1125">_xlfn.IFS(HR_Data[[#This Row],[Monthly Income]]&lt;5000,"Low", HR_Data[[#This Row],[Monthly Income]]&lt;10000,"Medium",TRUE,"High")</f>
        <v>Medium</v>
      </c>
      <c r="T1125" s="1" t="str" cm="1">
        <f t="array" ref="T1125">_xlfn.IFS(HR_Data[[#This Row],[Total Working Years]]&lt;=5,"Junior", HR_Data[[#This Row],[Total Working Years]]&lt;=15,"Mid-Level", TRUE, "Senior")</f>
        <v>Mid-Level</v>
      </c>
    </row>
    <row r="1126" spans="1:20" x14ac:dyDescent="0.25">
      <c r="A1126" s="1">
        <v>1588</v>
      </c>
      <c r="B1126" s="1">
        <v>39</v>
      </c>
      <c r="C1126" t="s">
        <v>9</v>
      </c>
      <c r="D1126" t="s">
        <v>5</v>
      </c>
      <c r="E1126" t="s">
        <v>15</v>
      </c>
      <c r="F1126" t="s">
        <v>11</v>
      </c>
      <c r="G1126" t="s">
        <v>8</v>
      </c>
      <c r="H1126" s="1">
        <v>3</v>
      </c>
      <c r="I1126" s="1">
        <v>8237</v>
      </c>
      <c r="J1126" t="s">
        <v>9</v>
      </c>
      <c r="K1126" s="1">
        <v>11</v>
      </c>
      <c r="L1126" s="1">
        <v>3</v>
      </c>
      <c r="M1126" s="1">
        <v>11</v>
      </c>
      <c r="N1126" s="1">
        <v>3</v>
      </c>
      <c r="O1126" s="1">
        <v>7</v>
      </c>
      <c r="P1126" s="1">
        <f>COUNTIF(HR_Data[Employee Number],HR_Data[[#This Row],[Employee Number]])</f>
        <v>1</v>
      </c>
      <c r="Q1126" s="1" t="str">
        <f>IF(HR_Data[[#This Row],[Years At Company]]&lt;=HR_Data[[#This Row],[Total Working Years]],"Valid","error")</f>
        <v>Valid</v>
      </c>
      <c r="R1126" s="1" t="str" cm="1">
        <f t="array" ref="R1126">_xlfn.IFS(HR_Data[[#This Row],[Age]]&lt;=30,"Young", HR_Data[[#This Row],[Age]]&lt;=45,"Mid-Age",HR_Data[[#This Row],[Age]]&gt;45,"Senior")</f>
        <v>Mid-Age</v>
      </c>
      <c r="S1126" s="1" t="str" cm="1">
        <f t="array" ref="S1126">_xlfn.IFS(HR_Data[[#This Row],[Monthly Income]]&lt;5000,"Low", HR_Data[[#This Row],[Monthly Income]]&lt;10000,"Medium",TRUE,"High")</f>
        <v>Medium</v>
      </c>
      <c r="T1126" s="1" t="str" cm="1">
        <f t="array" ref="T1126">_xlfn.IFS(HR_Data[[#This Row],[Total Working Years]]&lt;=5,"Junior", HR_Data[[#This Row],[Total Working Years]]&lt;=15,"Mid-Level", TRUE, "Senior")</f>
        <v>Mid-Level</v>
      </c>
    </row>
    <row r="1127" spans="1:20" x14ac:dyDescent="0.25">
      <c r="A1127" s="1">
        <v>1590</v>
      </c>
      <c r="B1127" s="1">
        <v>29</v>
      </c>
      <c r="C1127" t="s">
        <v>9</v>
      </c>
      <c r="D1127" t="s">
        <v>10</v>
      </c>
      <c r="E1127" t="s">
        <v>6</v>
      </c>
      <c r="F1127" t="s">
        <v>11</v>
      </c>
      <c r="G1127" t="s">
        <v>17</v>
      </c>
      <c r="H1127" s="1">
        <v>4</v>
      </c>
      <c r="I1127" s="1">
        <v>8853</v>
      </c>
      <c r="J1127" t="s">
        <v>9</v>
      </c>
      <c r="K1127" s="1">
        <v>19</v>
      </c>
      <c r="L1127" s="1">
        <v>3</v>
      </c>
      <c r="M1127" s="1">
        <v>6</v>
      </c>
      <c r="N1127" s="1">
        <v>4</v>
      </c>
      <c r="O1127" s="1">
        <v>6</v>
      </c>
      <c r="P1127" s="1">
        <f>COUNTIF(HR_Data[Employee Number],HR_Data[[#This Row],[Employee Number]])</f>
        <v>1</v>
      </c>
      <c r="Q1127" s="1" t="str">
        <f>IF(HR_Data[[#This Row],[Years At Company]]&lt;=HR_Data[[#This Row],[Total Working Years]],"Valid","error")</f>
        <v>Valid</v>
      </c>
      <c r="R1127" s="1" t="str" cm="1">
        <f t="array" ref="R1127">_xlfn.IFS(HR_Data[[#This Row],[Age]]&lt;=30,"Young", HR_Data[[#This Row],[Age]]&lt;=45,"Mid-Age",HR_Data[[#This Row],[Age]]&gt;45,"Senior")</f>
        <v>Young</v>
      </c>
      <c r="S1127" s="1" t="str" cm="1">
        <f t="array" ref="S1127">_xlfn.IFS(HR_Data[[#This Row],[Monthly Income]]&lt;5000,"Low", HR_Data[[#This Row],[Monthly Income]]&lt;10000,"Medium",TRUE,"High")</f>
        <v>Medium</v>
      </c>
      <c r="T1127" s="1" t="str" cm="1">
        <f t="array" ref="T1127">_xlfn.IFS(HR_Data[[#This Row],[Total Working Years]]&lt;=5,"Junior", HR_Data[[#This Row],[Total Working Years]]&lt;=15,"Mid-Level", TRUE, "Senior")</f>
        <v>Mid-Level</v>
      </c>
    </row>
    <row r="1128" spans="1:20" x14ac:dyDescent="0.25">
      <c r="A1128" s="1">
        <v>1591</v>
      </c>
      <c r="B1128" s="1">
        <v>50</v>
      </c>
      <c r="C1128" t="s">
        <v>9</v>
      </c>
      <c r="D1128" t="s">
        <v>5</v>
      </c>
      <c r="E1128" t="s">
        <v>21</v>
      </c>
      <c r="F1128" t="s">
        <v>11</v>
      </c>
      <c r="G1128" t="s">
        <v>18</v>
      </c>
      <c r="H1128" s="1">
        <v>3</v>
      </c>
      <c r="I1128" s="1">
        <v>19331</v>
      </c>
      <c r="J1128" t="s">
        <v>4</v>
      </c>
      <c r="K1128" s="1">
        <v>16</v>
      </c>
      <c r="L1128" s="1">
        <v>3</v>
      </c>
      <c r="M1128" s="1">
        <v>27</v>
      </c>
      <c r="N1128" s="1">
        <v>3</v>
      </c>
      <c r="O1128" s="1">
        <v>1</v>
      </c>
      <c r="P1128" s="1">
        <f>COUNTIF(HR_Data[Employee Number],HR_Data[[#This Row],[Employee Number]])</f>
        <v>1</v>
      </c>
      <c r="Q1128" s="1" t="str">
        <f>IF(HR_Data[[#This Row],[Years At Company]]&lt;=HR_Data[[#This Row],[Total Working Years]],"Valid","error")</f>
        <v>Valid</v>
      </c>
      <c r="R1128" s="1" t="str" cm="1">
        <f t="array" ref="R1128">_xlfn.IFS(HR_Data[[#This Row],[Age]]&lt;=30,"Young", HR_Data[[#This Row],[Age]]&lt;=45,"Mid-Age",HR_Data[[#This Row],[Age]]&gt;45,"Senior")</f>
        <v>Senior</v>
      </c>
      <c r="S1128" s="1" t="str" cm="1">
        <f t="array" ref="S1128">_xlfn.IFS(HR_Data[[#This Row],[Monthly Income]]&lt;5000,"Low", HR_Data[[#This Row],[Monthly Income]]&lt;10000,"Medium",TRUE,"High")</f>
        <v>High</v>
      </c>
      <c r="T1128" s="1" t="str" cm="1">
        <f t="array" ref="T1128">_xlfn.IFS(HR_Data[[#This Row],[Total Working Years]]&lt;=5,"Junior", HR_Data[[#This Row],[Total Working Years]]&lt;=15,"Mid-Level", TRUE, "Senior")</f>
        <v>Senior</v>
      </c>
    </row>
    <row r="1129" spans="1:20" x14ac:dyDescent="0.25">
      <c r="A1129" s="1">
        <v>1592</v>
      </c>
      <c r="B1129" s="1">
        <v>23</v>
      </c>
      <c r="C1129" t="s">
        <v>9</v>
      </c>
      <c r="D1129" t="s">
        <v>10</v>
      </c>
      <c r="E1129" t="s">
        <v>22</v>
      </c>
      <c r="F1129" t="s">
        <v>11</v>
      </c>
      <c r="G1129" t="s">
        <v>12</v>
      </c>
      <c r="H1129" s="1">
        <v>3</v>
      </c>
      <c r="I1129" s="1">
        <v>2073</v>
      </c>
      <c r="J1129" t="s">
        <v>9</v>
      </c>
      <c r="K1129" s="1">
        <v>16</v>
      </c>
      <c r="L1129" s="1">
        <v>3</v>
      </c>
      <c r="M1129" s="1">
        <v>4</v>
      </c>
      <c r="N1129" s="1">
        <v>3</v>
      </c>
      <c r="O1129" s="1">
        <v>2</v>
      </c>
      <c r="P1129" s="1">
        <f>COUNTIF(HR_Data[Employee Number],HR_Data[[#This Row],[Employee Number]])</f>
        <v>1</v>
      </c>
      <c r="Q1129" s="1" t="str">
        <f>IF(HR_Data[[#This Row],[Years At Company]]&lt;=HR_Data[[#This Row],[Total Working Years]],"Valid","error")</f>
        <v>Valid</v>
      </c>
      <c r="R1129" s="1" t="str" cm="1">
        <f t="array" ref="R1129">_xlfn.IFS(HR_Data[[#This Row],[Age]]&lt;=30,"Young", HR_Data[[#This Row],[Age]]&lt;=45,"Mid-Age",HR_Data[[#This Row],[Age]]&gt;45,"Senior")</f>
        <v>Young</v>
      </c>
      <c r="S1129" s="1" t="str" cm="1">
        <f t="array" ref="S1129">_xlfn.IFS(HR_Data[[#This Row],[Monthly Income]]&lt;5000,"Low", HR_Data[[#This Row],[Monthly Income]]&lt;10000,"Medium",TRUE,"High")</f>
        <v>Low</v>
      </c>
      <c r="T1129" s="1" t="str" cm="1">
        <f t="array" ref="T1129">_xlfn.IFS(HR_Data[[#This Row],[Total Working Years]]&lt;=5,"Junior", HR_Data[[#This Row],[Total Working Years]]&lt;=15,"Mid-Level", TRUE, "Senior")</f>
        <v>Junior</v>
      </c>
    </row>
    <row r="1130" spans="1:20" x14ac:dyDescent="0.25">
      <c r="A1130" s="1">
        <v>1594</v>
      </c>
      <c r="B1130" s="1">
        <v>36</v>
      </c>
      <c r="C1130" t="s">
        <v>9</v>
      </c>
      <c r="D1130" t="s">
        <v>10</v>
      </c>
      <c r="E1130" t="s">
        <v>6</v>
      </c>
      <c r="F1130" t="s">
        <v>11</v>
      </c>
      <c r="G1130" t="s">
        <v>14</v>
      </c>
      <c r="H1130" s="1">
        <v>1</v>
      </c>
      <c r="I1130" s="1">
        <v>5562</v>
      </c>
      <c r="J1130" t="s">
        <v>4</v>
      </c>
      <c r="K1130" s="1">
        <v>13</v>
      </c>
      <c r="L1130" s="1">
        <v>3</v>
      </c>
      <c r="M1130" s="1">
        <v>9</v>
      </c>
      <c r="N1130" s="1">
        <v>3</v>
      </c>
      <c r="O1130" s="1">
        <v>3</v>
      </c>
      <c r="P1130" s="1">
        <f>COUNTIF(HR_Data[Employee Number],HR_Data[[#This Row],[Employee Number]])</f>
        <v>1</v>
      </c>
      <c r="Q1130" s="1" t="str">
        <f>IF(HR_Data[[#This Row],[Years At Company]]&lt;=HR_Data[[#This Row],[Total Working Years]],"Valid","error")</f>
        <v>Valid</v>
      </c>
      <c r="R1130" s="1" t="str" cm="1">
        <f t="array" ref="R1130">_xlfn.IFS(HR_Data[[#This Row],[Age]]&lt;=30,"Young", HR_Data[[#This Row],[Age]]&lt;=45,"Mid-Age",HR_Data[[#This Row],[Age]]&gt;45,"Senior")</f>
        <v>Mid-Age</v>
      </c>
      <c r="S1130" s="1" t="str" cm="1">
        <f t="array" ref="S1130">_xlfn.IFS(HR_Data[[#This Row],[Monthly Income]]&lt;5000,"Low", HR_Data[[#This Row],[Monthly Income]]&lt;10000,"Medium",TRUE,"High")</f>
        <v>Medium</v>
      </c>
      <c r="T1130" s="1" t="str" cm="1">
        <f t="array" ref="T1130">_xlfn.IFS(HR_Data[[#This Row],[Total Working Years]]&lt;=5,"Junior", HR_Data[[#This Row],[Total Working Years]]&lt;=15,"Mid-Level", TRUE, "Senior")</f>
        <v>Mid-Level</v>
      </c>
    </row>
    <row r="1131" spans="1:20" x14ac:dyDescent="0.25">
      <c r="A1131" s="1">
        <v>1595</v>
      </c>
      <c r="B1131" s="1">
        <v>42</v>
      </c>
      <c r="C1131" t="s">
        <v>9</v>
      </c>
      <c r="D1131" t="s">
        <v>10</v>
      </c>
      <c r="E1131" t="s">
        <v>13</v>
      </c>
      <c r="F1131" t="s">
        <v>11</v>
      </c>
      <c r="G1131" t="s">
        <v>18</v>
      </c>
      <c r="H1131" s="1">
        <v>4</v>
      </c>
      <c r="I1131" s="1">
        <v>19613</v>
      </c>
      <c r="J1131" t="s">
        <v>9</v>
      </c>
      <c r="K1131" s="1">
        <v>22</v>
      </c>
      <c r="L1131" s="1">
        <v>4</v>
      </c>
      <c r="M1131" s="1">
        <v>24</v>
      </c>
      <c r="N1131" s="1">
        <v>3</v>
      </c>
      <c r="O1131" s="1">
        <v>1</v>
      </c>
      <c r="P1131" s="1">
        <f>COUNTIF(HR_Data[Employee Number],HR_Data[[#This Row],[Employee Number]])</f>
        <v>1</v>
      </c>
      <c r="Q1131" s="1" t="str">
        <f>IF(HR_Data[[#This Row],[Years At Company]]&lt;=HR_Data[[#This Row],[Total Working Years]],"Valid","error")</f>
        <v>Valid</v>
      </c>
      <c r="R1131" s="1" t="str" cm="1">
        <f t="array" ref="R1131">_xlfn.IFS(HR_Data[[#This Row],[Age]]&lt;=30,"Young", HR_Data[[#This Row],[Age]]&lt;=45,"Mid-Age",HR_Data[[#This Row],[Age]]&gt;45,"Senior")</f>
        <v>Mid-Age</v>
      </c>
      <c r="S1131" s="1" t="str" cm="1">
        <f t="array" ref="S1131">_xlfn.IFS(HR_Data[[#This Row],[Monthly Income]]&lt;5000,"Low", HR_Data[[#This Row],[Monthly Income]]&lt;10000,"Medium",TRUE,"High")</f>
        <v>High</v>
      </c>
      <c r="T1131" s="1" t="str" cm="1">
        <f t="array" ref="T1131">_xlfn.IFS(HR_Data[[#This Row],[Total Working Years]]&lt;=5,"Junior", HR_Data[[#This Row],[Total Working Years]]&lt;=15,"Mid-Level", TRUE, "Senior")</f>
        <v>Senior</v>
      </c>
    </row>
    <row r="1132" spans="1:20" x14ac:dyDescent="0.25">
      <c r="A1132" s="1">
        <v>1596</v>
      </c>
      <c r="B1132" s="1">
        <v>35</v>
      </c>
      <c r="C1132" t="s">
        <v>9</v>
      </c>
      <c r="D1132" t="s">
        <v>10</v>
      </c>
      <c r="E1132" t="s">
        <v>6</v>
      </c>
      <c r="F1132" t="s">
        <v>11</v>
      </c>
      <c r="G1132" t="s">
        <v>14</v>
      </c>
      <c r="H1132" s="1">
        <v>3</v>
      </c>
      <c r="I1132" s="1">
        <v>3407</v>
      </c>
      <c r="J1132" t="s">
        <v>9</v>
      </c>
      <c r="K1132" s="1">
        <v>17</v>
      </c>
      <c r="L1132" s="1">
        <v>3</v>
      </c>
      <c r="M1132" s="1">
        <v>10</v>
      </c>
      <c r="N1132" s="1">
        <v>2</v>
      </c>
      <c r="O1132" s="1">
        <v>10</v>
      </c>
      <c r="P1132" s="1">
        <f>COUNTIF(HR_Data[Employee Number],HR_Data[[#This Row],[Employee Number]])</f>
        <v>1</v>
      </c>
      <c r="Q1132" s="1" t="str">
        <f>IF(HR_Data[[#This Row],[Years At Company]]&lt;=HR_Data[[#This Row],[Total Working Years]],"Valid","error")</f>
        <v>Valid</v>
      </c>
      <c r="R1132" s="1" t="str" cm="1">
        <f t="array" ref="R1132">_xlfn.IFS(HR_Data[[#This Row],[Age]]&lt;=30,"Young", HR_Data[[#This Row],[Age]]&lt;=45,"Mid-Age",HR_Data[[#This Row],[Age]]&gt;45,"Senior")</f>
        <v>Mid-Age</v>
      </c>
      <c r="S1132" s="1" t="str" cm="1">
        <f t="array" ref="S1132">_xlfn.IFS(HR_Data[[#This Row],[Monthly Income]]&lt;5000,"Low", HR_Data[[#This Row],[Monthly Income]]&lt;10000,"Medium",TRUE,"High")</f>
        <v>Low</v>
      </c>
      <c r="T1132" s="1" t="str" cm="1">
        <f t="array" ref="T1132">_xlfn.IFS(HR_Data[[#This Row],[Total Working Years]]&lt;=5,"Junior", HR_Data[[#This Row],[Total Working Years]]&lt;=15,"Mid-Level", TRUE, "Senior")</f>
        <v>Mid-Level</v>
      </c>
    </row>
    <row r="1133" spans="1:20" x14ac:dyDescent="0.25">
      <c r="A1133" s="1">
        <v>1597</v>
      </c>
      <c r="B1133" s="1">
        <v>34</v>
      </c>
      <c r="C1133" t="s">
        <v>9</v>
      </c>
      <c r="D1133" t="s">
        <v>10</v>
      </c>
      <c r="E1133" t="s">
        <v>22</v>
      </c>
      <c r="F1133" t="s">
        <v>11</v>
      </c>
      <c r="G1133" t="s">
        <v>17</v>
      </c>
      <c r="H1133" s="1">
        <v>3</v>
      </c>
      <c r="I1133" s="1">
        <v>5063</v>
      </c>
      <c r="J1133" t="s">
        <v>9</v>
      </c>
      <c r="K1133" s="1">
        <v>14</v>
      </c>
      <c r="L1133" s="1">
        <v>3</v>
      </c>
      <c r="M1133" s="1">
        <v>8</v>
      </c>
      <c r="N1133" s="1">
        <v>2</v>
      </c>
      <c r="O1133" s="1">
        <v>8</v>
      </c>
      <c r="P1133" s="1">
        <f>COUNTIF(HR_Data[Employee Number],HR_Data[[#This Row],[Employee Number]])</f>
        <v>1</v>
      </c>
      <c r="Q1133" s="1" t="str">
        <f>IF(HR_Data[[#This Row],[Years At Company]]&lt;=HR_Data[[#This Row],[Total Working Years]],"Valid","error")</f>
        <v>Valid</v>
      </c>
      <c r="R1133" s="1" t="str" cm="1">
        <f t="array" ref="R1133">_xlfn.IFS(HR_Data[[#This Row],[Age]]&lt;=30,"Young", HR_Data[[#This Row],[Age]]&lt;=45,"Mid-Age",HR_Data[[#This Row],[Age]]&gt;45,"Senior")</f>
        <v>Mid-Age</v>
      </c>
      <c r="S1133" s="1" t="str" cm="1">
        <f t="array" ref="S1133">_xlfn.IFS(HR_Data[[#This Row],[Monthly Income]]&lt;5000,"Low", HR_Data[[#This Row],[Monthly Income]]&lt;10000,"Medium",TRUE,"High")</f>
        <v>Medium</v>
      </c>
      <c r="T1133" s="1" t="str" cm="1">
        <f t="array" ref="T1133">_xlfn.IFS(HR_Data[[#This Row],[Total Working Years]]&lt;=5,"Junior", HR_Data[[#This Row],[Total Working Years]]&lt;=15,"Mid-Level", TRUE, "Senior")</f>
        <v>Mid-Level</v>
      </c>
    </row>
    <row r="1134" spans="1:20" x14ac:dyDescent="0.25">
      <c r="A1134" s="1">
        <v>1598</v>
      </c>
      <c r="B1134" s="1">
        <v>40</v>
      </c>
      <c r="C1134" t="s">
        <v>9</v>
      </c>
      <c r="D1134" t="s">
        <v>5</v>
      </c>
      <c r="E1134" t="s">
        <v>6</v>
      </c>
      <c r="F1134" t="s">
        <v>7</v>
      </c>
      <c r="G1134" t="s">
        <v>8</v>
      </c>
      <c r="H1134" s="1">
        <v>1</v>
      </c>
      <c r="I1134" s="1">
        <v>4639</v>
      </c>
      <c r="J1134" t="s">
        <v>9</v>
      </c>
      <c r="K1134" s="1">
        <v>15</v>
      </c>
      <c r="L1134" s="1">
        <v>3</v>
      </c>
      <c r="M1134" s="1">
        <v>5</v>
      </c>
      <c r="N1134" s="1">
        <v>3</v>
      </c>
      <c r="O1134" s="1">
        <v>5</v>
      </c>
      <c r="P1134" s="1">
        <f>COUNTIF(HR_Data[Employee Number],HR_Data[[#This Row],[Employee Number]])</f>
        <v>1</v>
      </c>
      <c r="Q1134" s="1" t="str">
        <f>IF(HR_Data[[#This Row],[Years At Company]]&lt;=HR_Data[[#This Row],[Total Working Years]],"Valid","error")</f>
        <v>Valid</v>
      </c>
      <c r="R1134" s="1" t="str" cm="1">
        <f t="array" ref="R1134">_xlfn.IFS(HR_Data[[#This Row],[Age]]&lt;=30,"Young", HR_Data[[#This Row],[Age]]&lt;=45,"Mid-Age",HR_Data[[#This Row],[Age]]&gt;45,"Senior")</f>
        <v>Mid-Age</v>
      </c>
      <c r="S1134" s="1" t="str" cm="1">
        <f t="array" ref="S1134">_xlfn.IFS(HR_Data[[#This Row],[Monthly Income]]&lt;5000,"Low", HR_Data[[#This Row],[Monthly Income]]&lt;10000,"Medium",TRUE,"High")</f>
        <v>Low</v>
      </c>
      <c r="T1134" s="1" t="str" cm="1">
        <f t="array" ref="T1134">_xlfn.IFS(HR_Data[[#This Row],[Total Working Years]]&lt;=5,"Junior", HR_Data[[#This Row],[Total Working Years]]&lt;=15,"Mid-Level", TRUE, "Senior")</f>
        <v>Junior</v>
      </c>
    </row>
    <row r="1135" spans="1:20" x14ac:dyDescent="0.25">
      <c r="A1135" s="1">
        <v>1599</v>
      </c>
      <c r="B1135" s="1">
        <v>43</v>
      </c>
      <c r="C1135" t="s">
        <v>9</v>
      </c>
      <c r="D1135" t="s">
        <v>10</v>
      </c>
      <c r="E1135" t="s">
        <v>22</v>
      </c>
      <c r="F1135" t="s">
        <v>11</v>
      </c>
      <c r="G1135" t="s">
        <v>14</v>
      </c>
      <c r="H1135" s="1">
        <v>2</v>
      </c>
      <c r="I1135" s="1">
        <v>4876</v>
      </c>
      <c r="J1135" t="s">
        <v>9</v>
      </c>
      <c r="K1135" s="1">
        <v>12</v>
      </c>
      <c r="L1135" s="1">
        <v>3</v>
      </c>
      <c r="M1135" s="1">
        <v>8</v>
      </c>
      <c r="N1135" s="1">
        <v>3</v>
      </c>
      <c r="O1135" s="1">
        <v>6</v>
      </c>
      <c r="P1135" s="1">
        <f>COUNTIF(HR_Data[Employee Number],HR_Data[[#This Row],[Employee Number]])</f>
        <v>1</v>
      </c>
      <c r="Q1135" s="1" t="str">
        <f>IF(HR_Data[[#This Row],[Years At Company]]&lt;=HR_Data[[#This Row],[Total Working Years]],"Valid","error")</f>
        <v>Valid</v>
      </c>
      <c r="R1135" s="1" t="str" cm="1">
        <f t="array" ref="R1135">_xlfn.IFS(HR_Data[[#This Row],[Age]]&lt;=30,"Young", HR_Data[[#This Row],[Age]]&lt;=45,"Mid-Age",HR_Data[[#This Row],[Age]]&gt;45,"Senior")</f>
        <v>Mid-Age</v>
      </c>
      <c r="S1135" s="1" t="str" cm="1">
        <f t="array" ref="S1135">_xlfn.IFS(HR_Data[[#This Row],[Monthly Income]]&lt;5000,"Low", HR_Data[[#This Row],[Monthly Income]]&lt;10000,"Medium",TRUE,"High")</f>
        <v>Low</v>
      </c>
      <c r="T1135" s="1" t="str" cm="1">
        <f t="array" ref="T1135">_xlfn.IFS(HR_Data[[#This Row],[Total Working Years]]&lt;=5,"Junior", HR_Data[[#This Row],[Total Working Years]]&lt;=15,"Mid-Level", TRUE, "Senior")</f>
        <v>Mid-Level</v>
      </c>
    </row>
    <row r="1136" spans="1:20" x14ac:dyDescent="0.25">
      <c r="A1136" s="1">
        <v>1601</v>
      </c>
      <c r="B1136" s="1">
        <v>35</v>
      </c>
      <c r="C1136" t="s">
        <v>9</v>
      </c>
      <c r="D1136" t="s">
        <v>10</v>
      </c>
      <c r="E1136" t="s">
        <v>6</v>
      </c>
      <c r="F1136" t="s">
        <v>11</v>
      </c>
      <c r="G1136" t="s">
        <v>14</v>
      </c>
      <c r="H1136" s="1">
        <v>4</v>
      </c>
      <c r="I1136" s="1">
        <v>2690</v>
      </c>
      <c r="J1136" t="s">
        <v>9</v>
      </c>
      <c r="K1136" s="1">
        <v>18</v>
      </c>
      <c r="L1136" s="1">
        <v>3</v>
      </c>
      <c r="M1136" s="1">
        <v>1</v>
      </c>
      <c r="N1136" s="1">
        <v>2</v>
      </c>
      <c r="O1136" s="1">
        <v>1</v>
      </c>
      <c r="P1136" s="1">
        <f>COUNTIF(HR_Data[Employee Number],HR_Data[[#This Row],[Employee Number]])</f>
        <v>1</v>
      </c>
      <c r="Q1136" s="1" t="str">
        <f>IF(HR_Data[[#This Row],[Years At Company]]&lt;=HR_Data[[#This Row],[Total Working Years]],"Valid","error")</f>
        <v>Valid</v>
      </c>
      <c r="R1136" s="1" t="str" cm="1">
        <f t="array" ref="R1136">_xlfn.IFS(HR_Data[[#This Row],[Age]]&lt;=30,"Young", HR_Data[[#This Row],[Age]]&lt;=45,"Mid-Age",HR_Data[[#This Row],[Age]]&gt;45,"Senior")</f>
        <v>Mid-Age</v>
      </c>
      <c r="S1136" s="1" t="str" cm="1">
        <f t="array" ref="S1136">_xlfn.IFS(HR_Data[[#This Row],[Monthly Income]]&lt;5000,"Low", HR_Data[[#This Row],[Monthly Income]]&lt;10000,"Medium",TRUE,"High")</f>
        <v>Low</v>
      </c>
      <c r="T1136" s="1" t="str" cm="1">
        <f t="array" ref="T1136">_xlfn.IFS(HR_Data[[#This Row],[Total Working Years]]&lt;=5,"Junior", HR_Data[[#This Row],[Total Working Years]]&lt;=15,"Mid-Level", TRUE, "Senior")</f>
        <v>Junior</v>
      </c>
    </row>
    <row r="1137" spans="1:20" x14ac:dyDescent="0.25">
      <c r="A1137" s="1">
        <v>1602</v>
      </c>
      <c r="B1137" s="1">
        <v>46</v>
      </c>
      <c r="C1137" t="s">
        <v>9</v>
      </c>
      <c r="D1137" t="s">
        <v>5</v>
      </c>
      <c r="E1137" t="s">
        <v>6</v>
      </c>
      <c r="F1137" t="s">
        <v>11</v>
      </c>
      <c r="G1137" t="s">
        <v>18</v>
      </c>
      <c r="H1137" s="1">
        <v>1</v>
      </c>
      <c r="I1137" s="1">
        <v>17567</v>
      </c>
      <c r="J1137" t="s">
        <v>9</v>
      </c>
      <c r="K1137" s="1">
        <v>15</v>
      </c>
      <c r="L1137" s="1">
        <v>3</v>
      </c>
      <c r="M1137" s="1">
        <v>27</v>
      </c>
      <c r="N1137" s="1">
        <v>1</v>
      </c>
      <c r="O1137" s="1">
        <v>26</v>
      </c>
      <c r="P1137" s="1">
        <f>COUNTIF(HR_Data[Employee Number],HR_Data[[#This Row],[Employee Number]])</f>
        <v>1</v>
      </c>
      <c r="Q1137" s="1" t="str">
        <f>IF(HR_Data[[#This Row],[Years At Company]]&lt;=HR_Data[[#This Row],[Total Working Years]],"Valid","error")</f>
        <v>Valid</v>
      </c>
      <c r="R1137" s="1" t="str" cm="1">
        <f t="array" ref="R1137">_xlfn.IFS(HR_Data[[#This Row],[Age]]&lt;=30,"Young", HR_Data[[#This Row],[Age]]&lt;=45,"Mid-Age",HR_Data[[#This Row],[Age]]&gt;45,"Senior")</f>
        <v>Senior</v>
      </c>
      <c r="S1137" s="1" t="str" cm="1">
        <f t="array" ref="S1137">_xlfn.IFS(HR_Data[[#This Row],[Monthly Income]]&lt;5000,"Low", HR_Data[[#This Row],[Monthly Income]]&lt;10000,"Medium",TRUE,"High")</f>
        <v>High</v>
      </c>
      <c r="T1137" s="1" t="str" cm="1">
        <f t="array" ref="T1137">_xlfn.IFS(HR_Data[[#This Row],[Total Working Years]]&lt;=5,"Junior", HR_Data[[#This Row],[Total Working Years]]&lt;=15,"Mid-Level", TRUE, "Senior")</f>
        <v>Senior</v>
      </c>
    </row>
    <row r="1138" spans="1:20" x14ac:dyDescent="0.25">
      <c r="A1138" s="1">
        <v>1604</v>
      </c>
      <c r="B1138" s="1">
        <v>28</v>
      </c>
      <c r="C1138" t="s">
        <v>4</v>
      </c>
      <c r="D1138" t="s">
        <v>10</v>
      </c>
      <c r="E1138" t="s">
        <v>15</v>
      </c>
      <c r="F1138" t="s">
        <v>11</v>
      </c>
      <c r="G1138" t="s">
        <v>14</v>
      </c>
      <c r="H1138" s="1">
        <v>2</v>
      </c>
      <c r="I1138" s="1">
        <v>2408</v>
      </c>
      <c r="J1138" t="s">
        <v>4</v>
      </c>
      <c r="K1138" s="1">
        <v>17</v>
      </c>
      <c r="L1138" s="1">
        <v>3</v>
      </c>
      <c r="M1138" s="1">
        <v>1</v>
      </c>
      <c r="N1138" s="1">
        <v>3</v>
      </c>
      <c r="O1138" s="1">
        <v>1</v>
      </c>
      <c r="P1138" s="1">
        <f>COUNTIF(HR_Data[Employee Number],HR_Data[[#This Row],[Employee Number]])</f>
        <v>1</v>
      </c>
      <c r="Q1138" s="1" t="str">
        <f>IF(HR_Data[[#This Row],[Years At Company]]&lt;=HR_Data[[#This Row],[Total Working Years]],"Valid","error")</f>
        <v>Valid</v>
      </c>
      <c r="R1138" s="1" t="str" cm="1">
        <f t="array" ref="R1138">_xlfn.IFS(HR_Data[[#This Row],[Age]]&lt;=30,"Young", HR_Data[[#This Row],[Age]]&lt;=45,"Mid-Age",HR_Data[[#This Row],[Age]]&gt;45,"Senior")</f>
        <v>Young</v>
      </c>
      <c r="S1138" s="1" t="str" cm="1">
        <f t="array" ref="S1138">_xlfn.IFS(HR_Data[[#This Row],[Monthly Income]]&lt;5000,"Low", HR_Data[[#This Row],[Monthly Income]]&lt;10000,"Medium",TRUE,"High")</f>
        <v>Low</v>
      </c>
      <c r="T1138" s="1" t="str" cm="1">
        <f t="array" ref="T1138">_xlfn.IFS(HR_Data[[#This Row],[Total Working Years]]&lt;=5,"Junior", HR_Data[[#This Row],[Total Working Years]]&lt;=15,"Mid-Level", TRUE, "Senior")</f>
        <v>Junior</v>
      </c>
    </row>
    <row r="1139" spans="1:20" x14ac:dyDescent="0.25">
      <c r="A1139" s="1">
        <v>1605</v>
      </c>
      <c r="B1139" s="1">
        <v>22</v>
      </c>
      <c r="C1139" t="s">
        <v>9</v>
      </c>
      <c r="D1139" t="s">
        <v>10</v>
      </c>
      <c r="E1139" t="s">
        <v>13</v>
      </c>
      <c r="F1139" t="s">
        <v>7</v>
      </c>
      <c r="G1139" t="s">
        <v>12</v>
      </c>
      <c r="H1139" s="1">
        <v>3</v>
      </c>
      <c r="I1139" s="1">
        <v>2814</v>
      </c>
      <c r="J1139" t="s">
        <v>4</v>
      </c>
      <c r="K1139" s="1">
        <v>14</v>
      </c>
      <c r="L1139" s="1">
        <v>3</v>
      </c>
      <c r="M1139" s="1">
        <v>4</v>
      </c>
      <c r="N1139" s="1">
        <v>2</v>
      </c>
      <c r="O1139" s="1">
        <v>4</v>
      </c>
      <c r="P1139" s="1">
        <f>COUNTIF(HR_Data[Employee Number],HR_Data[[#This Row],[Employee Number]])</f>
        <v>1</v>
      </c>
      <c r="Q1139" s="1" t="str">
        <f>IF(HR_Data[[#This Row],[Years At Company]]&lt;=HR_Data[[#This Row],[Total Working Years]],"Valid","error")</f>
        <v>Valid</v>
      </c>
      <c r="R1139" s="1" t="str" cm="1">
        <f t="array" ref="R1139">_xlfn.IFS(HR_Data[[#This Row],[Age]]&lt;=30,"Young", HR_Data[[#This Row],[Age]]&lt;=45,"Mid-Age",HR_Data[[#This Row],[Age]]&gt;45,"Senior")</f>
        <v>Young</v>
      </c>
      <c r="S1139" s="1" t="str" cm="1">
        <f t="array" ref="S1139">_xlfn.IFS(HR_Data[[#This Row],[Monthly Income]]&lt;5000,"Low", HR_Data[[#This Row],[Monthly Income]]&lt;10000,"Medium",TRUE,"High")</f>
        <v>Low</v>
      </c>
      <c r="T1139" s="1" t="str" cm="1">
        <f t="array" ref="T1139">_xlfn.IFS(HR_Data[[#This Row],[Total Working Years]]&lt;=5,"Junior", HR_Data[[#This Row],[Total Working Years]]&lt;=15,"Mid-Level", TRUE, "Senior")</f>
        <v>Junior</v>
      </c>
    </row>
    <row r="1140" spans="1:20" x14ac:dyDescent="0.25">
      <c r="A1140" s="1">
        <v>1606</v>
      </c>
      <c r="B1140" s="1">
        <v>50</v>
      </c>
      <c r="C1140" t="s">
        <v>9</v>
      </c>
      <c r="D1140" t="s">
        <v>10</v>
      </c>
      <c r="E1140" t="s">
        <v>15</v>
      </c>
      <c r="F1140" t="s">
        <v>11</v>
      </c>
      <c r="G1140" t="s">
        <v>17</v>
      </c>
      <c r="H1140" s="1">
        <v>3</v>
      </c>
      <c r="I1140" s="1">
        <v>11245</v>
      </c>
      <c r="J1140" t="s">
        <v>4</v>
      </c>
      <c r="K1140" s="1">
        <v>15</v>
      </c>
      <c r="L1140" s="1">
        <v>3</v>
      </c>
      <c r="M1140" s="1">
        <v>32</v>
      </c>
      <c r="N1140" s="1">
        <v>3</v>
      </c>
      <c r="O1140" s="1">
        <v>30</v>
      </c>
      <c r="P1140" s="1">
        <f>COUNTIF(HR_Data[Employee Number],HR_Data[[#This Row],[Employee Number]])</f>
        <v>1</v>
      </c>
      <c r="Q1140" s="1" t="str">
        <f>IF(HR_Data[[#This Row],[Years At Company]]&lt;=HR_Data[[#This Row],[Total Working Years]],"Valid","error")</f>
        <v>Valid</v>
      </c>
      <c r="R1140" s="1" t="str" cm="1">
        <f t="array" ref="R1140">_xlfn.IFS(HR_Data[[#This Row],[Age]]&lt;=30,"Young", HR_Data[[#This Row],[Age]]&lt;=45,"Mid-Age",HR_Data[[#This Row],[Age]]&gt;45,"Senior")</f>
        <v>Senior</v>
      </c>
      <c r="S1140" s="1" t="str" cm="1">
        <f t="array" ref="S1140">_xlfn.IFS(HR_Data[[#This Row],[Monthly Income]]&lt;5000,"Low", HR_Data[[#This Row],[Monthly Income]]&lt;10000,"Medium",TRUE,"High")</f>
        <v>High</v>
      </c>
      <c r="T1140" s="1" t="str" cm="1">
        <f t="array" ref="T1140">_xlfn.IFS(HR_Data[[#This Row],[Total Working Years]]&lt;=5,"Junior", HR_Data[[#This Row],[Total Working Years]]&lt;=15,"Mid-Level", TRUE, "Senior")</f>
        <v>Senior</v>
      </c>
    </row>
    <row r="1141" spans="1:20" x14ac:dyDescent="0.25">
      <c r="A1141" s="1">
        <v>1607</v>
      </c>
      <c r="B1141" s="1">
        <v>32</v>
      </c>
      <c r="C1141" t="s">
        <v>9</v>
      </c>
      <c r="D1141" t="s">
        <v>10</v>
      </c>
      <c r="E1141" t="s">
        <v>13</v>
      </c>
      <c r="F1141" t="s">
        <v>7</v>
      </c>
      <c r="G1141" t="s">
        <v>12</v>
      </c>
      <c r="H1141" s="1">
        <v>4</v>
      </c>
      <c r="I1141" s="1">
        <v>3312</v>
      </c>
      <c r="J1141" t="s">
        <v>9</v>
      </c>
      <c r="K1141" s="1">
        <v>17</v>
      </c>
      <c r="L1141" s="1">
        <v>3</v>
      </c>
      <c r="M1141" s="1">
        <v>6</v>
      </c>
      <c r="N1141" s="1">
        <v>3</v>
      </c>
      <c r="O1141" s="1">
        <v>3</v>
      </c>
      <c r="P1141" s="1">
        <f>COUNTIF(HR_Data[Employee Number],HR_Data[[#This Row],[Employee Number]])</f>
        <v>1</v>
      </c>
      <c r="Q1141" s="1" t="str">
        <f>IF(HR_Data[[#This Row],[Years At Company]]&lt;=HR_Data[[#This Row],[Total Working Years]],"Valid","error")</f>
        <v>Valid</v>
      </c>
      <c r="R1141" s="1" t="str" cm="1">
        <f t="array" ref="R1141">_xlfn.IFS(HR_Data[[#This Row],[Age]]&lt;=30,"Young", HR_Data[[#This Row],[Age]]&lt;=45,"Mid-Age",HR_Data[[#This Row],[Age]]&gt;45,"Senior")</f>
        <v>Mid-Age</v>
      </c>
      <c r="S1141" s="1" t="str" cm="1">
        <f t="array" ref="S1141">_xlfn.IFS(HR_Data[[#This Row],[Monthly Income]]&lt;5000,"Low", HR_Data[[#This Row],[Monthly Income]]&lt;10000,"Medium",TRUE,"High")</f>
        <v>Low</v>
      </c>
      <c r="T1141" s="1" t="str" cm="1">
        <f t="array" ref="T1141">_xlfn.IFS(HR_Data[[#This Row],[Total Working Years]]&lt;=5,"Junior", HR_Data[[#This Row],[Total Working Years]]&lt;=15,"Mid-Level", TRUE, "Senior")</f>
        <v>Mid-Level</v>
      </c>
    </row>
    <row r="1142" spans="1:20" x14ac:dyDescent="0.25">
      <c r="A1142" s="1">
        <v>1608</v>
      </c>
      <c r="B1142" s="1">
        <v>44</v>
      </c>
      <c r="C1142" t="s">
        <v>9</v>
      </c>
      <c r="D1142" t="s">
        <v>10</v>
      </c>
      <c r="E1142" t="s">
        <v>15</v>
      </c>
      <c r="F1142" t="s">
        <v>7</v>
      </c>
      <c r="G1142" t="s">
        <v>20</v>
      </c>
      <c r="H1142" s="1">
        <v>4</v>
      </c>
      <c r="I1142" s="1">
        <v>19049</v>
      </c>
      <c r="J1142" t="s">
        <v>4</v>
      </c>
      <c r="K1142" s="1">
        <v>14</v>
      </c>
      <c r="L1142" s="1">
        <v>3</v>
      </c>
      <c r="M1142" s="1">
        <v>23</v>
      </c>
      <c r="N1142" s="1">
        <v>2</v>
      </c>
      <c r="O1142" s="1">
        <v>22</v>
      </c>
      <c r="P1142" s="1">
        <f>COUNTIF(HR_Data[Employee Number],HR_Data[[#This Row],[Employee Number]])</f>
        <v>1</v>
      </c>
      <c r="Q1142" s="1" t="str">
        <f>IF(HR_Data[[#This Row],[Years At Company]]&lt;=HR_Data[[#This Row],[Total Working Years]],"Valid","error")</f>
        <v>Valid</v>
      </c>
      <c r="R1142" s="1" t="str" cm="1">
        <f t="array" ref="R1142">_xlfn.IFS(HR_Data[[#This Row],[Age]]&lt;=30,"Young", HR_Data[[#This Row],[Age]]&lt;=45,"Mid-Age",HR_Data[[#This Row],[Age]]&gt;45,"Senior")</f>
        <v>Mid-Age</v>
      </c>
      <c r="S1142" s="1" t="str" cm="1">
        <f t="array" ref="S1142">_xlfn.IFS(HR_Data[[#This Row],[Monthly Income]]&lt;5000,"Low", HR_Data[[#This Row],[Monthly Income]]&lt;10000,"Medium",TRUE,"High")</f>
        <v>High</v>
      </c>
      <c r="T1142" s="1" t="str" cm="1">
        <f t="array" ref="T1142">_xlfn.IFS(HR_Data[[#This Row],[Total Working Years]]&lt;=5,"Junior", HR_Data[[#This Row],[Total Working Years]]&lt;=15,"Mid-Level", TRUE, "Senior")</f>
        <v>Senior</v>
      </c>
    </row>
    <row r="1143" spans="1:20" x14ac:dyDescent="0.25">
      <c r="A1143" s="1">
        <v>1609</v>
      </c>
      <c r="B1143" s="1">
        <v>30</v>
      </c>
      <c r="C1143" t="s">
        <v>9</v>
      </c>
      <c r="D1143" t="s">
        <v>10</v>
      </c>
      <c r="E1143" t="s">
        <v>15</v>
      </c>
      <c r="F1143" t="s">
        <v>11</v>
      </c>
      <c r="G1143" t="s">
        <v>12</v>
      </c>
      <c r="H1143" s="1">
        <v>2</v>
      </c>
      <c r="I1143" s="1">
        <v>2141</v>
      </c>
      <c r="J1143" t="s">
        <v>9</v>
      </c>
      <c r="K1143" s="1">
        <v>12</v>
      </c>
      <c r="L1143" s="1">
        <v>3</v>
      </c>
      <c r="M1143" s="1">
        <v>6</v>
      </c>
      <c r="N1143" s="1">
        <v>2</v>
      </c>
      <c r="O1143" s="1">
        <v>6</v>
      </c>
      <c r="P1143" s="1">
        <f>COUNTIF(HR_Data[Employee Number],HR_Data[[#This Row],[Employee Number]])</f>
        <v>1</v>
      </c>
      <c r="Q1143" s="1" t="str">
        <f>IF(HR_Data[[#This Row],[Years At Company]]&lt;=HR_Data[[#This Row],[Total Working Years]],"Valid","error")</f>
        <v>Valid</v>
      </c>
      <c r="R1143" s="1" t="str" cm="1">
        <f t="array" ref="R1143">_xlfn.IFS(HR_Data[[#This Row],[Age]]&lt;=30,"Young", HR_Data[[#This Row],[Age]]&lt;=45,"Mid-Age",HR_Data[[#This Row],[Age]]&gt;45,"Senior")</f>
        <v>Young</v>
      </c>
      <c r="S1143" s="1" t="str" cm="1">
        <f t="array" ref="S1143">_xlfn.IFS(HR_Data[[#This Row],[Monthly Income]]&lt;5000,"Low", HR_Data[[#This Row],[Monthly Income]]&lt;10000,"Medium",TRUE,"High")</f>
        <v>Low</v>
      </c>
      <c r="T1143" s="1" t="str" cm="1">
        <f t="array" ref="T1143">_xlfn.IFS(HR_Data[[#This Row],[Total Working Years]]&lt;=5,"Junior", HR_Data[[#This Row],[Total Working Years]]&lt;=15,"Mid-Level", TRUE, "Senior")</f>
        <v>Mid-Level</v>
      </c>
    </row>
    <row r="1144" spans="1:20" x14ac:dyDescent="0.25">
      <c r="A1144" s="1">
        <v>1611</v>
      </c>
      <c r="B1144" s="1">
        <v>45</v>
      </c>
      <c r="C1144" t="s">
        <v>9</v>
      </c>
      <c r="D1144" t="s">
        <v>10</v>
      </c>
      <c r="E1144" t="s">
        <v>15</v>
      </c>
      <c r="F1144" t="s">
        <v>7</v>
      </c>
      <c r="G1144" t="s">
        <v>14</v>
      </c>
      <c r="H1144" s="1">
        <v>1</v>
      </c>
      <c r="I1144" s="1">
        <v>5769</v>
      </c>
      <c r="J1144" t="s">
        <v>4</v>
      </c>
      <c r="K1144" s="1">
        <v>14</v>
      </c>
      <c r="L1144" s="1">
        <v>3</v>
      </c>
      <c r="M1144" s="1">
        <v>10</v>
      </c>
      <c r="N1144" s="1">
        <v>3</v>
      </c>
      <c r="O1144" s="1">
        <v>10</v>
      </c>
      <c r="P1144" s="1">
        <f>COUNTIF(HR_Data[Employee Number],HR_Data[[#This Row],[Employee Number]])</f>
        <v>1</v>
      </c>
      <c r="Q1144" s="1" t="str">
        <f>IF(HR_Data[[#This Row],[Years At Company]]&lt;=HR_Data[[#This Row],[Total Working Years]],"Valid","error")</f>
        <v>Valid</v>
      </c>
      <c r="R1144" s="1" t="str" cm="1">
        <f t="array" ref="R1144">_xlfn.IFS(HR_Data[[#This Row],[Age]]&lt;=30,"Young", HR_Data[[#This Row],[Age]]&lt;=45,"Mid-Age",HR_Data[[#This Row],[Age]]&gt;45,"Senior")</f>
        <v>Mid-Age</v>
      </c>
      <c r="S1144" s="1" t="str" cm="1">
        <f t="array" ref="S1144">_xlfn.IFS(HR_Data[[#This Row],[Monthly Income]]&lt;5000,"Low", HR_Data[[#This Row],[Monthly Income]]&lt;10000,"Medium",TRUE,"High")</f>
        <v>Medium</v>
      </c>
      <c r="T1144" s="1" t="str" cm="1">
        <f t="array" ref="T1144">_xlfn.IFS(HR_Data[[#This Row],[Total Working Years]]&lt;=5,"Junior", HR_Data[[#This Row],[Total Working Years]]&lt;=15,"Mid-Level", TRUE, "Senior")</f>
        <v>Mid-Level</v>
      </c>
    </row>
    <row r="1145" spans="1:20" x14ac:dyDescent="0.25">
      <c r="A1145" s="1">
        <v>1612</v>
      </c>
      <c r="B1145" s="1">
        <v>45</v>
      </c>
      <c r="C1145" t="s">
        <v>9</v>
      </c>
      <c r="D1145" t="s">
        <v>5</v>
      </c>
      <c r="E1145" t="s">
        <v>21</v>
      </c>
      <c r="F1145" t="s">
        <v>11</v>
      </c>
      <c r="G1145" t="s">
        <v>8</v>
      </c>
      <c r="H1145" s="1">
        <v>1</v>
      </c>
      <c r="I1145" s="1">
        <v>4385</v>
      </c>
      <c r="J1145" t="s">
        <v>9</v>
      </c>
      <c r="K1145" s="1">
        <v>15</v>
      </c>
      <c r="L1145" s="1">
        <v>3</v>
      </c>
      <c r="M1145" s="1">
        <v>10</v>
      </c>
      <c r="N1145" s="1">
        <v>3</v>
      </c>
      <c r="O1145" s="1">
        <v>10</v>
      </c>
      <c r="P1145" s="1">
        <f>COUNTIF(HR_Data[Employee Number],HR_Data[[#This Row],[Employee Number]])</f>
        <v>1</v>
      </c>
      <c r="Q1145" s="1" t="str">
        <f>IF(HR_Data[[#This Row],[Years At Company]]&lt;=HR_Data[[#This Row],[Total Working Years]],"Valid","error")</f>
        <v>Valid</v>
      </c>
      <c r="R1145" s="1" t="str" cm="1">
        <f t="array" ref="R1145">_xlfn.IFS(HR_Data[[#This Row],[Age]]&lt;=30,"Young", HR_Data[[#This Row],[Age]]&lt;=45,"Mid-Age",HR_Data[[#This Row],[Age]]&gt;45,"Senior")</f>
        <v>Mid-Age</v>
      </c>
      <c r="S1145" s="1" t="str" cm="1">
        <f t="array" ref="S1145">_xlfn.IFS(HR_Data[[#This Row],[Monthly Income]]&lt;5000,"Low", HR_Data[[#This Row],[Monthly Income]]&lt;10000,"Medium",TRUE,"High")</f>
        <v>Low</v>
      </c>
      <c r="T1145" s="1" t="str" cm="1">
        <f t="array" ref="T1145">_xlfn.IFS(HR_Data[[#This Row],[Total Working Years]]&lt;=5,"Junior", HR_Data[[#This Row],[Total Working Years]]&lt;=15,"Mid-Level", TRUE, "Senior")</f>
        <v>Mid-Level</v>
      </c>
    </row>
    <row r="1146" spans="1:20" x14ac:dyDescent="0.25">
      <c r="A1146" s="1">
        <v>1613</v>
      </c>
      <c r="B1146" s="1">
        <v>31</v>
      </c>
      <c r="C1146" t="s">
        <v>9</v>
      </c>
      <c r="D1146" t="s">
        <v>5</v>
      </c>
      <c r="E1146" t="s">
        <v>13</v>
      </c>
      <c r="F1146" t="s">
        <v>11</v>
      </c>
      <c r="G1146" t="s">
        <v>8</v>
      </c>
      <c r="H1146" s="1">
        <v>1</v>
      </c>
      <c r="I1146" s="1">
        <v>5332</v>
      </c>
      <c r="J1146" t="s">
        <v>9</v>
      </c>
      <c r="K1146" s="1">
        <v>13</v>
      </c>
      <c r="L1146" s="1">
        <v>3</v>
      </c>
      <c r="M1146" s="1">
        <v>10</v>
      </c>
      <c r="N1146" s="1">
        <v>3</v>
      </c>
      <c r="O1146" s="1">
        <v>5</v>
      </c>
      <c r="P1146" s="1">
        <f>COUNTIF(HR_Data[Employee Number],HR_Data[[#This Row],[Employee Number]])</f>
        <v>1</v>
      </c>
      <c r="Q1146" s="1" t="str">
        <f>IF(HR_Data[[#This Row],[Years At Company]]&lt;=HR_Data[[#This Row],[Total Working Years]],"Valid","error")</f>
        <v>Valid</v>
      </c>
      <c r="R1146" s="1" t="str" cm="1">
        <f t="array" ref="R1146">_xlfn.IFS(HR_Data[[#This Row],[Age]]&lt;=30,"Young", HR_Data[[#This Row],[Age]]&lt;=45,"Mid-Age",HR_Data[[#This Row],[Age]]&gt;45,"Senior")</f>
        <v>Mid-Age</v>
      </c>
      <c r="S1146" s="1" t="str" cm="1">
        <f t="array" ref="S1146">_xlfn.IFS(HR_Data[[#This Row],[Monthly Income]]&lt;5000,"Low", HR_Data[[#This Row],[Monthly Income]]&lt;10000,"Medium",TRUE,"High")</f>
        <v>Medium</v>
      </c>
      <c r="T1146" s="1" t="str" cm="1">
        <f t="array" ref="T1146">_xlfn.IFS(HR_Data[[#This Row],[Total Working Years]]&lt;=5,"Junior", HR_Data[[#This Row],[Total Working Years]]&lt;=15,"Mid-Level", TRUE, "Senior")</f>
        <v>Mid-Level</v>
      </c>
    </row>
    <row r="1147" spans="1:20" x14ac:dyDescent="0.25">
      <c r="A1147" s="1">
        <v>1614</v>
      </c>
      <c r="B1147" s="1">
        <v>36</v>
      </c>
      <c r="C1147" t="s">
        <v>9</v>
      </c>
      <c r="D1147" t="s">
        <v>10</v>
      </c>
      <c r="E1147" t="s">
        <v>6</v>
      </c>
      <c r="F1147" t="s">
        <v>7</v>
      </c>
      <c r="G1147" t="s">
        <v>16</v>
      </c>
      <c r="H1147" s="1">
        <v>3</v>
      </c>
      <c r="I1147" s="1">
        <v>4663</v>
      </c>
      <c r="J1147" t="s">
        <v>4</v>
      </c>
      <c r="K1147" s="1">
        <v>12</v>
      </c>
      <c r="L1147" s="1">
        <v>3</v>
      </c>
      <c r="M1147" s="1">
        <v>7</v>
      </c>
      <c r="N1147" s="1">
        <v>3</v>
      </c>
      <c r="O1147" s="1">
        <v>3</v>
      </c>
      <c r="P1147" s="1">
        <f>COUNTIF(HR_Data[Employee Number],HR_Data[[#This Row],[Employee Number]])</f>
        <v>1</v>
      </c>
      <c r="Q1147" s="1" t="str">
        <f>IF(HR_Data[[#This Row],[Years At Company]]&lt;=HR_Data[[#This Row],[Total Working Years]],"Valid","error")</f>
        <v>Valid</v>
      </c>
      <c r="R1147" s="1" t="str" cm="1">
        <f t="array" ref="R1147">_xlfn.IFS(HR_Data[[#This Row],[Age]]&lt;=30,"Young", HR_Data[[#This Row],[Age]]&lt;=45,"Mid-Age",HR_Data[[#This Row],[Age]]&gt;45,"Senior")</f>
        <v>Mid-Age</v>
      </c>
      <c r="S1147" s="1" t="str" cm="1">
        <f t="array" ref="S1147">_xlfn.IFS(HR_Data[[#This Row],[Monthly Income]]&lt;5000,"Low", HR_Data[[#This Row],[Monthly Income]]&lt;10000,"Medium",TRUE,"High")</f>
        <v>Low</v>
      </c>
      <c r="T1147" s="1" t="str" cm="1">
        <f t="array" ref="T1147">_xlfn.IFS(HR_Data[[#This Row],[Total Working Years]]&lt;=5,"Junior", HR_Data[[#This Row],[Total Working Years]]&lt;=15,"Mid-Level", TRUE, "Senior")</f>
        <v>Mid-Level</v>
      </c>
    </row>
    <row r="1148" spans="1:20" x14ac:dyDescent="0.25">
      <c r="A1148" s="1">
        <v>1615</v>
      </c>
      <c r="B1148" s="1">
        <v>34</v>
      </c>
      <c r="C1148" t="s">
        <v>9</v>
      </c>
      <c r="D1148" t="s">
        <v>10</v>
      </c>
      <c r="E1148" t="s">
        <v>6</v>
      </c>
      <c r="F1148" t="s">
        <v>11</v>
      </c>
      <c r="G1148" t="s">
        <v>16</v>
      </c>
      <c r="H1148" s="1">
        <v>4</v>
      </c>
      <c r="I1148" s="1">
        <v>4724</v>
      </c>
      <c r="J1148" t="s">
        <v>9</v>
      </c>
      <c r="K1148" s="1">
        <v>13</v>
      </c>
      <c r="L1148" s="1">
        <v>3</v>
      </c>
      <c r="M1148" s="1">
        <v>9</v>
      </c>
      <c r="N1148" s="1">
        <v>3</v>
      </c>
      <c r="O1148" s="1">
        <v>9</v>
      </c>
      <c r="P1148" s="1">
        <f>COUNTIF(HR_Data[Employee Number],HR_Data[[#This Row],[Employee Number]])</f>
        <v>1</v>
      </c>
      <c r="Q1148" s="1" t="str">
        <f>IF(HR_Data[[#This Row],[Years At Company]]&lt;=HR_Data[[#This Row],[Total Working Years]],"Valid","error")</f>
        <v>Valid</v>
      </c>
      <c r="R1148" s="1" t="str" cm="1">
        <f t="array" ref="R1148">_xlfn.IFS(HR_Data[[#This Row],[Age]]&lt;=30,"Young", HR_Data[[#This Row],[Age]]&lt;=45,"Mid-Age",HR_Data[[#This Row],[Age]]&gt;45,"Senior")</f>
        <v>Mid-Age</v>
      </c>
      <c r="S1148" s="1" t="str" cm="1">
        <f t="array" ref="S1148">_xlfn.IFS(HR_Data[[#This Row],[Monthly Income]]&lt;5000,"Low", HR_Data[[#This Row],[Monthly Income]]&lt;10000,"Medium",TRUE,"High")</f>
        <v>Low</v>
      </c>
      <c r="T1148" s="1" t="str" cm="1">
        <f t="array" ref="T1148">_xlfn.IFS(HR_Data[[#This Row],[Total Working Years]]&lt;=5,"Junior", HR_Data[[#This Row],[Total Working Years]]&lt;=15,"Mid-Level", TRUE, "Senior")</f>
        <v>Mid-Level</v>
      </c>
    </row>
    <row r="1149" spans="1:20" x14ac:dyDescent="0.25">
      <c r="A1149" s="1">
        <v>1617</v>
      </c>
      <c r="B1149" s="1">
        <v>49</v>
      </c>
      <c r="C1149" t="s">
        <v>9</v>
      </c>
      <c r="D1149" t="s">
        <v>10</v>
      </c>
      <c r="E1149" t="s">
        <v>6</v>
      </c>
      <c r="F1149" t="s">
        <v>7</v>
      </c>
      <c r="G1149" t="s">
        <v>14</v>
      </c>
      <c r="H1149" s="1">
        <v>1</v>
      </c>
      <c r="I1149" s="1">
        <v>3211</v>
      </c>
      <c r="J1149" t="s">
        <v>9</v>
      </c>
      <c r="K1149" s="1">
        <v>14</v>
      </c>
      <c r="L1149" s="1">
        <v>3</v>
      </c>
      <c r="M1149" s="1">
        <v>10</v>
      </c>
      <c r="N1149" s="1">
        <v>2</v>
      </c>
      <c r="O1149" s="1">
        <v>9</v>
      </c>
      <c r="P1149" s="1">
        <f>COUNTIF(HR_Data[Employee Number],HR_Data[[#This Row],[Employee Number]])</f>
        <v>1</v>
      </c>
      <c r="Q1149" s="1" t="str">
        <f>IF(HR_Data[[#This Row],[Years At Company]]&lt;=HR_Data[[#This Row],[Total Working Years]],"Valid","error")</f>
        <v>Valid</v>
      </c>
      <c r="R1149" s="1" t="str" cm="1">
        <f t="array" ref="R1149">_xlfn.IFS(HR_Data[[#This Row],[Age]]&lt;=30,"Young", HR_Data[[#This Row],[Age]]&lt;=45,"Mid-Age",HR_Data[[#This Row],[Age]]&gt;45,"Senior")</f>
        <v>Senior</v>
      </c>
      <c r="S1149" s="1" t="str" cm="1">
        <f t="array" ref="S1149">_xlfn.IFS(HR_Data[[#This Row],[Monthly Income]]&lt;5000,"Low", HR_Data[[#This Row],[Monthly Income]]&lt;10000,"Medium",TRUE,"High")</f>
        <v>Low</v>
      </c>
      <c r="T1149" s="1" t="str" cm="1">
        <f t="array" ref="T1149">_xlfn.IFS(HR_Data[[#This Row],[Total Working Years]]&lt;=5,"Junior", HR_Data[[#This Row],[Total Working Years]]&lt;=15,"Mid-Level", TRUE, "Senior")</f>
        <v>Mid-Level</v>
      </c>
    </row>
    <row r="1150" spans="1:20" x14ac:dyDescent="0.25">
      <c r="A1150" s="1">
        <v>1618</v>
      </c>
      <c r="B1150" s="1">
        <v>39</v>
      </c>
      <c r="C1150" t="s">
        <v>9</v>
      </c>
      <c r="D1150" t="s">
        <v>10</v>
      </c>
      <c r="E1150" t="s">
        <v>15</v>
      </c>
      <c r="F1150" t="s">
        <v>11</v>
      </c>
      <c r="G1150" t="s">
        <v>16</v>
      </c>
      <c r="H1150" s="1">
        <v>1</v>
      </c>
      <c r="I1150" s="1">
        <v>5377</v>
      </c>
      <c r="J1150" t="s">
        <v>9</v>
      </c>
      <c r="K1150" s="1">
        <v>13</v>
      </c>
      <c r="L1150" s="1">
        <v>3</v>
      </c>
      <c r="M1150" s="1">
        <v>10</v>
      </c>
      <c r="N1150" s="1">
        <v>3</v>
      </c>
      <c r="O1150" s="1">
        <v>7</v>
      </c>
      <c r="P1150" s="1">
        <f>COUNTIF(HR_Data[Employee Number],HR_Data[[#This Row],[Employee Number]])</f>
        <v>1</v>
      </c>
      <c r="Q1150" s="1" t="str">
        <f>IF(HR_Data[[#This Row],[Years At Company]]&lt;=HR_Data[[#This Row],[Total Working Years]],"Valid","error")</f>
        <v>Valid</v>
      </c>
      <c r="R1150" s="1" t="str" cm="1">
        <f t="array" ref="R1150">_xlfn.IFS(HR_Data[[#This Row],[Age]]&lt;=30,"Young", HR_Data[[#This Row],[Age]]&lt;=45,"Mid-Age",HR_Data[[#This Row],[Age]]&gt;45,"Senior")</f>
        <v>Mid-Age</v>
      </c>
      <c r="S1150" s="1" t="str" cm="1">
        <f t="array" ref="S1150">_xlfn.IFS(HR_Data[[#This Row],[Monthly Income]]&lt;5000,"Low", HR_Data[[#This Row],[Monthly Income]]&lt;10000,"Medium",TRUE,"High")</f>
        <v>Medium</v>
      </c>
      <c r="T1150" s="1" t="str" cm="1">
        <f t="array" ref="T1150">_xlfn.IFS(HR_Data[[#This Row],[Total Working Years]]&lt;=5,"Junior", HR_Data[[#This Row],[Total Working Years]]&lt;=15,"Mid-Level", TRUE, "Senior")</f>
        <v>Mid-Level</v>
      </c>
    </row>
    <row r="1151" spans="1:20" x14ac:dyDescent="0.25">
      <c r="A1151" s="1">
        <v>1619</v>
      </c>
      <c r="B1151" s="1">
        <v>27</v>
      </c>
      <c r="C1151" t="s">
        <v>9</v>
      </c>
      <c r="D1151" t="s">
        <v>10</v>
      </c>
      <c r="E1151" t="s">
        <v>13</v>
      </c>
      <c r="F1151" t="s">
        <v>11</v>
      </c>
      <c r="G1151" t="s">
        <v>14</v>
      </c>
      <c r="H1151" s="1">
        <v>1</v>
      </c>
      <c r="I1151" s="1">
        <v>4066</v>
      </c>
      <c r="J1151" t="s">
        <v>9</v>
      </c>
      <c r="K1151" s="1">
        <v>11</v>
      </c>
      <c r="L1151" s="1">
        <v>3</v>
      </c>
      <c r="M1151" s="1">
        <v>7</v>
      </c>
      <c r="N1151" s="1">
        <v>3</v>
      </c>
      <c r="O1151" s="1">
        <v>7</v>
      </c>
      <c r="P1151" s="1">
        <f>COUNTIF(HR_Data[Employee Number],HR_Data[[#This Row],[Employee Number]])</f>
        <v>1</v>
      </c>
      <c r="Q1151" s="1" t="str">
        <f>IF(HR_Data[[#This Row],[Years At Company]]&lt;=HR_Data[[#This Row],[Total Working Years]],"Valid","error")</f>
        <v>Valid</v>
      </c>
      <c r="R1151" s="1" t="str" cm="1">
        <f t="array" ref="R1151">_xlfn.IFS(HR_Data[[#This Row],[Age]]&lt;=30,"Young", HR_Data[[#This Row],[Age]]&lt;=45,"Mid-Age",HR_Data[[#This Row],[Age]]&gt;45,"Senior")</f>
        <v>Young</v>
      </c>
      <c r="S1151" s="1" t="str" cm="1">
        <f t="array" ref="S1151">_xlfn.IFS(HR_Data[[#This Row],[Monthly Income]]&lt;5000,"Low", HR_Data[[#This Row],[Monthly Income]]&lt;10000,"Medium",TRUE,"High")</f>
        <v>Low</v>
      </c>
      <c r="T1151" s="1" t="str" cm="1">
        <f t="array" ref="T1151">_xlfn.IFS(HR_Data[[#This Row],[Total Working Years]]&lt;=5,"Junior", HR_Data[[#This Row],[Total Working Years]]&lt;=15,"Mid-Level", TRUE, "Senior")</f>
        <v>Mid-Level</v>
      </c>
    </row>
    <row r="1152" spans="1:20" x14ac:dyDescent="0.25">
      <c r="A1152" s="1">
        <v>1621</v>
      </c>
      <c r="B1152" s="1">
        <v>35</v>
      </c>
      <c r="C1152" t="s">
        <v>9</v>
      </c>
      <c r="D1152" t="s">
        <v>10</v>
      </c>
      <c r="E1152" t="s">
        <v>6</v>
      </c>
      <c r="F1152" t="s">
        <v>11</v>
      </c>
      <c r="G1152" t="s">
        <v>12</v>
      </c>
      <c r="H1152" s="1">
        <v>1</v>
      </c>
      <c r="I1152" s="1">
        <v>5208</v>
      </c>
      <c r="J1152" t="s">
        <v>9</v>
      </c>
      <c r="K1152" s="1">
        <v>11</v>
      </c>
      <c r="L1152" s="1">
        <v>3</v>
      </c>
      <c r="M1152" s="1">
        <v>16</v>
      </c>
      <c r="N1152" s="1">
        <v>3</v>
      </c>
      <c r="O1152" s="1">
        <v>16</v>
      </c>
      <c r="P1152" s="1">
        <f>COUNTIF(HR_Data[Employee Number],HR_Data[[#This Row],[Employee Number]])</f>
        <v>1</v>
      </c>
      <c r="Q1152" s="1" t="str">
        <f>IF(HR_Data[[#This Row],[Years At Company]]&lt;=HR_Data[[#This Row],[Total Working Years]],"Valid","error")</f>
        <v>Valid</v>
      </c>
      <c r="R1152" s="1" t="str" cm="1">
        <f t="array" ref="R1152">_xlfn.IFS(HR_Data[[#This Row],[Age]]&lt;=30,"Young", HR_Data[[#This Row],[Age]]&lt;=45,"Mid-Age",HR_Data[[#This Row],[Age]]&gt;45,"Senior")</f>
        <v>Mid-Age</v>
      </c>
      <c r="S1152" s="1" t="str" cm="1">
        <f t="array" ref="S1152">_xlfn.IFS(HR_Data[[#This Row],[Monthly Income]]&lt;5000,"Low", HR_Data[[#This Row],[Monthly Income]]&lt;10000,"Medium",TRUE,"High")</f>
        <v>Medium</v>
      </c>
      <c r="T1152" s="1" t="str" cm="1">
        <f t="array" ref="T1152">_xlfn.IFS(HR_Data[[#This Row],[Total Working Years]]&lt;=5,"Junior", HR_Data[[#This Row],[Total Working Years]]&lt;=15,"Mid-Level", TRUE, "Senior")</f>
        <v>Senior</v>
      </c>
    </row>
    <row r="1153" spans="1:20" x14ac:dyDescent="0.25">
      <c r="A1153" s="1">
        <v>1622</v>
      </c>
      <c r="B1153" s="1">
        <v>28</v>
      </c>
      <c r="C1153" t="s">
        <v>9</v>
      </c>
      <c r="D1153" t="s">
        <v>10</v>
      </c>
      <c r="E1153" t="s">
        <v>15</v>
      </c>
      <c r="F1153" t="s">
        <v>7</v>
      </c>
      <c r="G1153" t="s">
        <v>16</v>
      </c>
      <c r="H1153" s="1">
        <v>1</v>
      </c>
      <c r="I1153" s="1">
        <v>4877</v>
      </c>
      <c r="J1153" t="s">
        <v>9</v>
      </c>
      <c r="K1153" s="1">
        <v>21</v>
      </c>
      <c r="L1153" s="1">
        <v>4</v>
      </c>
      <c r="M1153" s="1">
        <v>6</v>
      </c>
      <c r="N1153" s="1">
        <v>2</v>
      </c>
      <c r="O1153" s="1">
        <v>5</v>
      </c>
      <c r="P1153" s="1">
        <f>COUNTIF(HR_Data[Employee Number],HR_Data[[#This Row],[Employee Number]])</f>
        <v>1</v>
      </c>
      <c r="Q1153" s="1" t="str">
        <f>IF(HR_Data[[#This Row],[Years At Company]]&lt;=HR_Data[[#This Row],[Total Working Years]],"Valid","error")</f>
        <v>Valid</v>
      </c>
      <c r="R1153" s="1" t="str" cm="1">
        <f t="array" ref="R1153">_xlfn.IFS(HR_Data[[#This Row],[Age]]&lt;=30,"Young", HR_Data[[#This Row],[Age]]&lt;=45,"Mid-Age",HR_Data[[#This Row],[Age]]&gt;45,"Senior")</f>
        <v>Young</v>
      </c>
      <c r="S1153" s="1" t="str" cm="1">
        <f t="array" ref="S1153">_xlfn.IFS(HR_Data[[#This Row],[Monthly Income]]&lt;5000,"Low", HR_Data[[#This Row],[Monthly Income]]&lt;10000,"Medium",TRUE,"High")</f>
        <v>Low</v>
      </c>
      <c r="T1153" s="1" t="str" cm="1">
        <f t="array" ref="T1153">_xlfn.IFS(HR_Data[[#This Row],[Total Working Years]]&lt;=5,"Junior", HR_Data[[#This Row],[Total Working Years]]&lt;=15,"Mid-Level", TRUE, "Senior")</f>
        <v>Mid-Level</v>
      </c>
    </row>
    <row r="1154" spans="1:20" x14ac:dyDescent="0.25">
      <c r="A1154" s="1">
        <v>1623</v>
      </c>
      <c r="B1154" s="1">
        <v>21</v>
      </c>
      <c r="C1154" t="s">
        <v>9</v>
      </c>
      <c r="D1154" t="s">
        <v>10</v>
      </c>
      <c r="E1154" t="s">
        <v>15</v>
      </c>
      <c r="F1154" t="s">
        <v>11</v>
      </c>
      <c r="G1154" t="s">
        <v>12</v>
      </c>
      <c r="H1154" s="1">
        <v>4</v>
      </c>
      <c r="I1154" s="1">
        <v>3117</v>
      </c>
      <c r="J1154" t="s">
        <v>9</v>
      </c>
      <c r="K1154" s="1">
        <v>18</v>
      </c>
      <c r="L1154" s="1">
        <v>3</v>
      </c>
      <c r="M1154" s="1">
        <v>3</v>
      </c>
      <c r="N1154" s="1">
        <v>3</v>
      </c>
      <c r="O1154" s="1">
        <v>2</v>
      </c>
      <c r="P1154" s="1">
        <f>COUNTIF(HR_Data[Employee Number],HR_Data[[#This Row],[Employee Number]])</f>
        <v>1</v>
      </c>
      <c r="Q1154" s="1" t="str">
        <f>IF(HR_Data[[#This Row],[Years At Company]]&lt;=HR_Data[[#This Row],[Total Working Years]],"Valid","error")</f>
        <v>Valid</v>
      </c>
      <c r="R1154" s="1" t="str" cm="1">
        <f t="array" ref="R1154">_xlfn.IFS(HR_Data[[#This Row],[Age]]&lt;=30,"Young", HR_Data[[#This Row],[Age]]&lt;=45,"Mid-Age",HR_Data[[#This Row],[Age]]&gt;45,"Senior")</f>
        <v>Young</v>
      </c>
      <c r="S1154" s="1" t="str" cm="1">
        <f t="array" ref="S1154">_xlfn.IFS(HR_Data[[#This Row],[Monthly Income]]&lt;5000,"Low", HR_Data[[#This Row],[Monthly Income]]&lt;10000,"Medium",TRUE,"High")</f>
        <v>Low</v>
      </c>
      <c r="T1154" s="1" t="str" cm="1">
        <f t="array" ref="T1154">_xlfn.IFS(HR_Data[[#This Row],[Total Working Years]]&lt;=5,"Junior", HR_Data[[#This Row],[Total Working Years]]&lt;=15,"Mid-Level", TRUE, "Senior")</f>
        <v>Junior</v>
      </c>
    </row>
    <row r="1155" spans="1:20" x14ac:dyDescent="0.25">
      <c r="A1155" s="1">
        <v>1624</v>
      </c>
      <c r="B1155" s="1">
        <v>18</v>
      </c>
      <c r="C1155" t="s">
        <v>4</v>
      </c>
      <c r="D1155" t="s">
        <v>5</v>
      </c>
      <c r="E1155" t="s">
        <v>15</v>
      </c>
      <c r="F1155" t="s">
        <v>7</v>
      </c>
      <c r="G1155" t="s">
        <v>19</v>
      </c>
      <c r="H1155" s="1">
        <v>4</v>
      </c>
      <c r="I1155" s="1">
        <v>1569</v>
      </c>
      <c r="J1155" t="s">
        <v>4</v>
      </c>
      <c r="K1155" s="1">
        <v>12</v>
      </c>
      <c r="L1155" s="1">
        <v>3</v>
      </c>
      <c r="M1155" s="1">
        <v>0</v>
      </c>
      <c r="N1155" s="1">
        <v>4</v>
      </c>
      <c r="O1155" s="1">
        <v>0</v>
      </c>
      <c r="P1155" s="1">
        <f>COUNTIF(HR_Data[Employee Number],HR_Data[[#This Row],[Employee Number]])</f>
        <v>1</v>
      </c>
      <c r="Q1155" s="1" t="str">
        <f>IF(HR_Data[[#This Row],[Years At Company]]&lt;=HR_Data[[#This Row],[Total Working Years]],"Valid","error")</f>
        <v>Valid</v>
      </c>
      <c r="R1155" s="1" t="str" cm="1">
        <f t="array" ref="R1155">_xlfn.IFS(HR_Data[[#This Row],[Age]]&lt;=30,"Young", HR_Data[[#This Row],[Age]]&lt;=45,"Mid-Age",HR_Data[[#This Row],[Age]]&gt;45,"Senior")</f>
        <v>Young</v>
      </c>
      <c r="S1155" s="1" t="str" cm="1">
        <f t="array" ref="S1155">_xlfn.IFS(HR_Data[[#This Row],[Monthly Income]]&lt;5000,"Low", HR_Data[[#This Row],[Monthly Income]]&lt;10000,"Medium",TRUE,"High")</f>
        <v>Low</v>
      </c>
      <c r="T1155" s="1" t="str" cm="1">
        <f t="array" ref="T1155">_xlfn.IFS(HR_Data[[#This Row],[Total Working Years]]&lt;=5,"Junior", HR_Data[[#This Row],[Total Working Years]]&lt;=15,"Mid-Level", TRUE, "Senior")</f>
        <v>Junior</v>
      </c>
    </row>
    <row r="1156" spans="1:20" x14ac:dyDescent="0.25">
      <c r="A1156" s="1">
        <v>1625</v>
      </c>
      <c r="B1156" s="1">
        <v>47</v>
      </c>
      <c r="C1156" t="s">
        <v>9</v>
      </c>
      <c r="D1156" t="s">
        <v>23</v>
      </c>
      <c r="E1156" t="s">
        <v>6</v>
      </c>
      <c r="F1156" t="s">
        <v>7</v>
      </c>
      <c r="G1156" t="s">
        <v>18</v>
      </c>
      <c r="H1156" s="1">
        <v>3</v>
      </c>
      <c r="I1156" s="1">
        <v>19658</v>
      </c>
      <c r="J1156" t="s">
        <v>9</v>
      </c>
      <c r="K1156" s="1">
        <v>11</v>
      </c>
      <c r="L1156" s="1">
        <v>3</v>
      </c>
      <c r="M1156" s="1">
        <v>27</v>
      </c>
      <c r="N1156" s="1">
        <v>3</v>
      </c>
      <c r="O1156" s="1">
        <v>5</v>
      </c>
      <c r="P1156" s="1">
        <f>COUNTIF(HR_Data[Employee Number],HR_Data[[#This Row],[Employee Number]])</f>
        <v>1</v>
      </c>
      <c r="Q1156" s="1" t="str">
        <f>IF(HR_Data[[#This Row],[Years At Company]]&lt;=HR_Data[[#This Row],[Total Working Years]],"Valid","error")</f>
        <v>Valid</v>
      </c>
      <c r="R1156" s="1" t="str" cm="1">
        <f t="array" ref="R1156">_xlfn.IFS(HR_Data[[#This Row],[Age]]&lt;=30,"Young", HR_Data[[#This Row],[Age]]&lt;=45,"Mid-Age",HR_Data[[#This Row],[Age]]&gt;45,"Senior")</f>
        <v>Senior</v>
      </c>
      <c r="S1156" s="1" t="str" cm="1">
        <f t="array" ref="S1156">_xlfn.IFS(HR_Data[[#This Row],[Monthly Income]]&lt;5000,"Low", HR_Data[[#This Row],[Monthly Income]]&lt;10000,"Medium",TRUE,"High")</f>
        <v>High</v>
      </c>
      <c r="T1156" s="1" t="str" cm="1">
        <f t="array" ref="T1156">_xlfn.IFS(HR_Data[[#This Row],[Total Working Years]]&lt;=5,"Junior", HR_Data[[#This Row],[Total Working Years]]&lt;=15,"Mid-Level", TRUE, "Senior")</f>
        <v>Senior</v>
      </c>
    </row>
    <row r="1157" spans="1:20" x14ac:dyDescent="0.25">
      <c r="A1157" s="1">
        <v>1627</v>
      </c>
      <c r="B1157" s="1">
        <v>39</v>
      </c>
      <c r="C1157" t="s">
        <v>9</v>
      </c>
      <c r="D1157" t="s">
        <v>10</v>
      </c>
      <c r="E1157" t="s">
        <v>15</v>
      </c>
      <c r="F1157" t="s">
        <v>11</v>
      </c>
      <c r="G1157" t="s">
        <v>14</v>
      </c>
      <c r="H1157" s="1">
        <v>3</v>
      </c>
      <c r="I1157" s="1">
        <v>3069</v>
      </c>
      <c r="J1157" t="s">
        <v>9</v>
      </c>
      <c r="K1157" s="1">
        <v>15</v>
      </c>
      <c r="L1157" s="1">
        <v>3</v>
      </c>
      <c r="M1157" s="1">
        <v>11</v>
      </c>
      <c r="N1157" s="1">
        <v>3</v>
      </c>
      <c r="O1157" s="1">
        <v>10</v>
      </c>
      <c r="P1157" s="1">
        <f>COUNTIF(HR_Data[Employee Number],HR_Data[[#This Row],[Employee Number]])</f>
        <v>1</v>
      </c>
      <c r="Q1157" s="1" t="str">
        <f>IF(HR_Data[[#This Row],[Years At Company]]&lt;=HR_Data[[#This Row],[Total Working Years]],"Valid","error")</f>
        <v>Valid</v>
      </c>
      <c r="R1157" s="1" t="str" cm="1">
        <f t="array" ref="R1157">_xlfn.IFS(HR_Data[[#This Row],[Age]]&lt;=30,"Young", HR_Data[[#This Row],[Age]]&lt;=45,"Mid-Age",HR_Data[[#This Row],[Age]]&gt;45,"Senior")</f>
        <v>Mid-Age</v>
      </c>
      <c r="S1157" s="1" t="str" cm="1">
        <f t="array" ref="S1157">_xlfn.IFS(HR_Data[[#This Row],[Monthly Income]]&lt;5000,"Low", HR_Data[[#This Row],[Monthly Income]]&lt;10000,"Medium",TRUE,"High")</f>
        <v>Low</v>
      </c>
      <c r="T1157" s="1" t="str" cm="1">
        <f t="array" ref="T1157">_xlfn.IFS(HR_Data[[#This Row],[Total Working Years]]&lt;=5,"Junior", HR_Data[[#This Row],[Total Working Years]]&lt;=15,"Mid-Level", TRUE, "Senior")</f>
        <v>Mid-Level</v>
      </c>
    </row>
    <row r="1158" spans="1:20" x14ac:dyDescent="0.25">
      <c r="A1158" s="1">
        <v>1628</v>
      </c>
      <c r="B1158" s="1">
        <v>40</v>
      </c>
      <c r="C1158" t="s">
        <v>9</v>
      </c>
      <c r="D1158" t="s">
        <v>10</v>
      </c>
      <c r="E1158" t="s">
        <v>6</v>
      </c>
      <c r="F1158" t="s">
        <v>7</v>
      </c>
      <c r="G1158" t="s">
        <v>16</v>
      </c>
      <c r="H1158" s="1">
        <v>3</v>
      </c>
      <c r="I1158" s="1">
        <v>10435</v>
      </c>
      <c r="J1158" t="s">
        <v>9</v>
      </c>
      <c r="K1158" s="1">
        <v>13</v>
      </c>
      <c r="L1158" s="1">
        <v>3</v>
      </c>
      <c r="M1158" s="1">
        <v>18</v>
      </c>
      <c r="N1158" s="1">
        <v>3</v>
      </c>
      <c r="O1158" s="1">
        <v>18</v>
      </c>
      <c r="P1158" s="1">
        <f>COUNTIF(HR_Data[Employee Number],HR_Data[[#This Row],[Employee Number]])</f>
        <v>1</v>
      </c>
      <c r="Q1158" s="1" t="str">
        <f>IF(HR_Data[[#This Row],[Years At Company]]&lt;=HR_Data[[#This Row],[Total Working Years]],"Valid","error")</f>
        <v>Valid</v>
      </c>
      <c r="R1158" s="1" t="str" cm="1">
        <f t="array" ref="R1158">_xlfn.IFS(HR_Data[[#This Row],[Age]]&lt;=30,"Young", HR_Data[[#This Row],[Age]]&lt;=45,"Mid-Age",HR_Data[[#This Row],[Age]]&gt;45,"Senior")</f>
        <v>Mid-Age</v>
      </c>
      <c r="S1158" s="1" t="str" cm="1">
        <f t="array" ref="S1158">_xlfn.IFS(HR_Data[[#This Row],[Monthly Income]]&lt;5000,"Low", HR_Data[[#This Row],[Monthly Income]]&lt;10000,"Medium",TRUE,"High")</f>
        <v>High</v>
      </c>
      <c r="T1158" s="1" t="str" cm="1">
        <f t="array" ref="T1158">_xlfn.IFS(HR_Data[[#This Row],[Total Working Years]]&lt;=5,"Junior", HR_Data[[#This Row],[Total Working Years]]&lt;=15,"Mid-Level", TRUE, "Senior")</f>
        <v>Senior</v>
      </c>
    </row>
    <row r="1159" spans="1:20" x14ac:dyDescent="0.25">
      <c r="A1159" s="1">
        <v>1630</v>
      </c>
      <c r="B1159" s="1">
        <v>35</v>
      </c>
      <c r="C1159" t="s">
        <v>9</v>
      </c>
      <c r="D1159" t="s">
        <v>10</v>
      </c>
      <c r="E1159" t="s">
        <v>6</v>
      </c>
      <c r="F1159" t="s">
        <v>7</v>
      </c>
      <c r="G1159" t="s">
        <v>17</v>
      </c>
      <c r="H1159" s="1">
        <v>3</v>
      </c>
      <c r="I1159" s="1">
        <v>4148</v>
      </c>
      <c r="J1159" t="s">
        <v>9</v>
      </c>
      <c r="K1159" s="1">
        <v>12</v>
      </c>
      <c r="L1159" s="1">
        <v>3</v>
      </c>
      <c r="M1159" s="1">
        <v>15</v>
      </c>
      <c r="N1159" s="1">
        <v>3</v>
      </c>
      <c r="O1159" s="1">
        <v>14</v>
      </c>
      <c r="P1159" s="1">
        <f>COUNTIF(HR_Data[Employee Number],HR_Data[[#This Row],[Employee Number]])</f>
        <v>1</v>
      </c>
      <c r="Q1159" s="1" t="str">
        <f>IF(HR_Data[[#This Row],[Years At Company]]&lt;=HR_Data[[#This Row],[Total Working Years]],"Valid","error")</f>
        <v>Valid</v>
      </c>
      <c r="R1159" s="1" t="str" cm="1">
        <f t="array" ref="R1159">_xlfn.IFS(HR_Data[[#This Row],[Age]]&lt;=30,"Young", HR_Data[[#This Row],[Age]]&lt;=45,"Mid-Age",HR_Data[[#This Row],[Age]]&gt;45,"Senior")</f>
        <v>Mid-Age</v>
      </c>
      <c r="S1159" s="1" t="str" cm="1">
        <f t="array" ref="S1159">_xlfn.IFS(HR_Data[[#This Row],[Monthly Income]]&lt;5000,"Low", HR_Data[[#This Row],[Monthly Income]]&lt;10000,"Medium",TRUE,"High")</f>
        <v>Low</v>
      </c>
      <c r="T1159" s="1" t="str" cm="1">
        <f t="array" ref="T1159">_xlfn.IFS(HR_Data[[#This Row],[Total Working Years]]&lt;=5,"Junior", HR_Data[[#This Row],[Total Working Years]]&lt;=15,"Mid-Level", TRUE, "Senior")</f>
        <v>Mid-Level</v>
      </c>
    </row>
    <row r="1160" spans="1:20" x14ac:dyDescent="0.25">
      <c r="A1160" s="1">
        <v>1631</v>
      </c>
      <c r="B1160" s="1">
        <v>37</v>
      </c>
      <c r="C1160" t="s">
        <v>9</v>
      </c>
      <c r="D1160" t="s">
        <v>10</v>
      </c>
      <c r="E1160" t="s">
        <v>6</v>
      </c>
      <c r="F1160" t="s">
        <v>11</v>
      </c>
      <c r="G1160" t="s">
        <v>16</v>
      </c>
      <c r="H1160" s="1">
        <v>3</v>
      </c>
      <c r="I1160" s="1">
        <v>5768</v>
      </c>
      <c r="J1160" t="s">
        <v>9</v>
      </c>
      <c r="K1160" s="1">
        <v>17</v>
      </c>
      <c r="L1160" s="1">
        <v>3</v>
      </c>
      <c r="M1160" s="1">
        <v>9</v>
      </c>
      <c r="N1160" s="1">
        <v>2</v>
      </c>
      <c r="O1160" s="1">
        <v>4</v>
      </c>
      <c r="P1160" s="1">
        <f>COUNTIF(HR_Data[Employee Number],HR_Data[[#This Row],[Employee Number]])</f>
        <v>1</v>
      </c>
      <c r="Q1160" s="1" t="str">
        <f>IF(HR_Data[[#This Row],[Years At Company]]&lt;=HR_Data[[#This Row],[Total Working Years]],"Valid","error")</f>
        <v>Valid</v>
      </c>
      <c r="R1160" s="1" t="str" cm="1">
        <f t="array" ref="R1160">_xlfn.IFS(HR_Data[[#This Row],[Age]]&lt;=30,"Young", HR_Data[[#This Row],[Age]]&lt;=45,"Mid-Age",HR_Data[[#This Row],[Age]]&gt;45,"Senior")</f>
        <v>Mid-Age</v>
      </c>
      <c r="S1160" s="1" t="str" cm="1">
        <f t="array" ref="S1160">_xlfn.IFS(HR_Data[[#This Row],[Monthly Income]]&lt;5000,"Low", HR_Data[[#This Row],[Monthly Income]]&lt;10000,"Medium",TRUE,"High")</f>
        <v>Medium</v>
      </c>
      <c r="T1160" s="1" t="str" cm="1">
        <f t="array" ref="T1160">_xlfn.IFS(HR_Data[[#This Row],[Total Working Years]]&lt;=5,"Junior", HR_Data[[#This Row],[Total Working Years]]&lt;=15,"Mid-Level", TRUE, "Senior")</f>
        <v>Mid-Level</v>
      </c>
    </row>
    <row r="1161" spans="1:20" x14ac:dyDescent="0.25">
      <c r="A1161" s="1">
        <v>1633</v>
      </c>
      <c r="B1161" s="1">
        <v>39</v>
      </c>
      <c r="C1161" t="s">
        <v>9</v>
      </c>
      <c r="D1161" t="s">
        <v>10</v>
      </c>
      <c r="E1161" t="s">
        <v>15</v>
      </c>
      <c r="F1161" t="s">
        <v>7</v>
      </c>
      <c r="G1161" t="s">
        <v>16</v>
      </c>
      <c r="H1161" s="1">
        <v>3</v>
      </c>
      <c r="I1161" s="1">
        <v>5042</v>
      </c>
      <c r="J1161" t="s">
        <v>9</v>
      </c>
      <c r="K1161" s="1">
        <v>13</v>
      </c>
      <c r="L1161" s="1">
        <v>3</v>
      </c>
      <c r="M1161" s="1">
        <v>10</v>
      </c>
      <c r="N1161" s="1">
        <v>1</v>
      </c>
      <c r="O1161" s="1">
        <v>9</v>
      </c>
      <c r="P1161" s="1">
        <f>COUNTIF(HR_Data[Employee Number],HR_Data[[#This Row],[Employee Number]])</f>
        <v>1</v>
      </c>
      <c r="Q1161" s="1" t="str">
        <f>IF(HR_Data[[#This Row],[Years At Company]]&lt;=HR_Data[[#This Row],[Total Working Years]],"Valid","error")</f>
        <v>Valid</v>
      </c>
      <c r="R1161" s="1" t="str" cm="1">
        <f t="array" ref="R1161">_xlfn.IFS(HR_Data[[#This Row],[Age]]&lt;=30,"Young", HR_Data[[#This Row],[Age]]&lt;=45,"Mid-Age",HR_Data[[#This Row],[Age]]&gt;45,"Senior")</f>
        <v>Mid-Age</v>
      </c>
      <c r="S1161" s="1" t="str" cm="1">
        <f t="array" ref="S1161">_xlfn.IFS(HR_Data[[#This Row],[Monthly Income]]&lt;5000,"Low", HR_Data[[#This Row],[Monthly Income]]&lt;10000,"Medium",TRUE,"High")</f>
        <v>Medium</v>
      </c>
      <c r="T1161" s="1" t="str" cm="1">
        <f t="array" ref="T1161">_xlfn.IFS(HR_Data[[#This Row],[Total Working Years]]&lt;=5,"Junior", HR_Data[[#This Row],[Total Working Years]]&lt;=15,"Mid-Level", TRUE, "Senior")</f>
        <v>Mid-Level</v>
      </c>
    </row>
    <row r="1162" spans="1:20" x14ac:dyDescent="0.25">
      <c r="A1162" s="1">
        <v>1635</v>
      </c>
      <c r="B1162" s="1">
        <v>45</v>
      </c>
      <c r="C1162" t="s">
        <v>9</v>
      </c>
      <c r="D1162" t="s">
        <v>10</v>
      </c>
      <c r="E1162" t="s">
        <v>13</v>
      </c>
      <c r="F1162" t="s">
        <v>7</v>
      </c>
      <c r="G1162" t="s">
        <v>16</v>
      </c>
      <c r="H1162" s="1">
        <v>4</v>
      </c>
      <c r="I1162" s="1">
        <v>5770</v>
      </c>
      <c r="J1162" t="s">
        <v>9</v>
      </c>
      <c r="K1162" s="1">
        <v>19</v>
      </c>
      <c r="L1162" s="1">
        <v>3</v>
      </c>
      <c r="M1162" s="1">
        <v>10</v>
      </c>
      <c r="N1162" s="1">
        <v>3</v>
      </c>
      <c r="O1162" s="1">
        <v>10</v>
      </c>
      <c r="P1162" s="1">
        <f>COUNTIF(HR_Data[Employee Number],HR_Data[[#This Row],[Employee Number]])</f>
        <v>1</v>
      </c>
      <c r="Q1162" s="1" t="str">
        <f>IF(HR_Data[[#This Row],[Years At Company]]&lt;=HR_Data[[#This Row],[Total Working Years]],"Valid","error")</f>
        <v>Valid</v>
      </c>
      <c r="R1162" s="1" t="str" cm="1">
        <f t="array" ref="R1162">_xlfn.IFS(HR_Data[[#This Row],[Age]]&lt;=30,"Young", HR_Data[[#This Row],[Age]]&lt;=45,"Mid-Age",HR_Data[[#This Row],[Age]]&gt;45,"Senior")</f>
        <v>Mid-Age</v>
      </c>
      <c r="S1162" s="1" t="str" cm="1">
        <f t="array" ref="S1162">_xlfn.IFS(HR_Data[[#This Row],[Monthly Income]]&lt;5000,"Low", HR_Data[[#This Row],[Monthly Income]]&lt;10000,"Medium",TRUE,"High")</f>
        <v>Medium</v>
      </c>
      <c r="T1162" s="1" t="str" cm="1">
        <f t="array" ref="T1162">_xlfn.IFS(HR_Data[[#This Row],[Total Working Years]]&lt;=5,"Junior", HR_Data[[#This Row],[Total Working Years]]&lt;=15,"Mid-Level", TRUE, "Senior")</f>
        <v>Mid-Level</v>
      </c>
    </row>
    <row r="1163" spans="1:20" x14ac:dyDescent="0.25">
      <c r="A1163" s="1">
        <v>1638</v>
      </c>
      <c r="B1163" s="1">
        <v>38</v>
      </c>
      <c r="C1163" t="s">
        <v>9</v>
      </c>
      <c r="D1163" t="s">
        <v>10</v>
      </c>
      <c r="E1163" t="s">
        <v>15</v>
      </c>
      <c r="F1163" t="s">
        <v>7</v>
      </c>
      <c r="G1163" t="s">
        <v>16</v>
      </c>
      <c r="H1163" s="1">
        <v>3</v>
      </c>
      <c r="I1163" s="1">
        <v>7756</v>
      </c>
      <c r="J1163" t="s">
        <v>4</v>
      </c>
      <c r="K1163" s="1">
        <v>19</v>
      </c>
      <c r="L1163" s="1">
        <v>3</v>
      </c>
      <c r="M1163" s="1">
        <v>10</v>
      </c>
      <c r="N1163" s="1">
        <v>4</v>
      </c>
      <c r="O1163" s="1">
        <v>5</v>
      </c>
      <c r="P1163" s="1">
        <f>COUNTIF(HR_Data[Employee Number],HR_Data[[#This Row],[Employee Number]])</f>
        <v>1</v>
      </c>
      <c r="Q1163" s="1" t="str">
        <f>IF(HR_Data[[#This Row],[Years At Company]]&lt;=HR_Data[[#This Row],[Total Working Years]],"Valid","error")</f>
        <v>Valid</v>
      </c>
      <c r="R1163" s="1" t="str" cm="1">
        <f t="array" ref="R1163">_xlfn.IFS(HR_Data[[#This Row],[Age]]&lt;=30,"Young", HR_Data[[#This Row],[Age]]&lt;=45,"Mid-Age",HR_Data[[#This Row],[Age]]&gt;45,"Senior")</f>
        <v>Mid-Age</v>
      </c>
      <c r="S1163" s="1" t="str" cm="1">
        <f t="array" ref="S1163">_xlfn.IFS(HR_Data[[#This Row],[Monthly Income]]&lt;5000,"Low", HR_Data[[#This Row],[Monthly Income]]&lt;10000,"Medium",TRUE,"High")</f>
        <v>Medium</v>
      </c>
      <c r="T1163" s="1" t="str" cm="1">
        <f t="array" ref="T1163">_xlfn.IFS(HR_Data[[#This Row],[Total Working Years]]&lt;=5,"Junior", HR_Data[[#This Row],[Total Working Years]]&lt;=15,"Mid-Level", TRUE, "Senior")</f>
        <v>Mid-Level</v>
      </c>
    </row>
    <row r="1164" spans="1:20" x14ac:dyDescent="0.25">
      <c r="A1164" s="1">
        <v>1639</v>
      </c>
      <c r="B1164" s="1">
        <v>35</v>
      </c>
      <c r="C1164" t="s">
        <v>4</v>
      </c>
      <c r="D1164" t="s">
        <v>5</v>
      </c>
      <c r="E1164" t="s">
        <v>15</v>
      </c>
      <c r="F1164" t="s">
        <v>11</v>
      </c>
      <c r="G1164" t="s">
        <v>8</v>
      </c>
      <c r="H1164" s="1">
        <v>1</v>
      </c>
      <c r="I1164" s="1">
        <v>10306</v>
      </c>
      <c r="J1164" t="s">
        <v>9</v>
      </c>
      <c r="K1164" s="1">
        <v>17</v>
      </c>
      <c r="L1164" s="1">
        <v>3</v>
      </c>
      <c r="M1164" s="1">
        <v>15</v>
      </c>
      <c r="N1164" s="1">
        <v>3</v>
      </c>
      <c r="O1164" s="1">
        <v>13</v>
      </c>
      <c r="P1164" s="1">
        <f>COUNTIF(HR_Data[Employee Number],HR_Data[[#This Row],[Employee Number]])</f>
        <v>1</v>
      </c>
      <c r="Q1164" s="1" t="str">
        <f>IF(HR_Data[[#This Row],[Years At Company]]&lt;=HR_Data[[#This Row],[Total Working Years]],"Valid","error")</f>
        <v>Valid</v>
      </c>
      <c r="R1164" s="1" t="str" cm="1">
        <f t="array" ref="R1164">_xlfn.IFS(HR_Data[[#This Row],[Age]]&lt;=30,"Young", HR_Data[[#This Row],[Age]]&lt;=45,"Mid-Age",HR_Data[[#This Row],[Age]]&gt;45,"Senior")</f>
        <v>Mid-Age</v>
      </c>
      <c r="S1164" s="1" t="str" cm="1">
        <f t="array" ref="S1164">_xlfn.IFS(HR_Data[[#This Row],[Monthly Income]]&lt;5000,"Low", HR_Data[[#This Row],[Monthly Income]]&lt;10000,"Medium",TRUE,"High")</f>
        <v>High</v>
      </c>
      <c r="T1164" s="1" t="str" cm="1">
        <f t="array" ref="T1164">_xlfn.IFS(HR_Data[[#This Row],[Total Working Years]]&lt;=5,"Junior", HR_Data[[#This Row],[Total Working Years]]&lt;=15,"Mid-Level", TRUE, "Senior")</f>
        <v>Mid-Level</v>
      </c>
    </row>
    <row r="1165" spans="1:20" x14ac:dyDescent="0.25">
      <c r="A1165" s="1">
        <v>1640</v>
      </c>
      <c r="B1165" s="1">
        <v>37</v>
      </c>
      <c r="C1165" t="s">
        <v>9</v>
      </c>
      <c r="D1165" t="s">
        <v>10</v>
      </c>
      <c r="E1165" t="s">
        <v>15</v>
      </c>
      <c r="F1165" t="s">
        <v>7</v>
      </c>
      <c r="G1165" t="s">
        <v>12</v>
      </c>
      <c r="H1165" s="1">
        <v>2</v>
      </c>
      <c r="I1165" s="1">
        <v>3936</v>
      </c>
      <c r="J1165" t="s">
        <v>9</v>
      </c>
      <c r="K1165" s="1">
        <v>11</v>
      </c>
      <c r="L1165" s="1">
        <v>3</v>
      </c>
      <c r="M1165" s="1">
        <v>8</v>
      </c>
      <c r="N1165" s="1">
        <v>1</v>
      </c>
      <c r="O1165" s="1">
        <v>8</v>
      </c>
      <c r="P1165" s="1">
        <f>COUNTIF(HR_Data[Employee Number],HR_Data[[#This Row],[Employee Number]])</f>
        <v>1</v>
      </c>
      <c r="Q1165" s="1" t="str">
        <f>IF(HR_Data[[#This Row],[Years At Company]]&lt;=HR_Data[[#This Row],[Total Working Years]],"Valid","error")</f>
        <v>Valid</v>
      </c>
      <c r="R1165" s="1" t="str" cm="1">
        <f t="array" ref="R1165">_xlfn.IFS(HR_Data[[#This Row],[Age]]&lt;=30,"Young", HR_Data[[#This Row],[Age]]&lt;=45,"Mid-Age",HR_Data[[#This Row],[Age]]&gt;45,"Senior")</f>
        <v>Mid-Age</v>
      </c>
      <c r="S1165" s="1" t="str" cm="1">
        <f t="array" ref="S1165">_xlfn.IFS(HR_Data[[#This Row],[Monthly Income]]&lt;5000,"Low", HR_Data[[#This Row],[Monthly Income]]&lt;10000,"Medium",TRUE,"High")</f>
        <v>Low</v>
      </c>
      <c r="T1165" s="1" t="str" cm="1">
        <f t="array" ref="T1165">_xlfn.IFS(HR_Data[[#This Row],[Total Working Years]]&lt;=5,"Junior", HR_Data[[#This Row],[Total Working Years]]&lt;=15,"Mid-Level", TRUE, "Senior")</f>
        <v>Mid-Level</v>
      </c>
    </row>
    <row r="1166" spans="1:20" x14ac:dyDescent="0.25">
      <c r="A1166" s="1">
        <v>1641</v>
      </c>
      <c r="B1166" s="1">
        <v>40</v>
      </c>
      <c r="C1166" t="s">
        <v>9</v>
      </c>
      <c r="D1166" t="s">
        <v>10</v>
      </c>
      <c r="E1166" t="s">
        <v>6</v>
      </c>
      <c r="F1166" t="s">
        <v>7</v>
      </c>
      <c r="G1166" t="s">
        <v>16</v>
      </c>
      <c r="H1166" s="1">
        <v>4</v>
      </c>
      <c r="I1166" s="1">
        <v>7945</v>
      </c>
      <c r="J1166" t="s">
        <v>4</v>
      </c>
      <c r="K1166" s="1">
        <v>15</v>
      </c>
      <c r="L1166" s="1">
        <v>3</v>
      </c>
      <c r="M1166" s="1">
        <v>18</v>
      </c>
      <c r="N1166" s="1">
        <v>2</v>
      </c>
      <c r="O1166" s="1">
        <v>4</v>
      </c>
      <c r="P1166" s="1">
        <f>COUNTIF(HR_Data[Employee Number],HR_Data[[#This Row],[Employee Number]])</f>
        <v>1</v>
      </c>
      <c r="Q1166" s="1" t="str">
        <f>IF(HR_Data[[#This Row],[Years At Company]]&lt;=HR_Data[[#This Row],[Total Working Years]],"Valid","error")</f>
        <v>Valid</v>
      </c>
      <c r="R1166" s="1" t="str" cm="1">
        <f t="array" ref="R1166">_xlfn.IFS(HR_Data[[#This Row],[Age]]&lt;=30,"Young", HR_Data[[#This Row],[Age]]&lt;=45,"Mid-Age",HR_Data[[#This Row],[Age]]&gt;45,"Senior")</f>
        <v>Mid-Age</v>
      </c>
      <c r="S1166" s="1" t="str" cm="1">
        <f t="array" ref="S1166">_xlfn.IFS(HR_Data[[#This Row],[Monthly Income]]&lt;5000,"Low", HR_Data[[#This Row],[Monthly Income]]&lt;10000,"Medium",TRUE,"High")</f>
        <v>Medium</v>
      </c>
      <c r="T1166" s="1" t="str" cm="1">
        <f t="array" ref="T1166">_xlfn.IFS(HR_Data[[#This Row],[Total Working Years]]&lt;=5,"Junior", HR_Data[[#This Row],[Total Working Years]]&lt;=15,"Mid-Level", TRUE, "Senior")</f>
        <v>Senior</v>
      </c>
    </row>
    <row r="1167" spans="1:20" x14ac:dyDescent="0.25">
      <c r="A1167" s="1">
        <v>1642</v>
      </c>
      <c r="B1167" s="1">
        <v>44</v>
      </c>
      <c r="C1167" t="s">
        <v>9</v>
      </c>
      <c r="D1167" t="s">
        <v>23</v>
      </c>
      <c r="E1167" t="s">
        <v>23</v>
      </c>
      <c r="F1167" t="s">
        <v>11</v>
      </c>
      <c r="G1167" t="s">
        <v>23</v>
      </c>
      <c r="H1167" s="1">
        <v>4</v>
      </c>
      <c r="I1167" s="1">
        <v>5743</v>
      </c>
      <c r="J1167" t="s">
        <v>4</v>
      </c>
      <c r="K1167" s="1">
        <v>11</v>
      </c>
      <c r="L1167" s="1">
        <v>3</v>
      </c>
      <c r="M1167" s="1">
        <v>14</v>
      </c>
      <c r="N1167" s="1">
        <v>3</v>
      </c>
      <c r="O1167" s="1">
        <v>10</v>
      </c>
      <c r="P1167" s="1">
        <f>COUNTIF(HR_Data[Employee Number],HR_Data[[#This Row],[Employee Number]])</f>
        <v>1</v>
      </c>
      <c r="Q1167" s="1" t="str">
        <f>IF(HR_Data[[#This Row],[Years At Company]]&lt;=HR_Data[[#This Row],[Total Working Years]],"Valid","error")</f>
        <v>Valid</v>
      </c>
      <c r="R1167" s="1" t="str" cm="1">
        <f t="array" ref="R1167">_xlfn.IFS(HR_Data[[#This Row],[Age]]&lt;=30,"Young", HR_Data[[#This Row],[Age]]&lt;=45,"Mid-Age",HR_Data[[#This Row],[Age]]&gt;45,"Senior")</f>
        <v>Mid-Age</v>
      </c>
      <c r="S1167" s="1" t="str" cm="1">
        <f t="array" ref="S1167">_xlfn.IFS(HR_Data[[#This Row],[Monthly Income]]&lt;5000,"Low", HR_Data[[#This Row],[Monthly Income]]&lt;10000,"Medium",TRUE,"High")</f>
        <v>Medium</v>
      </c>
      <c r="T1167" s="1" t="str" cm="1">
        <f t="array" ref="T1167">_xlfn.IFS(HR_Data[[#This Row],[Total Working Years]]&lt;=5,"Junior", HR_Data[[#This Row],[Total Working Years]]&lt;=15,"Mid-Level", TRUE, "Senior")</f>
        <v>Mid-Level</v>
      </c>
    </row>
    <row r="1168" spans="1:20" x14ac:dyDescent="0.25">
      <c r="A1168" s="1">
        <v>1644</v>
      </c>
      <c r="B1168" s="1">
        <v>48</v>
      </c>
      <c r="C1168" t="s">
        <v>9</v>
      </c>
      <c r="D1168" t="s">
        <v>10</v>
      </c>
      <c r="E1168" t="s">
        <v>15</v>
      </c>
      <c r="F1168" t="s">
        <v>11</v>
      </c>
      <c r="G1168" t="s">
        <v>18</v>
      </c>
      <c r="H1168" s="1">
        <v>4</v>
      </c>
      <c r="I1168" s="1">
        <v>15202</v>
      </c>
      <c r="J1168" t="s">
        <v>9</v>
      </c>
      <c r="K1168" s="1">
        <v>25</v>
      </c>
      <c r="L1168" s="1">
        <v>4</v>
      </c>
      <c r="M1168" s="1">
        <v>23</v>
      </c>
      <c r="N1168" s="1">
        <v>3</v>
      </c>
      <c r="O1168" s="1">
        <v>2</v>
      </c>
      <c r="P1168" s="1">
        <f>COUNTIF(HR_Data[Employee Number],HR_Data[[#This Row],[Employee Number]])</f>
        <v>1</v>
      </c>
      <c r="Q1168" s="1" t="str">
        <f>IF(HR_Data[[#This Row],[Years At Company]]&lt;=HR_Data[[#This Row],[Total Working Years]],"Valid","error")</f>
        <v>Valid</v>
      </c>
      <c r="R1168" s="1" t="str" cm="1">
        <f t="array" ref="R1168">_xlfn.IFS(HR_Data[[#This Row],[Age]]&lt;=30,"Young", HR_Data[[#This Row],[Age]]&lt;=45,"Mid-Age",HR_Data[[#This Row],[Age]]&gt;45,"Senior")</f>
        <v>Senior</v>
      </c>
      <c r="S1168" s="1" t="str" cm="1">
        <f t="array" ref="S1168">_xlfn.IFS(HR_Data[[#This Row],[Monthly Income]]&lt;5000,"Low", HR_Data[[#This Row],[Monthly Income]]&lt;10000,"Medium",TRUE,"High")</f>
        <v>High</v>
      </c>
      <c r="T1168" s="1" t="str" cm="1">
        <f t="array" ref="T1168">_xlfn.IFS(HR_Data[[#This Row],[Total Working Years]]&lt;=5,"Junior", HR_Data[[#This Row],[Total Working Years]]&lt;=15,"Mid-Level", TRUE, "Senior")</f>
        <v>Senior</v>
      </c>
    </row>
    <row r="1169" spans="1:20" x14ac:dyDescent="0.25">
      <c r="A1169" s="1">
        <v>1645</v>
      </c>
      <c r="B1169" s="1">
        <v>35</v>
      </c>
      <c r="C1169" t="s">
        <v>4</v>
      </c>
      <c r="D1169" t="s">
        <v>5</v>
      </c>
      <c r="E1169" t="s">
        <v>15</v>
      </c>
      <c r="F1169" t="s">
        <v>11</v>
      </c>
      <c r="G1169" t="s">
        <v>8</v>
      </c>
      <c r="H1169" s="1">
        <v>4</v>
      </c>
      <c r="I1169" s="1">
        <v>5440</v>
      </c>
      <c r="J1169" t="s">
        <v>4</v>
      </c>
      <c r="K1169" s="1">
        <v>14</v>
      </c>
      <c r="L1169" s="1">
        <v>3</v>
      </c>
      <c r="M1169" s="1">
        <v>7</v>
      </c>
      <c r="N1169" s="1">
        <v>2</v>
      </c>
      <c r="O1169" s="1">
        <v>2</v>
      </c>
      <c r="P1169" s="1">
        <f>COUNTIF(HR_Data[Employee Number],HR_Data[[#This Row],[Employee Number]])</f>
        <v>1</v>
      </c>
      <c r="Q1169" s="1" t="str">
        <f>IF(HR_Data[[#This Row],[Years At Company]]&lt;=HR_Data[[#This Row],[Total Working Years]],"Valid","error")</f>
        <v>Valid</v>
      </c>
      <c r="R1169" s="1" t="str" cm="1">
        <f t="array" ref="R1169">_xlfn.IFS(HR_Data[[#This Row],[Age]]&lt;=30,"Young", HR_Data[[#This Row],[Age]]&lt;=45,"Mid-Age",HR_Data[[#This Row],[Age]]&gt;45,"Senior")</f>
        <v>Mid-Age</v>
      </c>
      <c r="S1169" s="1" t="str" cm="1">
        <f t="array" ref="S1169">_xlfn.IFS(HR_Data[[#This Row],[Monthly Income]]&lt;5000,"Low", HR_Data[[#This Row],[Monthly Income]]&lt;10000,"Medium",TRUE,"High")</f>
        <v>Medium</v>
      </c>
      <c r="T1169" s="1" t="str" cm="1">
        <f t="array" ref="T1169">_xlfn.IFS(HR_Data[[#This Row],[Total Working Years]]&lt;=5,"Junior", HR_Data[[#This Row],[Total Working Years]]&lt;=15,"Mid-Level", TRUE, "Senior")</f>
        <v>Mid-Level</v>
      </c>
    </row>
    <row r="1170" spans="1:20" x14ac:dyDescent="0.25">
      <c r="A1170" s="1">
        <v>1646</v>
      </c>
      <c r="B1170" s="1">
        <v>24</v>
      </c>
      <c r="C1170" t="s">
        <v>9</v>
      </c>
      <c r="D1170" t="s">
        <v>10</v>
      </c>
      <c r="E1170" t="s">
        <v>22</v>
      </c>
      <c r="F1170" t="s">
        <v>7</v>
      </c>
      <c r="G1170" t="s">
        <v>12</v>
      </c>
      <c r="H1170" s="1">
        <v>4</v>
      </c>
      <c r="I1170" s="1">
        <v>3760</v>
      </c>
      <c r="J1170" t="s">
        <v>4</v>
      </c>
      <c r="K1170" s="1">
        <v>13</v>
      </c>
      <c r="L1170" s="1">
        <v>3</v>
      </c>
      <c r="M1170" s="1">
        <v>6</v>
      </c>
      <c r="N1170" s="1">
        <v>3</v>
      </c>
      <c r="O1170" s="1">
        <v>6</v>
      </c>
      <c r="P1170" s="1">
        <f>COUNTIF(HR_Data[Employee Number],HR_Data[[#This Row],[Employee Number]])</f>
        <v>1</v>
      </c>
      <c r="Q1170" s="1" t="str">
        <f>IF(HR_Data[[#This Row],[Years At Company]]&lt;=HR_Data[[#This Row],[Total Working Years]],"Valid","error")</f>
        <v>Valid</v>
      </c>
      <c r="R1170" s="1" t="str" cm="1">
        <f t="array" ref="R1170">_xlfn.IFS(HR_Data[[#This Row],[Age]]&lt;=30,"Young", HR_Data[[#This Row],[Age]]&lt;=45,"Mid-Age",HR_Data[[#This Row],[Age]]&gt;45,"Senior")</f>
        <v>Young</v>
      </c>
      <c r="S1170" s="1" t="str" cm="1">
        <f t="array" ref="S1170">_xlfn.IFS(HR_Data[[#This Row],[Monthly Income]]&lt;5000,"Low", HR_Data[[#This Row],[Monthly Income]]&lt;10000,"Medium",TRUE,"High")</f>
        <v>Low</v>
      </c>
      <c r="T1170" s="1" t="str" cm="1">
        <f t="array" ref="T1170">_xlfn.IFS(HR_Data[[#This Row],[Total Working Years]]&lt;=5,"Junior", HR_Data[[#This Row],[Total Working Years]]&lt;=15,"Mid-Level", TRUE, "Senior")</f>
        <v>Mid-Level</v>
      </c>
    </row>
    <row r="1171" spans="1:20" x14ac:dyDescent="0.25">
      <c r="A1171" s="1">
        <v>1647</v>
      </c>
      <c r="B1171" s="1">
        <v>27</v>
      </c>
      <c r="C1171" t="s">
        <v>9</v>
      </c>
      <c r="D1171" t="s">
        <v>10</v>
      </c>
      <c r="E1171" t="s">
        <v>15</v>
      </c>
      <c r="F1171" t="s">
        <v>7</v>
      </c>
      <c r="G1171" t="s">
        <v>12</v>
      </c>
      <c r="H1171" s="1">
        <v>3</v>
      </c>
      <c r="I1171" s="1">
        <v>3517</v>
      </c>
      <c r="J1171" t="s">
        <v>9</v>
      </c>
      <c r="K1171" s="1">
        <v>17</v>
      </c>
      <c r="L1171" s="1">
        <v>3</v>
      </c>
      <c r="M1171" s="1">
        <v>5</v>
      </c>
      <c r="N1171" s="1">
        <v>3</v>
      </c>
      <c r="O1171" s="1">
        <v>3</v>
      </c>
      <c r="P1171" s="1">
        <f>COUNTIF(HR_Data[Employee Number],HR_Data[[#This Row],[Employee Number]])</f>
        <v>1</v>
      </c>
      <c r="Q1171" s="1" t="str">
        <f>IF(HR_Data[[#This Row],[Years At Company]]&lt;=HR_Data[[#This Row],[Total Working Years]],"Valid","error")</f>
        <v>Valid</v>
      </c>
      <c r="R1171" s="1" t="str" cm="1">
        <f t="array" ref="R1171">_xlfn.IFS(HR_Data[[#This Row],[Age]]&lt;=30,"Young", HR_Data[[#This Row],[Age]]&lt;=45,"Mid-Age",HR_Data[[#This Row],[Age]]&gt;45,"Senior")</f>
        <v>Young</v>
      </c>
      <c r="S1171" s="1" t="str" cm="1">
        <f t="array" ref="S1171">_xlfn.IFS(HR_Data[[#This Row],[Monthly Income]]&lt;5000,"Low", HR_Data[[#This Row],[Monthly Income]]&lt;10000,"Medium",TRUE,"High")</f>
        <v>Low</v>
      </c>
      <c r="T1171" s="1" t="str" cm="1">
        <f t="array" ref="T1171">_xlfn.IFS(HR_Data[[#This Row],[Total Working Years]]&lt;=5,"Junior", HR_Data[[#This Row],[Total Working Years]]&lt;=15,"Mid-Level", TRUE, "Senior")</f>
        <v>Junior</v>
      </c>
    </row>
    <row r="1172" spans="1:20" x14ac:dyDescent="0.25">
      <c r="A1172" s="1">
        <v>1648</v>
      </c>
      <c r="B1172" s="1">
        <v>27</v>
      </c>
      <c r="C1172" t="s">
        <v>9</v>
      </c>
      <c r="D1172" t="s">
        <v>10</v>
      </c>
      <c r="E1172" t="s">
        <v>15</v>
      </c>
      <c r="F1172" t="s">
        <v>11</v>
      </c>
      <c r="G1172" t="s">
        <v>12</v>
      </c>
      <c r="H1172" s="1">
        <v>4</v>
      </c>
      <c r="I1172" s="1">
        <v>2580</v>
      </c>
      <c r="J1172" t="s">
        <v>9</v>
      </c>
      <c r="K1172" s="1">
        <v>13</v>
      </c>
      <c r="L1172" s="1">
        <v>3</v>
      </c>
      <c r="M1172" s="1">
        <v>6</v>
      </c>
      <c r="N1172" s="1">
        <v>2</v>
      </c>
      <c r="O1172" s="1">
        <v>4</v>
      </c>
      <c r="P1172" s="1">
        <f>COUNTIF(HR_Data[Employee Number],HR_Data[[#This Row],[Employee Number]])</f>
        <v>1</v>
      </c>
      <c r="Q1172" s="1" t="str">
        <f>IF(HR_Data[[#This Row],[Years At Company]]&lt;=HR_Data[[#This Row],[Total Working Years]],"Valid","error")</f>
        <v>Valid</v>
      </c>
      <c r="R1172" s="1" t="str" cm="1">
        <f t="array" ref="R1172">_xlfn.IFS(HR_Data[[#This Row],[Age]]&lt;=30,"Young", HR_Data[[#This Row],[Age]]&lt;=45,"Mid-Age",HR_Data[[#This Row],[Age]]&gt;45,"Senior")</f>
        <v>Young</v>
      </c>
      <c r="S1172" s="1" t="str" cm="1">
        <f t="array" ref="S1172">_xlfn.IFS(HR_Data[[#This Row],[Monthly Income]]&lt;5000,"Low", HR_Data[[#This Row],[Monthly Income]]&lt;10000,"Medium",TRUE,"High")</f>
        <v>Low</v>
      </c>
      <c r="T1172" s="1" t="str" cm="1">
        <f t="array" ref="T1172">_xlfn.IFS(HR_Data[[#This Row],[Total Working Years]]&lt;=5,"Junior", HR_Data[[#This Row],[Total Working Years]]&lt;=15,"Mid-Level", TRUE, "Senior")</f>
        <v>Mid-Level</v>
      </c>
    </row>
    <row r="1173" spans="1:20" x14ac:dyDescent="0.25">
      <c r="A1173" s="1">
        <v>1649</v>
      </c>
      <c r="B1173" s="1">
        <v>40</v>
      </c>
      <c r="C1173" t="s">
        <v>4</v>
      </c>
      <c r="D1173" t="s">
        <v>10</v>
      </c>
      <c r="E1173" t="s">
        <v>6</v>
      </c>
      <c r="F1173" t="s">
        <v>11</v>
      </c>
      <c r="G1173" t="s">
        <v>14</v>
      </c>
      <c r="H1173" s="1">
        <v>1</v>
      </c>
      <c r="I1173" s="1">
        <v>2166</v>
      </c>
      <c r="J1173" t="s">
        <v>4</v>
      </c>
      <c r="K1173" s="1">
        <v>14</v>
      </c>
      <c r="L1173" s="1">
        <v>3</v>
      </c>
      <c r="M1173" s="1">
        <v>10</v>
      </c>
      <c r="N1173" s="1">
        <v>1</v>
      </c>
      <c r="O1173" s="1">
        <v>4</v>
      </c>
      <c r="P1173" s="1">
        <f>COUNTIF(HR_Data[Employee Number],HR_Data[[#This Row],[Employee Number]])</f>
        <v>1</v>
      </c>
      <c r="Q1173" s="1" t="str">
        <f>IF(HR_Data[[#This Row],[Years At Company]]&lt;=HR_Data[[#This Row],[Total Working Years]],"Valid","error")</f>
        <v>Valid</v>
      </c>
      <c r="R1173" s="1" t="str" cm="1">
        <f t="array" ref="R1173">_xlfn.IFS(HR_Data[[#This Row],[Age]]&lt;=30,"Young", HR_Data[[#This Row],[Age]]&lt;=45,"Mid-Age",HR_Data[[#This Row],[Age]]&gt;45,"Senior")</f>
        <v>Mid-Age</v>
      </c>
      <c r="S1173" s="1" t="str" cm="1">
        <f t="array" ref="S1173">_xlfn.IFS(HR_Data[[#This Row],[Monthly Income]]&lt;5000,"Low", HR_Data[[#This Row],[Monthly Income]]&lt;10000,"Medium",TRUE,"High")</f>
        <v>Low</v>
      </c>
      <c r="T1173" s="1" t="str" cm="1">
        <f t="array" ref="T1173">_xlfn.IFS(HR_Data[[#This Row],[Total Working Years]]&lt;=5,"Junior", HR_Data[[#This Row],[Total Working Years]]&lt;=15,"Mid-Level", TRUE, "Senior")</f>
        <v>Mid-Level</v>
      </c>
    </row>
    <row r="1174" spans="1:20" x14ac:dyDescent="0.25">
      <c r="A1174" s="1">
        <v>1650</v>
      </c>
      <c r="B1174" s="1">
        <v>29</v>
      </c>
      <c r="C1174" t="s">
        <v>9</v>
      </c>
      <c r="D1174" t="s">
        <v>5</v>
      </c>
      <c r="E1174" t="s">
        <v>15</v>
      </c>
      <c r="F1174" t="s">
        <v>11</v>
      </c>
      <c r="G1174" t="s">
        <v>8</v>
      </c>
      <c r="H1174" s="1">
        <v>3</v>
      </c>
      <c r="I1174" s="1">
        <v>5869</v>
      </c>
      <c r="J1174" t="s">
        <v>9</v>
      </c>
      <c r="K1174" s="1">
        <v>11</v>
      </c>
      <c r="L1174" s="1">
        <v>3</v>
      </c>
      <c r="M1174" s="1">
        <v>8</v>
      </c>
      <c r="N1174" s="1">
        <v>3</v>
      </c>
      <c r="O1174" s="1">
        <v>5</v>
      </c>
      <c r="P1174" s="1">
        <f>COUNTIF(HR_Data[Employee Number],HR_Data[[#This Row],[Employee Number]])</f>
        <v>1</v>
      </c>
      <c r="Q1174" s="1" t="str">
        <f>IF(HR_Data[[#This Row],[Years At Company]]&lt;=HR_Data[[#This Row],[Total Working Years]],"Valid","error")</f>
        <v>Valid</v>
      </c>
      <c r="R1174" s="1" t="str" cm="1">
        <f t="array" ref="R1174">_xlfn.IFS(HR_Data[[#This Row],[Age]]&lt;=30,"Young", HR_Data[[#This Row],[Age]]&lt;=45,"Mid-Age",HR_Data[[#This Row],[Age]]&gt;45,"Senior")</f>
        <v>Young</v>
      </c>
      <c r="S1174" s="1" t="str" cm="1">
        <f t="array" ref="S1174">_xlfn.IFS(HR_Data[[#This Row],[Monthly Income]]&lt;5000,"Low", HR_Data[[#This Row],[Monthly Income]]&lt;10000,"Medium",TRUE,"High")</f>
        <v>Medium</v>
      </c>
      <c r="T1174" s="1" t="str" cm="1">
        <f t="array" ref="T1174">_xlfn.IFS(HR_Data[[#This Row],[Total Working Years]]&lt;=5,"Junior", HR_Data[[#This Row],[Total Working Years]]&lt;=15,"Mid-Level", TRUE, "Senior")</f>
        <v>Mid-Level</v>
      </c>
    </row>
    <row r="1175" spans="1:20" x14ac:dyDescent="0.25">
      <c r="A1175" s="1">
        <v>1651</v>
      </c>
      <c r="B1175" s="1">
        <v>36</v>
      </c>
      <c r="C1175" t="s">
        <v>9</v>
      </c>
      <c r="D1175" t="s">
        <v>10</v>
      </c>
      <c r="E1175" t="s">
        <v>6</v>
      </c>
      <c r="F1175" t="s">
        <v>7</v>
      </c>
      <c r="G1175" t="s">
        <v>17</v>
      </c>
      <c r="H1175" s="1">
        <v>1</v>
      </c>
      <c r="I1175" s="1">
        <v>8008</v>
      </c>
      <c r="J1175" t="s">
        <v>9</v>
      </c>
      <c r="K1175" s="1">
        <v>12</v>
      </c>
      <c r="L1175" s="1">
        <v>3</v>
      </c>
      <c r="M1175" s="1">
        <v>9</v>
      </c>
      <c r="N1175" s="1">
        <v>3</v>
      </c>
      <c r="O1175" s="1">
        <v>3</v>
      </c>
      <c r="P1175" s="1">
        <f>COUNTIF(HR_Data[Employee Number],HR_Data[[#This Row],[Employee Number]])</f>
        <v>1</v>
      </c>
      <c r="Q1175" s="1" t="str">
        <f>IF(HR_Data[[#This Row],[Years At Company]]&lt;=HR_Data[[#This Row],[Total Working Years]],"Valid","error")</f>
        <v>Valid</v>
      </c>
      <c r="R1175" s="1" t="str" cm="1">
        <f t="array" ref="R1175">_xlfn.IFS(HR_Data[[#This Row],[Age]]&lt;=30,"Young", HR_Data[[#This Row],[Age]]&lt;=45,"Mid-Age",HR_Data[[#This Row],[Age]]&gt;45,"Senior")</f>
        <v>Mid-Age</v>
      </c>
      <c r="S1175" s="1" t="str" cm="1">
        <f t="array" ref="S1175">_xlfn.IFS(HR_Data[[#This Row],[Monthly Income]]&lt;5000,"Low", HR_Data[[#This Row],[Monthly Income]]&lt;10000,"Medium",TRUE,"High")</f>
        <v>Medium</v>
      </c>
      <c r="T1175" s="1" t="str" cm="1">
        <f t="array" ref="T1175">_xlfn.IFS(HR_Data[[#This Row],[Total Working Years]]&lt;=5,"Junior", HR_Data[[#This Row],[Total Working Years]]&lt;=15,"Mid-Level", TRUE, "Senior")</f>
        <v>Mid-Level</v>
      </c>
    </row>
    <row r="1176" spans="1:20" x14ac:dyDescent="0.25">
      <c r="A1176" s="1">
        <v>1653</v>
      </c>
      <c r="B1176" s="1">
        <v>25</v>
      </c>
      <c r="C1176" t="s">
        <v>9</v>
      </c>
      <c r="D1176" t="s">
        <v>10</v>
      </c>
      <c r="E1176" t="s">
        <v>6</v>
      </c>
      <c r="F1176" t="s">
        <v>11</v>
      </c>
      <c r="G1176" t="s">
        <v>16</v>
      </c>
      <c r="H1176" s="1">
        <v>3</v>
      </c>
      <c r="I1176" s="1">
        <v>5206</v>
      </c>
      <c r="J1176" t="s">
        <v>9</v>
      </c>
      <c r="K1176" s="1">
        <v>17</v>
      </c>
      <c r="L1176" s="1">
        <v>3</v>
      </c>
      <c r="M1176" s="1">
        <v>7</v>
      </c>
      <c r="N1176" s="1">
        <v>3</v>
      </c>
      <c r="O1176" s="1">
        <v>7</v>
      </c>
      <c r="P1176" s="1">
        <f>COUNTIF(HR_Data[Employee Number],HR_Data[[#This Row],[Employee Number]])</f>
        <v>1</v>
      </c>
      <c r="Q1176" s="1" t="str">
        <f>IF(HR_Data[[#This Row],[Years At Company]]&lt;=HR_Data[[#This Row],[Total Working Years]],"Valid","error")</f>
        <v>Valid</v>
      </c>
      <c r="R1176" s="1" t="str" cm="1">
        <f t="array" ref="R1176">_xlfn.IFS(HR_Data[[#This Row],[Age]]&lt;=30,"Young", HR_Data[[#This Row],[Age]]&lt;=45,"Mid-Age",HR_Data[[#This Row],[Age]]&gt;45,"Senior")</f>
        <v>Young</v>
      </c>
      <c r="S1176" s="1" t="str" cm="1">
        <f t="array" ref="S1176">_xlfn.IFS(HR_Data[[#This Row],[Monthly Income]]&lt;5000,"Low", HR_Data[[#This Row],[Monthly Income]]&lt;10000,"Medium",TRUE,"High")</f>
        <v>Medium</v>
      </c>
      <c r="T1176" s="1" t="str" cm="1">
        <f t="array" ref="T1176">_xlfn.IFS(HR_Data[[#This Row],[Total Working Years]]&lt;=5,"Junior", HR_Data[[#This Row],[Total Working Years]]&lt;=15,"Mid-Level", TRUE, "Senior")</f>
        <v>Mid-Level</v>
      </c>
    </row>
    <row r="1177" spans="1:20" x14ac:dyDescent="0.25">
      <c r="A1177" s="1">
        <v>1654</v>
      </c>
      <c r="B1177" s="1">
        <v>39</v>
      </c>
      <c r="C1177" t="s">
        <v>9</v>
      </c>
      <c r="D1177" t="s">
        <v>10</v>
      </c>
      <c r="E1177" t="s">
        <v>15</v>
      </c>
      <c r="F1177" t="s">
        <v>11</v>
      </c>
      <c r="G1177" t="s">
        <v>16</v>
      </c>
      <c r="H1177" s="1">
        <v>2</v>
      </c>
      <c r="I1177" s="1">
        <v>5295</v>
      </c>
      <c r="J1177" t="s">
        <v>9</v>
      </c>
      <c r="K1177" s="1">
        <v>21</v>
      </c>
      <c r="L1177" s="1">
        <v>4</v>
      </c>
      <c r="M1177" s="1">
        <v>7</v>
      </c>
      <c r="N1177" s="1">
        <v>3</v>
      </c>
      <c r="O1177" s="1">
        <v>5</v>
      </c>
      <c r="P1177" s="1">
        <f>COUNTIF(HR_Data[Employee Number],HR_Data[[#This Row],[Employee Number]])</f>
        <v>1</v>
      </c>
      <c r="Q1177" s="1" t="str">
        <f>IF(HR_Data[[#This Row],[Years At Company]]&lt;=HR_Data[[#This Row],[Total Working Years]],"Valid","error")</f>
        <v>Valid</v>
      </c>
      <c r="R1177" s="1" t="str" cm="1">
        <f t="array" ref="R1177">_xlfn.IFS(HR_Data[[#This Row],[Age]]&lt;=30,"Young", HR_Data[[#This Row],[Age]]&lt;=45,"Mid-Age",HR_Data[[#This Row],[Age]]&gt;45,"Senior")</f>
        <v>Mid-Age</v>
      </c>
      <c r="S1177" s="1" t="str" cm="1">
        <f t="array" ref="S1177">_xlfn.IFS(HR_Data[[#This Row],[Monthly Income]]&lt;5000,"Low", HR_Data[[#This Row],[Monthly Income]]&lt;10000,"Medium",TRUE,"High")</f>
        <v>Medium</v>
      </c>
      <c r="T1177" s="1" t="str" cm="1">
        <f t="array" ref="T1177">_xlfn.IFS(HR_Data[[#This Row],[Total Working Years]]&lt;=5,"Junior", HR_Data[[#This Row],[Total Working Years]]&lt;=15,"Mid-Level", TRUE, "Senior")</f>
        <v>Mid-Level</v>
      </c>
    </row>
    <row r="1178" spans="1:20" x14ac:dyDescent="0.25">
      <c r="A1178" s="1">
        <v>1655</v>
      </c>
      <c r="B1178" s="1">
        <v>49</v>
      </c>
      <c r="C1178" t="s">
        <v>9</v>
      </c>
      <c r="D1178" t="s">
        <v>10</v>
      </c>
      <c r="E1178" t="s">
        <v>13</v>
      </c>
      <c r="F1178" t="s">
        <v>7</v>
      </c>
      <c r="G1178" t="s">
        <v>20</v>
      </c>
      <c r="H1178" s="1">
        <v>2</v>
      </c>
      <c r="I1178" s="1">
        <v>16413</v>
      </c>
      <c r="J1178" t="s">
        <v>9</v>
      </c>
      <c r="K1178" s="1">
        <v>16</v>
      </c>
      <c r="L1178" s="1">
        <v>3</v>
      </c>
      <c r="M1178" s="1">
        <v>27</v>
      </c>
      <c r="N1178" s="1">
        <v>3</v>
      </c>
      <c r="O1178" s="1">
        <v>4</v>
      </c>
      <c r="P1178" s="1">
        <f>COUNTIF(HR_Data[Employee Number],HR_Data[[#This Row],[Employee Number]])</f>
        <v>1</v>
      </c>
      <c r="Q1178" s="1" t="str">
        <f>IF(HR_Data[[#This Row],[Years At Company]]&lt;=HR_Data[[#This Row],[Total Working Years]],"Valid","error")</f>
        <v>Valid</v>
      </c>
      <c r="R1178" s="1" t="str" cm="1">
        <f t="array" ref="R1178">_xlfn.IFS(HR_Data[[#This Row],[Age]]&lt;=30,"Young", HR_Data[[#This Row],[Age]]&lt;=45,"Mid-Age",HR_Data[[#This Row],[Age]]&gt;45,"Senior")</f>
        <v>Senior</v>
      </c>
      <c r="S1178" s="1" t="str" cm="1">
        <f t="array" ref="S1178">_xlfn.IFS(HR_Data[[#This Row],[Monthly Income]]&lt;5000,"Low", HR_Data[[#This Row],[Monthly Income]]&lt;10000,"Medium",TRUE,"High")</f>
        <v>High</v>
      </c>
      <c r="T1178" s="1" t="str" cm="1">
        <f t="array" ref="T1178">_xlfn.IFS(HR_Data[[#This Row],[Total Working Years]]&lt;=5,"Junior", HR_Data[[#This Row],[Total Working Years]]&lt;=15,"Mid-Level", TRUE, "Senior")</f>
        <v>Senior</v>
      </c>
    </row>
    <row r="1179" spans="1:20" x14ac:dyDescent="0.25">
      <c r="A1179" s="1">
        <v>1656</v>
      </c>
      <c r="B1179" s="1">
        <v>50</v>
      </c>
      <c r="C1179" t="s">
        <v>9</v>
      </c>
      <c r="D1179" t="s">
        <v>10</v>
      </c>
      <c r="E1179" t="s">
        <v>6</v>
      </c>
      <c r="F1179" t="s">
        <v>7</v>
      </c>
      <c r="G1179" t="s">
        <v>20</v>
      </c>
      <c r="H1179" s="1">
        <v>1</v>
      </c>
      <c r="I1179" s="1">
        <v>13269</v>
      </c>
      <c r="J1179" t="s">
        <v>9</v>
      </c>
      <c r="K1179" s="1">
        <v>15</v>
      </c>
      <c r="L1179" s="1">
        <v>3</v>
      </c>
      <c r="M1179" s="1">
        <v>19</v>
      </c>
      <c r="N1179" s="1">
        <v>3</v>
      </c>
      <c r="O1179" s="1">
        <v>14</v>
      </c>
      <c r="P1179" s="1">
        <f>COUNTIF(HR_Data[Employee Number],HR_Data[[#This Row],[Employee Number]])</f>
        <v>1</v>
      </c>
      <c r="Q1179" s="1" t="str">
        <f>IF(HR_Data[[#This Row],[Years At Company]]&lt;=HR_Data[[#This Row],[Total Working Years]],"Valid","error")</f>
        <v>Valid</v>
      </c>
      <c r="R1179" s="1" t="str" cm="1">
        <f t="array" ref="R1179">_xlfn.IFS(HR_Data[[#This Row],[Age]]&lt;=30,"Young", HR_Data[[#This Row],[Age]]&lt;=45,"Mid-Age",HR_Data[[#This Row],[Age]]&gt;45,"Senior")</f>
        <v>Senior</v>
      </c>
      <c r="S1179" s="1" t="str" cm="1">
        <f t="array" ref="S1179">_xlfn.IFS(HR_Data[[#This Row],[Monthly Income]]&lt;5000,"Low", HR_Data[[#This Row],[Monthly Income]]&lt;10000,"Medium",TRUE,"High")</f>
        <v>High</v>
      </c>
      <c r="T1179" s="1" t="str" cm="1">
        <f t="array" ref="T1179">_xlfn.IFS(HR_Data[[#This Row],[Total Working Years]]&lt;=5,"Junior", HR_Data[[#This Row],[Total Working Years]]&lt;=15,"Mid-Level", TRUE, "Senior")</f>
        <v>Senior</v>
      </c>
    </row>
    <row r="1180" spans="1:20" x14ac:dyDescent="0.25">
      <c r="A1180" s="1">
        <v>1657</v>
      </c>
      <c r="B1180" s="1">
        <v>20</v>
      </c>
      <c r="C1180" t="s">
        <v>9</v>
      </c>
      <c r="D1180" t="s">
        <v>5</v>
      </c>
      <c r="E1180" t="s">
        <v>15</v>
      </c>
      <c r="F1180" t="s">
        <v>7</v>
      </c>
      <c r="G1180" t="s">
        <v>19</v>
      </c>
      <c r="H1180" s="1">
        <v>3</v>
      </c>
      <c r="I1180" s="1">
        <v>2783</v>
      </c>
      <c r="J1180" t="s">
        <v>9</v>
      </c>
      <c r="K1180" s="1">
        <v>19</v>
      </c>
      <c r="L1180" s="1">
        <v>3</v>
      </c>
      <c r="M1180" s="1">
        <v>2</v>
      </c>
      <c r="N1180" s="1">
        <v>3</v>
      </c>
      <c r="O1180" s="1">
        <v>2</v>
      </c>
      <c r="P1180" s="1">
        <f>COUNTIF(HR_Data[Employee Number],HR_Data[[#This Row],[Employee Number]])</f>
        <v>1</v>
      </c>
      <c r="Q1180" s="1" t="str">
        <f>IF(HR_Data[[#This Row],[Years At Company]]&lt;=HR_Data[[#This Row],[Total Working Years]],"Valid","error")</f>
        <v>Valid</v>
      </c>
      <c r="R1180" s="1" t="str" cm="1">
        <f t="array" ref="R1180">_xlfn.IFS(HR_Data[[#This Row],[Age]]&lt;=30,"Young", HR_Data[[#This Row],[Age]]&lt;=45,"Mid-Age",HR_Data[[#This Row],[Age]]&gt;45,"Senior")</f>
        <v>Young</v>
      </c>
      <c r="S1180" s="1" t="str" cm="1">
        <f t="array" ref="S1180">_xlfn.IFS(HR_Data[[#This Row],[Monthly Income]]&lt;5000,"Low", HR_Data[[#This Row],[Monthly Income]]&lt;10000,"Medium",TRUE,"High")</f>
        <v>Low</v>
      </c>
      <c r="T1180" s="1" t="str" cm="1">
        <f t="array" ref="T1180">_xlfn.IFS(HR_Data[[#This Row],[Total Working Years]]&lt;=5,"Junior", HR_Data[[#This Row],[Total Working Years]]&lt;=15,"Mid-Level", TRUE, "Senior")</f>
        <v>Junior</v>
      </c>
    </row>
    <row r="1181" spans="1:20" x14ac:dyDescent="0.25">
      <c r="A1181" s="1">
        <v>1658</v>
      </c>
      <c r="B1181" s="1">
        <v>34</v>
      </c>
      <c r="C1181" t="s">
        <v>9</v>
      </c>
      <c r="D1181" t="s">
        <v>10</v>
      </c>
      <c r="E1181" t="s">
        <v>6</v>
      </c>
      <c r="F1181" t="s">
        <v>7</v>
      </c>
      <c r="G1181" t="s">
        <v>12</v>
      </c>
      <c r="H1181" s="1">
        <v>2</v>
      </c>
      <c r="I1181" s="1">
        <v>5433</v>
      </c>
      <c r="J1181" t="s">
        <v>9</v>
      </c>
      <c r="K1181" s="1">
        <v>12</v>
      </c>
      <c r="L1181" s="1">
        <v>3</v>
      </c>
      <c r="M1181" s="1">
        <v>11</v>
      </c>
      <c r="N1181" s="1">
        <v>3</v>
      </c>
      <c r="O1181" s="1">
        <v>11</v>
      </c>
      <c r="P1181" s="1">
        <f>COUNTIF(HR_Data[Employee Number],HR_Data[[#This Row],[Employee Number]])</f>
        <v>1</v>
      </c>
      <c r="Q1181" s="1" t="str">
        <f>IF(HR_Data[[#This Row],[Years At Company]]&lt;=HR_Data[[#This Row],[Total Working Years]],"Valid","error")</f>
        <v>Valid</v>
      </c>
      <c r="R1181" s="1" t="str" cm="1">
        <f t="array" ref="R1181">_xlfn.IFS(HR_Data[[#This Row],[Age]]&lt;=30,"Young", HR_Data[[#This Row],[Age]]&lt;=45,"Mid-Age",HR_Data[[#This Row],[Age]]&gt;45,"Senior")</f>
        <v>Mid-Age</v>
      </c>
      <c r="S1181" s="1" t="str" cm="1">
        <f t="array" ref="S1181">_xlfn.IFS(HR_Data[[#This Row],[Monthly Income]]&lt;5000,"Low", HR_Data[[#This Row],[Monthly Income]]&lt;10000,"Medium",TRUE,"High")</f>
        <v>Medium</v>
      </c>
      <c r="T1181" s="1" t="str" cm="1">
        <f t="array" ref="T1181">_xlfn.IFS(HR_Data[[#This Row],[Total Working Years]]&lt;=5,"Junior", HR_Data[[#This Row],[Total Working Years]]&lt;=15,"Mid-Level", TRUE, "Senior")</f>
        <v>Mid-Level</v>
      </c>
    </row>
    <row r="1182" spans="1:20" x14ac:dyDescent="0.25">
      <c r="A1182" s="1">
        <v>1659</v>
      </c>
      <c r="B1182" s="1">
        <v>36</v>
      </c>
      <c r="C1182" t="s">
        <v>9</v>
      </c>
      <c r="D1182" t="s">
        <v>10</v>
      </c>
      <c r="E1182" t="s">
        <v>6</v>
      </c>
      <c r="F1182" t="s">
        <v>11</v>
      </c>
      <c r="G1182" t="s">
        <v>14</v>
      </c>
      <c r="H1182" s="1">
        <v>2</v>
      </c>
      <c r="I1182" s="1">
        <v>2013</v>
      </c>
      <c r="J1182" t="s">
        <v>9</v>
      </c>
      <c r="K1182" s="1">
        <v>11</v>
      </c>
      <c r="L1182" s="1">
        <v>3</v>
      </c>
      <c r="M1182" s="1">
        <v>15</v>
      </c>
      <c r="N1182" s="1">
        <v>3</v>
      </c>
      <c r="O1182" s="1">
        <v>4</v>
      </c>
      <c r="P1182" s="1">
        <f>COUNTIF(HR_Data[Employee Number],HR_Data[[#This Row],[Employee Number]])</f>
        <v>1</v>
      </c>
      <c r="Q1182" s="1" t="str">
        <f>IF(HR_Data[[#This Row],[Years At Company]]&lt;=HR_Data[[#This Row],[Total Working Years]],"Valid","error")</f>
        <v>Valid</v>
      </c>
      <c r="R1182" s="1" t="str" cm="1">
        <f t="array" ref="R1182">_xlfn.IFS(HR_Data[[#This Row],[Age]]&lt;=30,"Young", HR_Data[[#This Row],[Age]]&lt;=45,"Mid-Age",HR_Data[[#This Row],[Age]]&gt;45,"Senior")</f>
        <v>Mid-Age</v>
      </c>
      <c r="S1182" s="1" t="str" cm="1">
        <f t="array" ref="S1182">_xlfn.IFS(HR_Data[[#This Row],[Monthly Income]]&lt;5000,"Low", HR_Data[[#This Row],[Monthly Income]]&lt;10000,"Medium",TRUE,"High")</f>
        <v>Low</v>
      </c>
      <c r="T1182" s="1" t="str" cm="1">
        <f t="array" ref="T1182">_xlfn.IFS(HR_Data[[#This Row],[Total Working Years]]&lt;=5,"Junior", HR_Data[[#This Row],[Total Working Years]]&lt;=15,"Mid-Level", TRUE, "Senior")</f>
        <v>Mid-Level</v>
      </c>
    </row>
    <row r="1183" spans="1:20" x14ac:dyDescent="0.25">
      <c r="A1183" s="1">
        <v>1661</v>
      </c>
      <c r="B1183" s="1">
        <v>49</v>
      </c>
      <c r="C1183" t="s">
        <v>9</v>
      </c>
      <c r="D1183" t="s">
        <v>10</v>
      </c>
      <c r="E1183" t="s">
        <v>6</v>
      </c>
      <c r="F1183" t="s">
        <v>7</v>
      </c>
      <c r="G1183" t="s">
        <v>17</v>
      </c>
      <c r="H1183" s="1">
        <v>3</v>
      </c>
      <c r="I1183" s="1">
        <v>13966</v>
      </c>
      <c r="J1183" t="s">
        <v>4</v>
      </c>
      <c r="K1183" s="1">
        <v>19</v>
      </c>
      <c r="L1183" s="1">
        <v>3</v>
      </c>
      <c r="M1183" s="1">
        <v>30</v>
      </c>
      <c r="N1183" s="1">
        <v>3</v>
      </c>
      <c r="O1183" s="1">
        <v>15</v>
      </c>
      <c r="P1183" s="1">
        <f>COUNTIF(HR_Data[Employee Number],HR_Data[[#This Row],[Employee Number]])</f>
        <v>1</v>
      </c>
      <c r="Q1183" s="1" t="str">
        <f>IF(HR_Data[[#This Row],[Years At Company]]&lt;=HR_Data[[#This Row],[Total Working Years]],"Valid","error")</f>
        <v>Valid</v>
      </c>
      <c r="R1183" s="1" t="str" cm="1">
        <f t="array" ref="R1183">_xlfn.IFS(HR_Data[[#This Row],[Age]]&lt;=30,"Young", HR_Data[[#This Row],[Age]]&lt;=45,"Mid-Age",HR_Data[[#This Row],[Age]]&gt;45,"Senior")</f>
        <v>Senior</v>
      </c>
      <c r="S1183" s="1" t="str" cm="1">
        <f t="array" ref="S1183">_xlfn.IFS(HR_Data[[#This Row],[Monthly Income]]&lt;5000,"Low", HR_Data[[#This Row],[Monthly Income]]&lt;10000,"Medium",TRUE,"High")</f>
        <v>High</v>
      </c>
      <c r="T1183" s="1" t="str" cm="1">
        <f t="array" ref="T1183">_xlfn.IFS(HR_Data[[#This Row],[Total Working Years]]&lt;=5,"Junior", HR_Data[[#This Row],[Total Working Years]]&lt;=15,"Mid-Level", TRUE, "Senior")</f>
        <v>Senior</v>
      </c>
    </row>
    <row r="1184" spans="1:20" x14ac:dyDescent="0.25">
      <c r="A1184" s="1">
        <v>1662</v>
      </c>
      <c r="B1184" s="1">
        <v>36</v>
      </c>
      <c r="C1184" t="s">
        <v>9</v>
      </c>
      <c r="D1184" t="s">
        <v>10</v>
      </c>
      <c r="E1184" t="s">
        <v>15</v>
      </c>
      <c r="F1184" t="s">
        <v>7</v>
      </c>
      <c r="G1184" t="s">
        <v>16</v>
      </c>
      <c r="H1184" s="1">
        <v>3</v>
      </c>
      <c r="I1184" s="1">
        <v>4374</v>
      </c>
      <c r="J1184" t="s">
        <v>9</v>
      </c>
      <c r="K1184" s="1">
        <v>15</v>
      </c>
      <c r="L1184" s="1">
        <v>3</v>
      </c>
      <c r="M1184" s="1">
        <v>4</v>
      </c>
      <c r="N1184" s="1">
        <v>3</v>
      </c>
      <c r="O1184" s="1">
        <v>3</v>
      </c>
      <c r="P1184" s="1">
        <f>COUNTIF(HR_Data[Employee Number],HR_Data[[#This Row],[Employee Number]])</f>
        <v>1</v>
      </c>
      <c r="Q1184" s="1" t="str">
        <f>IF(HR_Data[[#This Row],[Years At Company]]&lt;=HR_Data[[#This Row],[Total Working Years]],"Valid","error")</f>
        <v>Valid</v>
      </c>
      <c r="R1184" s="1" t="str" cm="1">
        <f t="array" ref="R1184">_xlfn.IFS(HR_Data[[#This Row],[Age]]&lt;=30,"Young", HR_Data[[#This Row],[Age]]&lt;=45,"Mid-Age",HR_Data[[#This Row],[Age]]&gt;45,"Senior")</f>
        <v>Mid-Age</v>
      </c>
      <c r="S1184" s="1" t="str" cm="1">
        <f t="array" ref="S1184">_xlfn.IFS(HR_Data[[#This Row],[Monthly Income]]&lt;5000,"Low", HR_Data[[#This Row],[Monthly Income]]&lt;10000,"Medium",TRUE,"High")</f>
        <v>Low</v>
      </c>
      <c r="T1184" s="1" t="str" cm="1">
        <f t="array" ref="T1184">_xlfn.IFS(HR_Data[[#This Row],[Total Working Years]]&lt;=5,"Junior", HR_Data[[#This Row],[Total Working Years]]&lt;=15,"Mid-Level", TRUE, "Senior")</f>
        <v>Junior</v>
      </c>
    </row>
    <row r="1185" spans="1:20" x14ac:dyDescent="0.25">
      <c r="A1185" s="1">
        <v>1664</v>
      </c>
      <c r="B1185" s="1">
        <v>36</v>
      </c>
      <c r="C1185" t="s">
        <v>9</v>
      </c>
      <c r="D1185" t="s">
        <v>10</v>
      </c>
      <c r="E1185" t="s">
        <v>6</v>
      </c>
      <c r="F1185" t="s">
        <v>11</v>
      </c>
      <c r="G1185" t="s">
        <v>17</v>
      </c>
      <c r="H1185" s="1">
        <v>1</v>
      </c>
      <c r="I1185" s="1">
        <v>6842</v>
      </c>
      <c r="J1185" t="s">
        <v>9</v>
      </c>
      <c r="K1185" s="1">
        <v>20</v>
      </c>
      <c r="L1185" s="1">
        <v>4</v>
      </c>
      <c r="M1185" s="1">
        <v>13</v>
      </c>
      <c r="N1185" s="1">
        <v>3</v>
      </c>
      <c r="O1185" s="1">
        <v>5</v>
      </c>
      <c r="P1185" s="1">
        <f>COUNTIF(HR_Data[Employee Number],HR_Data[[#This Row],[Employee Number]])</f>
        <v>1</v>
      </c>
      <c r="Q1185" s="1" t="str">
        <f>IF(HR_Data[[#This Row],[Years At Company]]&lt;=HR_Data[[#This Row],[Total Working Years]],"Valid","error")</f>
        <v>Valid</v>
      </c>
      <c r="R1185" s="1" t="str" cm="1">
        <f t="array" ref="R1185">_xlfn.IFS(HR_Data[[#This Row],[Age]]&lt;=30,"Young", HR_Data[[#This Row],[Age]]&lt;=45,"Mid-Age",HR_Data[[#This Row],[Age]]&gt;45,"Senior")</f>
        <v>Mid-Age</v>
      </c>
      <c r="S1185" s="1" t="str" cm="1">
        <f t="array" ref="S1185">_xlfn.IFS(HR_Data[[#This Row],[Monthly Income]]&lt;5000,"Low", HR_Data[[#This Row],[Monthly Income]]&lt;10000,"Medium",TRUE,"High")</f>
        <v>Medium</v>
      </c>
      <c r="T1185" s="1" t="str" cm="1">
        <f t="array" ref="T1185">_xlfn.IFS(HR_Data[[#This Row],[Total Working Years]]&lt;=5,"Junior", HR_Data[[#This Row],[Total Working Years]]&lt;=15,"Mid-Level", TRUE, "Senior")</f>
        <v>Mid-Level</v>
      </c>
    </row>
    <row r="1186" spans="1:20" x14ac:dyDescent="0.25">
      <c r="A1186" s="1">
        <v>1665</v>
      </c>
      <c r="B1186" s="1">
        <v>54</v>
      </c>
      <c r="C1186" t="s">
        <v>9</v>
      </c>
      <c r="D1186" t="s">
        <v>10</v>
      </c>
      <c r="E1186" t="s">
        <v>15</v>
      </c>
      <c r="F1186" t="s">
        <v>7</v>
      </c>
      <c r="G1186" t="s">
        <v>18</v>
      </c>
      <c r="H1186" s="1">
        <v>3</v>
      </c>
      <c r="I1186" s="1">
        <v>17426</v>
      </c>
      <c r="J1186" t="s">
        <v>9</v>
      </c>
      <c r="K1186" s="1">
        <v>25</v>
      </c>
      <c r="L1186" s="1">
        <v>4</v>
      </c>
      <c r="M1186" s="1">
        <v>36</v>
      </c>
      <c r="N1186" s="1">
        <v>3</v>
      </c>
      <c r="O1186" s="1">
        <v>10</v>
      </c>
      <c r="P1186" s="1">
        <f>COUNTIF(HR_Data[Employee Number],HR_Data[[#This Row],[Employee Number]])</f>
        <v>1</v>
      </c>
      <c r="Q1186" s="1" t="str">
        <f>IF(HR_Data[[#This Row],[Years At Company]]&lt;=HR_Data[[#This Row],[Total Working Years]],"Valid","error")</f>
        <v>Valid</v>
      </c>
      <c r="R1186" s="1" t="str" cm="1">
        <f t="array" ref="R1186">_xlfn.IFS(HR_Data[[#This Row],[Age]]&lt;=30,"Young", HR_Data[[#This Row],[Age]]&lt;=45,"Mid-Age",HR_Data[[#This Row],[Age]]&gt;45,"Senior")</f>
        <v>Senior</v>
      </c>
      <c r="S1186" s="1" t="str" cm="1">
        <f t="array" ref="S1186">_xlfn.IFS(HR_Data[[#This Row],[Monthly Income]]&lt;5000,"Low", HR_Data[[#This Row],[Monthly Income]]&lt;10000,"Medium",TRUE,"High")</f>
        <v>High</v>
      </c>
      <c r="T1186" s="1" t="str" cm="1">
        <f t="array" ref="T1186">_xlfn.IFS(HR_Data[[#This Row],[Total Working Years]]&lt;=5,"Junior", HR_Data[[#This Row],[Total Working Years]]&lt;=15,"Mid-Level", TRUE, "Senior")</f>
        <v>Senior</v>
      </c>
    </row>
    <row r="1187" spans="1:20" x14ac:dyDescent="0.25">
      <c r="A1187" s="1">
        <v>1666</v>
      </c>
      <c r="B1187" s="1">
        <v>43</v>
      </c>
      <c r="C1187" t="s">
        <v>9</v>
      </c>
      <c r="D1187" t="s">
        <v>10</v>
      </c>
      <c r="E1187" t="s">
        <v>6</v>
      </c>
      <c r="F1187" t="s">
        <v>11</v>
      </c>
      <c r="G1187" t="s">
        <v>20</v>
      </c>
      <c r="H1187" s="1">
        <v>3</v>
      </c>
      <c r="I1187" s="1">
        <v>17603</v>
      </c>
      <c r="J1187" t="s">
        <v>9</v>
      </c>
      <c r="K1187" s="1">
        <v>24</v>
      </c>
      <c r="L1187" s="1">
        <v>4</v>
      </c>
      <c r="M1187" s="1">
        <v>14</v>
      </c>
      <c r="N1187" s="1">
        <v>3</v>
      </c>
      <c r="O1187" s="1">
        <v>14</v>
      </c>
      <c r="P1187" s="1">
        <f>COUNTIF(HR_Data[Employee Number],HR_Data[[#This Row],[Employee Number]])</f>
        <v>1</v>
      </c>
      <c r="Q1187" s="1" t="str">
        <f>IF(HR_Data[[#This Row],[Years At Company]]&lt;=HR_Data[[#This Row],[Total Working Years]],"Valid","error")</f>
        <v>Valid</v>
      </c>
      <c r="R1187" s="1" t="str" cm="1">
        <f t="array" ref="R1187">_xlfn.IFS(HR_Data[[#This Row],[Age]]&lt;=30,"Young", HR_Data[[#This Row],[Age]]&lt;=45,"Mid-Age",HR_Data[[#This Row],[Age]]&gt;45,"Senior")</f>
        <v>Mid-Age</v>
      </c>
      <c r="S1187" s="1" t="str" cm="1">
        <f t="array" ref="S1187">_xlfn.IFS(HR_Data[[#This Row],[Monthly Income]]&lt;5000,"Low", HR_Data[[#This Row],[Monthly Income]]&lt;10000,"Medium",TRUE,"High")</f>
        <v>High</v>
      </c>
      <c r="T1187" s="1" t="str" cm="1">
        <f t="array" ref="T1187">_xlfn.IFS(HR_Data[[#This Row],[Total Working Years]]&lt;=5,"Junior", HR_Data[[#This Row],[Total Working Years]]&lt;=15,"Mid-Level", TRUE, "Senior")</f>
        <v>Mid-Level</v>
      </c>
    </row>
    <row r="1188" spans="1:20" x14ac:dyDescent="0.25">
      <c r="A1188" s="1">
        <v>1667</v>
      </c>
      <c r="B1188" s="1">
        <v>35</v>
      </c>
      <c r="C1188" t="s">
        <v>4</v>
      </c>
      <c r="D1188" t="s">
        <v>5</v>
      </c>
      <c r="E1188" t="s">
        <v>13</v>
      </c>
      <c r="F1188" t="s">
        <v>11</v>
      </c>
      <c r="G1188" t="s">
        <v>8</v>
      </c>
      <c r="H1188" s="1">
        <v>4</v>
      </c>
      <c r="I1188" s="1">
        <v>4581</v>
      </c>
      <c r="J1188" t="s">
        <v>4</v>
      </c>
      <c r="K1188" s="1">
        <v>24</v>
      </c>
      <c r="L1188" s="1">
        <v>4</v>
      </c>
      <c r="M1188" s="1">
        <v>13</v>
      </c>
      <c r="N1188" s="1">
        <v>4</v>
      </c>
      <c r="O1188" s="1">
        <v>11</v>
      </c>
      <c r="P1188" s="1">
        <f>COUNTIF(HR_Data[Employee Number],HR_Data[[#This Row],[Employee Number]])</f>
        <v>1</v>
      </c>
      <c r="Q1188" s="1" t="str">
        <f>IF(HR_Data[[#This Row],[Years At Company]]&lt;=HR_Data[[#This Row],[Total Working Years]],"Valid","error")</f>
        <v>Valid</v>
      </c>
      <c r="R1188" s="1" t="str" cm="1">
        <f t="array" ref="R1188">_xlfn.IFS(HR_Data[[#This Row],[Age]]&lt;=30,"Young", HR_Data[[#This Row],[Age]]&lt;=45,"Mid-Age",HR_Data[[#This Row],[Age]]&gt;45,"Senior")</f>
        <v>Mid-Age</v>
      </c>
      <c r="S1188" s="1" t="str" cm="1">
        <f t="array" ref="S1188">_xlfn.IFS(HR_Data[[#This Row],[Monthly Income]]&lt;5000,"Low", HR_Data[[#This Row],[Monthly Income]]&lt;10000,"Medium",TRUE,"High")</f>
        <v>Low</v>
      </c>
      <c r="T1188" s="1" t="str" cm="1">
        <f t="array" ref="T1188">_xlfn.IFS(HR_Data[[#This Row],[Total Working Years]]&lt;=5,"Junior", HR_Data[[#This Row],[Total Working Years]]&lt;=15,"Mid-Level", TRUE, "Senior")</f>
        <v>Mid-Level</v>
      </c>
    </row>
    <row r="1189" spans="1:20" x14ac:dyDescent="0.25">
      <c r="A1189" s="1">
        <v>1668</v>
      </c>
      <c r="B1189" s="1">
        <v>38</v>
      </c>
      <c r="C1189" t="s">
        <v>9</v>
      </c>
      <c r="D1189" t="s">
        <v>10</v>
      </c>
      <c r="E1189" t="s">
        <v>6</v>
      </c>
      <c r="F1189" t="s">
        <v>11</v>
      </c>
      <c r="G1189" t="s">
        <v>12</v>
      </c>
      <c r="H1189" s="1">
        <v>4</v>
      </c>
      <c r="I1189" s="1">
        <v>4735</v>
      </c>
      <c r="J1189" t="s">
        <v>9</v>
      </c>
      <c r="K1189" s="1">
        <v>15</v>
      </c>
      <c r="L1189" s="1">
        <v>3</v>
      </c>
      <c r="M1189" s="1">
        <v>19</v>
      </c>
      <c r="N1189" s="1">
        <v>4</v>
      </c>
      <c r="O1189" s="1">
        <v>13</v>
      </c>
      <c r="P1189" s="1">
        <f>COUNTIF(HR_Data[Employee Number],HR_Data[[#This Row],[Employee Number]])</f>
        <v>1</v>
      </c>
      <c r="Q1189" s="1" t="str">
        <f>IF(HR_Data[[#This Row],[Years At Company]]&lt;=HR_Data[[#This Row],[Total Working Years]],"Valid","error")</f>
        <v>Valid</v>
      </c>
      <c r="R1189" s="1" t="str" cm="1">
        <f t="array" ref="R1189">_xlfn.IFS(HR_Data[[#This Row],[Age]]&lt;=30,"Young", HR_Data[[#This Row],[Age]]&lt;=45,"Mid-Age",HR_Data[[#This Row],[Age]]&gt;45,"Senior")</f>
        <v>Mid-Age</v>
      </c>
      <c r="S1189" s="1" t="str" cm="1">
        <f t="array" ref="S1189">_xlfn.IFS(HR_Data[[#This Row],[Monthly Income]]&lt;5000,"Low", HR_Data[[#This Row],[Monthly Income]]&lt;10000,"Medium",TRUE,"High")</f>
        <v>Low</v>
      </c>
      <c r="T1189" s="1" t="str" cm="1">
        <f t="array" ref="T1189">_xlfn.IFS(HR_Data[[#This Row],[Total Working Years]]&lt;=5,"Junior", HR_Data[[#This Row],[Total Working Years]]&lt;=15,"Mid-Level", TRUE, "Senior")</f>
        <v>Senior</v>
      </c>
    </row>
    <row r="1190" spans="1:20" x14ac:dyDescent="0.25">
      <c r="A1190" s="1">
        <v>1669</v>
      </c>
      <c r="B1190" s="1">
        <v>29</v>
      </c>
      <c r="C1190" t="s">
        <v>9</v>
      </c>
      <c r="D1190" t="s">
        <v>5</v>
      </c>
      <c r="E1190" t="s">
        <v>15</v>
      </c>
      <c r="F1190" t="s">
        <v>11</v>
      </c>
      <c r="G1190" t="s">
        <v>8</v>
      </c>
      <c r="H1190" s="1">
        <v>2</v>
      </c>
      <c r="I1190" s="1">
        <v>4187</v>
      </c>
      <c r="J1190" t="s">
        <v>4</v>
      </c>
      <c r="K1190" s="1">
        <v>13</v>
      </c>
      <c r="L1190" s="1">
        <v>3</v>
      </c>
      <c r="M1190" s="1">
        <v>10</v>
      </c>
      <c r="N1190" s="1">
        <v>2</v>
      </c>
      <c r="O1190" s="1">
        <v>10</v>
      </c>
      <c r="P1190" s="1">
        <f>COUNTIF(HR_Data[Employee Number],HR_Data[[#This Row],[Employee Number]])</f>
        <v>1</v>
      </c>
      <c r="Q1190" s="1" t="str">
        <f>IF(HR_Data[[#This Row],[Years At Company]]&lt;=HR_Data[[#This Row],[Total Working Years]],"Valid","error")</f>
        <v>Valid</v>
      </c>
      <c r="R1190" s="1" t="str" cm="1">
        <f t="array" ref="R1190">_xlfn.IFS(HR_Data[[#This Row],[Age]]&lt;=30,"Young", HR_Data[[#This Row],[Age]]&lt;=45,"Mid-Age",HR_Data[[#This Row],[Age]]&gt;45,"Senior")</f>
        <v>Young</v>
      </c>
      <c r="S1190" s="1" t="str" cm="1">
        <f t="array" ref="S1190">_xlfn.IFS(HR_Data[[#This Row],[Monthly Income]]&lt;5000,"Low", HR_Data[[#This Row],[Monthly Income]]&lt;10000,"Medium",TRUE,"High")</f>
        <v>Low</v>
      </c>
      <c r="T1190" s="1" t="str" cm="1">
        <f t="array" ref="T1190">_xlfn.IFS(HR_Data[[#This Row],[Total Working Years]]&lt;=5,"Junior", HR_Data[[#This Row],[Total Working Years]]&lt;=15,"Mid-Level", TRUE, "Senior")</f>
        <v>Mid-Level</v>
      </c>
    </row>
    <row r="1191" spans="1:20" x14ac:dyDescent="0.25">
      <c r="A1191" s="1">
        <v>1670</v>
      </c>
      <c r="B1191" s="1">
        <v>33</v>
      </c>
      <c r="C1191" t="s">
        <v>9</v>
      </c>
      <c r="D1191" t="s">
        <v>5</v>
      </c>
      <c r="E1191" t="s">
        <v>15</v>
      </c>
      <c r="F1191" t="s">
        <v>11</v>
      </c>
      <c r="G1191" t="s">
        <v>8</v>
      </c>
      <c r="H1191" s="1">
        <v>4</v>
      </c>
      <c r="I1191" s="1">
        <v>5505</v>
      </c>
      <c r="J1191" t="s">
        <v>9</v>
      </c>
      <c r="K1191" s="1">
        <v>14</v>
      </c>
      <c r="L1191" s="1">
        <v>3</v>
      </c>
      <c r="M1191" s="1">
        <v>6</v>
      </c>
      <c r="N1191" s="1">
        <v>3</v>
      </c>
      <c r="O1191" s="1">
        <v>6</v>
      </c>
      <c r="P1191" s="1">
        <f>COUNTIF(HR_Data[Employee Number],HR_Data[[#This Row],[Employee Number]])</f>
        <v>1</v>
      </c>
      <c r="Q1191" s="1" t="str">
        <f>IF(HR_Data[[#This Row],[Years At Company]]&lt;=HR_Data[[#This Row],[Total Working Years]],"Valid","error")</f>
        <v>Valid</v>
      </c>
      <c r="R1191" s="1" t="str" cm="1">
        <f t="array" ref="R1191">_xlfn.IFS(HR_Data[[#This Row],[Age]]&lt;=30,"Young", HR_Data[[#This Row],[Age]]&lt;=45,"Mid-Age",HR_Data[[#This Row],[Age]]&gt;45,"Senior")</f>
        <v>Mid-Age</v>
      </c>
      <c r="S1191" s="1" t="str" cm="1">
        <f t="array" ref="S1191">_xlfn.IFS(HR_Data[[#This Row],[Monthly Income]]&lt;5000,"Low", HR_Data[[#This Row],[Monthly Income]]&lt;10000,"Medium",TRUE,"High")</f>
        <v>Medium</v>
      </c>
      <c r="T1191" s="1" t="str" cm="1">
        <f t="array" ref="T1191">_xlfn.IFS(HR_Data[[#This Row],[Total Working Years]]&lt;=5,"Junior", HR_Data[[#This Row],[Total Working Years]]&lt;=15,"Mid-Level", TRUE, "Senior")</f>
        <v>Mid-Level</v>
      </c>
    </row>
    <row r="1192" spans="1:20" x14ac:dyDescent="0.25">
      <c r="A1192" s="1">
        <v>1671</v>
      </c>
      <c r="B1192" s="1">
        <v>32</v>
      </c>
      <c r="C1192" t="s">
        <v>9</v>
      </c>
      <c r="D1192" t="s">
        <v>10</v>
      </c>
      <c r="E1192" t="s">
        <v>15</v>
      </c>
      <c r="F1192" t="s">
        <v>11</v>
      </c>
      <c r="G1192" t="s">
        <v>12</v>
      </c>
      <c r="H1192" s="1">
        <v>2</v>
      </c>
      <c r="I1192" s="1">
        <v>5470</v>
      </c>
      <c r="J1192" t="s">
        <v>9</v>
      </c>
      <c r="K1192" s="1">
        <v>13</v>
      </c>
      <c r="L1192" s="1">
        <v>3</v>
      </c>
      <c r="M1192" s="1">
        <v>10</v>
      </c>
      <c r="N1192" s="1">
        <v>2</v>
      </c>
      <c r="O1192" s="1">
        <v>9</v>
      </c>
      <c r="P1192" s="1">
        <f>COUNTIF(HR_Data[Employee Number],HR_Data[[#This Row],[Employee Number]])</f>
        <v>1</v>
      </c>
      <c r="Q1192" s="1" t="str">
        <f>IF(HR_Data[[#This Row],[Years At Company]]&lt;=HR_Data[[#This Row],[Total Working Years]],"Valid","error")</f>
        <v>Valid</v>
      </c>
      <c r="R1192" s="1" t="str" cm="1">
        <f t="array" ref="R1192">_xlfn.IFS(HR_Data[[#This Row],[Age]]&lt;=30,"Young", HR_Data[[#This Row],[Age]]&lt;=45,"Mid-Age",HR_Data[[#This Row],[Age]]&gt;45,"Senior")</f>
        <v>Mid-Age</v>
      </c>
      <c r="S1192" s="1" t="str" cm="1">
        <f t="array" ref="S1192">_xlfn.IFS(HR_Data[[#This Row],[Monthly Income]]&lt;5000,"Low", HR_Data[[#This Row],[Monthly Income]]&lt;10000,"Medium",TRUE,"High")</f>
        <v>Medium</v>
      </c>
      <c r="T1192" s="1" t="str" cm="1">
        <f t="array" ref="T1192">_xlfn.IFS(HR_Data[[#This Row],[Total Working Years]]&lt;=5,"Junior", HR_Data[[#This Row],[Total Working Years]]&lt;=15,"Mid-Level", TRUE, "Senior")</f>
        <v>Mid-Level</v>
      </c>
    </row>
    <row r="1193" spans="1:20" x14ac:dyDescent="0.25">
      <c r="A1193" s="1">
        <v>1673</v>
      </c>
      <c r="B1193" s="1">
        <v>31</v>
      </c>
      <c r="C1193" t="s">
        <v>9</v>
      </c>
      <c r="D1193" t="s">
        <v>5</v>
      </c>
      <c r="E1193" t="s">
        <v>6</v>
      </c>
      <c r="F1193" t="s">
        <v>7</v>
      </c>
      <c r="G1193" t="s">
        <v>8</v>
      </c>
      <c r="H1193" s="1">
        <v>4</v>
      </c>
      <c r="I1193" s="1">
        <v>5476</v>
      </c>
      <c r="J1193" t="s">
        <v>9</v>
      </c>
      <c r="K1193" s="1">
        <v>11</v>
      </c>
      <c r="L1193" s="1">
        <v>3</v>
      </c>
      <c r="M1193" s="1">
        <v>10</v>
      </c>
      <c r="N1193" s="1">
        <v>3</v>
      </c>
      <c r="O1193" s="1">
        <v>10</v>
      </c>
      <c r="P1193" s="1">
        <f>COUNTIF(HR_Data[Employee Number],HR_Data[[#This Row],[Employee Number]])</f>
        <v>1</v>
      </c>
      <c r="Q1193" s="1" t="str">
        <f>IF(HR_Data[[#This Row],[Years At Company]]&lt;=HR_Data[[#This Row],[Total Working Years]],"Valid","error")</f>
        <v>Valid</v>
      </c>
      <c r="R1193" s="1" t="str" cm="1">
        <f t="array" ref="R1193">_xlfn.IFS(HR_Data[[#This Row],[Age]]&lt;=30,"Young", HR_Data[[#This Row],[Age]]&lt;=45,"Mid-Age",HR_Data[[#This Row],[Age]]&gt;45,"Senior")</f>
        <v>Mid-Age</v>
      </c>
      <c r="S1193" s="1" t="str" cm="1">
        <f t="array" ref="S1193">_xlfn.IFS(HR_Data[[#This Row],[Monthly Income]]&lt;5000,"Low", HR_Data[[#This Row],[Monthly Income]]&lt;10000,"Medium",TRUE,"High")</f>
        <v>Medium</v>
      </c>
      <c r="T1193" s="1" t="str" cm="1">
        <f t="array" ref="T1193">_xlfn.IFS(HR_Data[[#This Row],[Total Working Years]]&lt;=5,"Junior", HR_Data[[#This Row],[Total Working Years]]&lt;=15,"Mid-Level", TRUE, "Senior")</f>
        <v>Mid-Level</v>
      </c>
    </row>
    <row r="1194" spans="1:20" x14ac:dyDescent="0.25">
      <c r="A1194" s="1">
        <v>1674</v>
      </c>
      <c r="B1194" s="1">
        <v>49</v>
      </c>
      <c r="C1194" t="s">
        <v>9</v>
      </c>
      <c r="D1194" t="s">
        <v>10</v>
      </c>
      <c r="E1194" t="s">
        <v>15</v>
      </c>
      <c r="F1194" t="s">
        <v>7</v>
      </c>
      <c r="G1194" t="s">
        <v>14</v>
      </c>
      <c r="H1194" s="1">
        <v>1</v>
      </c>
      <c r="I1194" s="1">
        <v>2587</v>
      </c>
      <c r="J1194" t="s">
        <v>4</v>
      </c>
      <c r="K1194" s="1">
        <v>16</v>
      </c>
      <c r="L1194" s="1">
        <v>3</v>
      </c>
      <c r="M1194" s="1">
        <v>17</v>
      </c>
      <c r="N1194" s="1">
        <v>2</v>
      </c>
      <c r="O1194" s="1">
        <v>2</v>
      </c>
      <c r="P1194" s="1">
        <f>COUNTIF(HR_Data[Employee Number],HR_Data[[#This Row],[Employee Number]])</f>
        <v>1</v>
      </c>
      <c r="Q1194" s="1" t="str">
        <f>IF(HR_Data[[#This Row],[Years At Company]]&lt;=HR_Data[[#This Row],[Total Working Years]],"Valid","error")</f>
        <v>Valid</v>
      </c>
      <c r="R1194" s="1" t="str" cm="1">
        <f t="array" ref="R1194">_xlfn.IFS(HR_Data[[#This Row],[Age]]&lt;=30,"Young", HR_Data[[#This Row],[Age]]&lt;=45,"Mid-Age",HR_Data[[#This Row],[Age]]&gt;45,"Senior")</f>
        <v>Senior</v>
      </c>
      <c r="S1194" s="1" t="str" cm="1">
        <f t="array" ref="S1194">_xlfn.IFS(HR_Data[[#This Row],[Monthly Income]]&lt;5000,"Low", HR_Data[[#This Row],[Monthly Income]]&lt;10000,"Medium",TRUE,"High")</f>
        <v>Low</v>
      </c>
      <c r="T1194" s="1" t="str" cm="1">
        <f t="array" ref="T1194">_xlfn.IFS(HR_Data[[#This Row],[Total Working Years]]&lt;=5,"Junior", HR_Data[[#This Row],[Total Working Years]]&lt;=15,"Mid-Level", TRUE, "Senior")</f>
        <v>Senior</v>
      </c>
    </row>
    <row r="1195" spans="1:20" x14ac:dyDescent="0.25">
      <c r="A1195" s="1">
        <v>1675</v>
      </c>
      <c r="B1195" s="1">
        <v>38</v>
      </c>
      <c r="C1195" t="s">
        <v>9</v>
      </c>
      <c r="D1195" t="s">
        <v>10</v>
      </c>
      <c r="E1195" t="s">
        <v>15</v>
      </c>
      <c r="F1195" t="s">
        <v>7</v>
      </c>
      <c r="G1195" t="s">
        <v>14</v>
      </c>
      <c r="H1195" s="1">
        <v>2</v>
      </c>
      <c r="I1195" s="1">
        <v>2440</v>
      </c>
      <c r="J1195" t="s">
        <v>9</v>
      </c>
      <c r="K1195" s="1">
        <v>22</v>
      </c>
      <c r="L1195" s="1">
        <v>4</v>
      </c>
      <c r="M1195" s="1">
        <v>4</v>
      </c>
      <c r="N1195" s="1">
        <v>3</v>
      </c>
      <c r="O1195" s="1">
        <v>4</v>
      </c>
      <c r="P1195" s="1">
        <f>COUNTIF(HR_Data[Employee Number],HR_Data[[#This Row],[Employee Number]])</f>
        <v>1</v>
      </c>
      <c r="Q1195" s="1" t="str">
        <f>IF(HR_Data[[#This Row],[Years At Company]]&lt;=HR_Data[[#This Row],[Total Working Years]],"Valid","error")</f>
        <v>Valid</v>
      </c>
      <c r="R1195" s="1" t="str" cm="1">
        <f t="array" ref="R1195">_xlfn.IFS(HR_Data[[#This Row],[Age]]&lt;=30,"Young", HR_Data[[#This Row],[Age]]&lt;=45,"Mid-Age",HR_Data[[#This Row],[Age]]&gt;45,"Senior")</f>
        <v>Mid-Age</v>
      </c>
      <c r="S1195" s="1" t="str" cm="1">
        <f t="array" ref="S1195">_xlfn.IFS(HR_Data[[#This Row],[Monthly Income]]&lt;5000,"Low", HR_Data[[#This Row],[Monthly Income]]&lt;10000,"Medium",TRUE,"High")</f>
        <v>Low</v>
      </c>
      <c r="T1195" s="1" t="str" cm="1">
        <f t="array" ref="T1195">_xlfn.IFS(HR_Data[[#This Row],[Total Working Years]]&lt;=5,"Junior", HR_Data[[#This Row],[Total Working Years]]&lt;=15,"Mid-Level", TRUE, "Senior")</f>
        <v>Junior</v>
      </c>
    </row>
    <row r="1196" spans="1:20" x14ac:dyDescent="0.25">
      <c r="A1196" s="1">
        <v>1676</v>
      </c>
      <c r="B1196" s="1">
        <v>47</v>
      </c>
      <c r="C1196" t="s">
        <v>9</v>
      </c>
      <c r="D1196" t="s">
        <v>5</v>
      </c>
      <c r="E1196" t="s">
        <v>6</v>
      </c>
      <c r="F1196" t="s">
        <v>7</v>
      </c>
      <c r="G1196" t="s">
        <v>18</v>
      </c>
      <c r="H1196" s="1">
        <v>2</v>
      </c>
      <c r="I1196" s="1">
        <v>15972</v>
      </c>
      <c r="J1196" t="s">
        <v>9</v>
      </c>
      <c r="K1196" s="1">
        <v>14</v>
      </c>
      <c r="L1196" s="1">
        <v>3</v>
      </c>
      <c r="M1196" s="1">
        <v>29</v>
      </c>
      <c r="N1196" s="1">
        <v>3</v>
      </c>
      <c r="O1196" s="1">
        <v>3</v>
      </c>
      <c r="P1196" s="1">
        <f>COUNTIF(HR_Data[Employee Number],HR_Data[[#This Row],[Employee Number]])</f>
        <v>1</v>
      </c>
      <c r="Q1196" s="1" t="str">
        <f>IF(HR_Data[[#This Row],[Years At Company]]&lt;=HR_Data[[#This Row],[Total Working Years]],"Valid","error")</f>
        <v>Valid</v>
      </c>
      <c r="R1196" s="1" t="str" cm="1">
        <f t="array" ref="R1196">_xlfn.IFS(HR_Data[[#This Row],[Age]]&lt;=30,"Young", HR_Data[[#This Row],[Age]]&lt;=45,"Mid-Age",HR_Data[[#This Row],[Age]]&gt;45,"Senior")</f>
        <v>Senior</v>
      </c>
      <c r="S1196" s="1" t="str" cm="1">
        <f t="array" ref="S1196">_xlfn.IFS(HR_Data[[#This Row],[Monthly Income]]&lt;5000,"Low", HR_Data[[#This Row],[Monthly Income]]&lt;10000,"Medium",TRUE,"High")</f>
        <v>High</v>
      </c>
      <c r="T1196" s="1" t="str" cm="1">
        <f t="array" ref="T1196">_xlfn.IFS(HR_Data[[#This Row],[Total Working Years]]&lt;=5,"Junior", HR_Data[[#This Row],[Total Working Years]]&lt;=15,"Mid-Level", TRUE, "Senior")</f>
        <v>Senior</v>
      </c>
    </row>
    <row r="1197" spans="1:20" x14ac:dyDescent="0.25">
      <c r="A1197" s="1">
        <v>1677</v>
      </c>
      <c r="B1197" s="1">
        <v>49</v>
      </c>
      <c r="C1197" t="s">
        <v>9</v>
      </c>
      <c r="D1197" t="s">
        <v>10</v>
      </c>
      <c r="E1197" t="s">
        <v>6</v>
      </c>
      <c r="F1197" t="s">
        <v>11</v>
      </c>
      <c r="G1197" t="s">
        <v>18</v>
      </c>
      <c r="H1197" s="1">
        <v>3</v>
      </c>
      <c r="I1197" s="1">
        <v>15379</v>
      </c>
      <c r="J1197" t="s">
        <v>9</v>
      </c>
      <c r="K1197" s="1">
        <v>14</v>
      </c>
      <c r="L1197" s="1">
        <v>3</v>
      </c>
      <c r="M1197" s="1">
        <v>23</v>
      </c>
      <c r="N1197" s="1">
        <v>3</v>
      </c>
      <c r="O1197" s="1">
        <v>8</v>
      </c>
      <c r="P1197" s="1">
        <f>COUNTIF(HR_Data[Employee Number],HR_Data[[#This Row],[Employee Number]])</f>
        <v>1</v>
      </c>
      <c r="Q1197" s="1" t="str">
        <f>IF(HR_Data[[#This Row],[Years At Company]]&lt;=HR_Data[[#This Row],[Total Working Years]],"Valid","error")</f>
        <v>Valid</v>
      </c>
      <c r="R1197" s="1" t="str" cm="1">
        <f t="array" ref="R1197">_xlfn.IFS(HR_Data[[#This Row],[Age]]&lt;=30,"Young", HR_Data[[#This Row],[Age]]&lt;=45,"Mid-Age",HR_Data[[#This Row],[Age]]&gt;45,"Senior")</f>
        <v>Senior</v>
      </c>
      <c r="S1197" s="1" t="str" cm="1">
        <f t="array" ref="S1197">_xlfn.IFS(HR_Data[[#This Row],[Monthly Income]]&lt;5000,"Low", HR_Data[[#This Row],[Monthly Income]]&lt;10000,"Medium",TRUE,"High")</f>
        <v>High</v>
      </c>
      <c r="T1197" s="1" t="str" cm="1">
        <f t="array" ref="T1197">_xlfn.IFS(HR_Data[[#This Row],[Total Working Years]]&lt;=5,"Junior", HR_Data[[#This Row],[Total Working Years]]&lt;=15,"Mid-Level", TRUE, "Senior")</f>
        <v>Senior</v>
      </c>
    </row>
    <row r="1198" spans="1:20" x14ac:dyDescent="0.25">
      <c r="A1198" s="1">
        <v>1678</v>
      </c>
      <c r="B1198" s="1">
        <v>41</v>
      </c>
      <c r="C1198" t="s">
        <v>9</v>
      </c>
      <c r="D1198" t="s">
        <v>5</v>
      </c>
      <c r="E1198" t="s">
        <v>6</v>
      </c>
      <c r="F1198" t="s">
        <v>11</v>
      </c>
      <c r="G1198" t="s">
        <v>8</v>
      </c>
      <c r="H1198" s="1">
        <v>3</v>
      </c>
      <c r="I1198" s="1">
        <v>7082</v>
      </c>
      <c r="J1198" t="s">
        <v>4</v>
      </c>
      <c r="K1198" s="1">
        <v>16</v>
      </c>
      <c r="L1198" s="1">
        <v>3</v>
      </c>
      <c r="M1198" s="1">
        <v>21</v>
      </c>
      <c r="N1198" s="1">
        <v>3</v>
      </c>
      <c r="O1198" s="1">
        <v>2</v>
      </c>
      <c r="P1198" s="1">
        <f>COUNTIF(HR_Data[Employee Number],HR_Data[[#This Row],[Employee Number]])</f>
        <v>1</v>
      </c>
      <c r="Q1198" s="1" t="str">
        <f>IF(HR_Data[[#This Row],[Years At Company]]&lt;=HR_Data[[#This Row],[Total Working Years]],"Valid","error")</f>
        <v>Valid</v>
      </c>
      <c r="R1198" s="1" t="str" cm="1">
        <f t="array" ref="R1198">_xlfn.IFS(HR_Data[[#This Row],[Age]]&lt;=30,"Young", HR_Data[[#This Row],[Age]]&lt;=45,"Mid-Age",HR_Data[[#This Row],[Age]]&gt;45,"Senior")</f>
        <v>Mid-Age</v>
      </c>
      <c r="S1198" s="1" t="str" cm="1">
        <f t="array" ref="S1198">_xlfn.IFS(HR_Data[[#This Row],[Monthly Income]]&lt;5000,"Low", HR_Data[[#This Row],[Monthly Income]]&lt;10000,"Medium",TRUE,"High")</f>
        <v>Medium</v>
      </c>
      <c r="T1198" s="1" t="str" cm="1">
        <f t="array" ref="T1198">_xlfn.IFS(HR_Data[[#This Row],[Total Working Years]]&lt;=5,"Junior", HR_Data[[#This Row],[Total Working Years]]&lt;=15,"Mid-Level", TRUE, "Senior")</f>
        <v>Senior</v>
      </c>
    </row>
    <row r="1199" spans="1:20" x14ac:dyDescent="0.25">
      <c r="A1199" s="1">
        <v>1680</v>
      </c>
      <c r="B1199" s="1">
        <v>20</v>
      </c>
      <c r="C1199" t="s">
        <v>9</v>
      </c>
      <c r="D1199" t="s">
        <v>5</v>
      </c>
      <c r="E1199" t="s">
        <v>6</v>
      </c>
      <c r="F1199" t="s">
        <v>11</v>
      </c>
      <c r="G1199" t="s">
        <v>19</v>
      </c>
      <c r="H1199" s="1">
        <v>1</v>
      </c>
      <c r="I1199" s="1">
        <v>2728</v>
      </c>
      <c r="J1199" t="s">
        <v>9</v>
      </c>
      <c r="K1199" s="1">
        <v>11</v>
      </c>
      <c r="L1199" s="1">
        <v>3</v>
      </c>
      <c r="M1199" s="1">
        <v>2</v>
      </c>
      <c r="N1199" s="1">
        <v>3</v>
      </c>
      <c r="O1199" s="1">
        <v>2</v>
      </c>
      <c r="P1199" s="1">
        <f>COUNTIF(HR_Data[Employee Number],HR_Data[[#This Row],[Employee Number]])</f>
        <v>1</v>
      </c>
      <c r="Q1199" s="1" t="str">
        <f>IF(HR_Data[[#This Row],[Years At Company]]&lt;=HR_Data[[#This Row],[Total Working Years]],"Valid","error")</f>
        <v>Valid</v>
      </c>
      <c r="R1199" s="1" t="str" cm="1">
        <f t="array" ref="R1199">_xlfn.IFS(HR_Data[[#This Row],[Age]]&lt;=30,"Young", HR_Data[[#This Row],[Age]]&lt;=45,"Mid-Age",HR_Data[[#This Row],[Age]]&gt;45,"Senior")</f>
        <v>Young</v>
      </c>
      <c r="S1199" s="1" t="str" cm="1">
        <f t="array" ref="S1199">_xlfn.IFS(HR_Data[[#This Row],[Monthly Income]]&lt;5000,"Low", HR_Data[[#This Row],[Monthly Income]]&lt;10000,"Medium",TRUE,"High")</f>
        <v>Low</v>
      </c>
      <c r="T1199" s="1" t="str" cm="1">
        <f t="array" ref="T1199">_xlfn.IFS(HR_Data[[#This Row],[Total Working Years]]&lt;=5,"Junior", HR_Data[[#This Row],[Total Working Years]]&lt;=15,"Mid-Level", TRUE, "Senior")</f>
        <v>Junior</v>
      </c>
    </row>
    <row r="1200" spans="1:20" x14ac:dyDescent="0.25">
      <c r="A1200" s="1">
        <v>1681</v>
      </c>
      <c r="B1200" s="1">
        <v>33</v>
      </c>
      <c r="C1200" t="s">
        <v>9</v>
      </c>
      <c r="D1200" t="s">
        <v>5</v>
      </c>
      <c r="E1200" t="s">
        <v>6</v>
      </c>
      <c r="F1200" t="s">
        <v>7</v>
      </c>
      <c r="G1200" t="s">
        <v>8</v>
      </c>
      <c r="H1200" s="1">
        <v>4</v>
      </c>
      <c r="I1200" s="1">
        <v>5368</v>
      </c>
      <c r="J1200" t="s">
        <v>4</v>
      </c>
      <c r="K1200" s="1">
        <v>25</v>
      </c>
      <c r="L1200" s="1">
        <v>4</v>
      </c>
      <c r="M1200" s="1">
        <v>7</v>
      </c>
      <c r="N1200" s="1">
        <v>3</v>
      </c>
      <c r="O1200" s="1">
        <v>6</v>
      </c>
      <c r="P1200" s="1">
        <f>COUNTIF(HR_Data[Employee Number],HR_Data[[#This Row],[Employee Number]])</f>
        <v>1</v>
      </c>
      <c r="Q1200" s="1" t="str">
        <f>IF(HR_Data[[#This Row],[Years At Company]]&lt;=HR_Data[[#This Row],[Total Working Years]],"Valid","error")</f>
        <v>Valid</v>
      </c>
      <c r="R1200" s="1" t="str" cm="1">
        <f t="array" ref="R1200">_xlfn.IFS(HR_Data[[#This Row],[Age]]&lt;=30,"Young", HR_Data[[#This Row],[Age]]&lt;=45,"Mid-Age",HR_Data[[#This Row],[Age]]&gt;45,"Senior")</f>
        <v>Mid-Age</v>
      </c>
      <c r="S1200" s="1" t="str" cm="1">
        <f t="array" ref="S1200">_xlfn.IFS(HR_Data[[#This Row],[Monthly Income]]&lt;5000,"Low", HR_Data[[#This Row],[Monthly Income]]&lt;10000,"Medium",TRUE,"High")</f>
        <v>Medium</v>
      </c>
      <c r="T1200" s="1" t="str" cm="1">
        <f t="array" ref="T1200">_xlfn.IFS(HR_Data[[#This Row],[Total Working Years]]&lt;=5,"Junior", HR_Data[[#This Row],[Total Working Years]]&lt;=15,"Mid-Level", TRUE, "Senior")</f>
        <v>Mid-Level</v>
      </c>
    </row>
    <row r="1201" spans="1:20" x14ac:dyDescent="0.25">
      <c r="A1201" s="1">
        <v>1682</v>
      </c>
      <c r="B1201" s="1">
        <v>36</v>
      </c>
      <c r="C1201" t="s">
        <v>9</v>
      </c>
      <c r="D1201" t="s">
        <v>10</v>
      </c>
      <c r="E1201" t="s">
        <v>6</v>
      </c>
      <c r="F1201" t="s">
        <v>11</v>
      </c>
      <c r="G1201" t="s">
        <v>17</v>
      </c>
      <c r="H1201" s="1">
        <v>3</v>
      </c>
      <c r="I1201" s="1">
        <v>5347</v>
      </c>
      <c r="J1201" t="s">
        <v>9</v>
      </c>
      <c r="K1201" s="1">
        <v>14</v>
      </c>
      <c r="L1201" s="1">
        <v>3</v>
      </c>
      <c r="M1201" s="1">
        <v>10</v>
      </c>
      <c r="N1201" s="1">
        <v>2</v>
      </c>
      <c r="O1201" s="1">
        <v>3</v>
      </c>
      <c r="P1201" s="1">
        <f>COUNTIF(HR_Data[Employee Number],HR_Data[[#This Row],[Employee Number]])</f>
        <v>1</v>
      </c>
      <c r="Q1201" s="1" t="str">
        <f>IF(HR_Data[[#This Row],[Years At Company]]&lt;=HR_Data[[#This Row],[Total Working Years]],"Valid","error")</f>
        <v>Valid</v>
      </c>
      <c r="R1201" s="1" t="str" cm="1">
        <f t="array" ref="R1201">_xlfn.IFS(HR_Data[[#This Row],[Age]]&lt;=30,"Young", HR_Data[[#This Row],[Age]]&lt;=45,"Mid-Age",HR_Data[[#This Row],[Age]]&gt;45,"Senior")</f>
        <v>Mid-Age</v>
      </c>
      <c r="S1201" s="1" t="str" cm="1">
        <f t="array" ref="S1201">_xlfn.IFS(HR_Data[[#This Row],[Monthly Income]]&lt;5000,"Low", HR_Data[[#This Row],[Monthly Income]]&lt;10000,"Medium",TRUE,"High")</f>
        <v>Medium</v>
      </c>
      <c r="T1201" s="1" t="str" cm="1">
        <f t="array" ref="T1201">_xlfn.IFS(HR_Data[[#This Row],[Total Working Years]]&lt;=5,"Junior", HR_Data[[#This Row],[Total Working Years]]&lt;=15,"Mid-Level", TRUE, "Senior")</f>
        <v>Mid-Level</v>
      </c>
    </row>
    <row r="1202" spans="1:20" x14ac:dyDescent="0.25">
      <c r="A1202" s="1">
        <v>1683</v>
      </c>
      <c r="B1202" s="1">
        <v>44</v>
      </c>
      <c r="C1202" t="s">
        <v>9</v>
      </c>
      <c r="D1202" t="s">
        <v>23</v>
      </c>
      <c r="E1202" t="s">
        <v>6</v>
      </c>
      <c r="F1202" t="s">
        <v>7</v>
      </c>
      <c r="G1202" t="s">
        <v>23</v>
      </c>
      <c r="H1202" s="1">
        <v>4</v>
      </c>
      <c r="I1202" s="1">
        <v>3195</v>
      </c>
      <c r="J1202" t="s">
        <v>4</v>
      </c>
      <c r="K1202" s="1">
        <v>18</v>
      </c>
      <c r="L1202" s="1">
        <v>3</v>
      </c>
      <c r="M1202" s="1">
        <v>8</v>
      </c>
      <c r="N1202" s="1">
        <v>3</v>
      </c>
      <c r="O1202" s="1">
        <v>2</v>
      </c>
      <c r="P1202" s="1">
        <f>COUNTIF(HR_Data[Employee Number],HR_Data[[#This Row],[Employee Number]])</f>
        <v>1</v>
      </c>
      <c r="Q1202" s="1" t="str">
        <f>IF(HR_Data[[#This Row],[Years At Company]]&lt;=HR_Data[[#This Row],[Total Working Years]],"Valid","error")</f>
        <v>Valid</v>
      </c>
      <c r="R1202" s="1" t="str" cm="1">
        <f t="array" ref="R1202">_xlfn.IFS(HR_Data[[#This Row],[Age]]&lt;=30,"Young", HR_Data[[#This Row],[Age]]&lt;=45,"Mid-Age",HR_Data[[#This Row],[Age]]&gt;45,"Senior")</f>
        <v>Mid-Age</v>
      </c>
      <c r="S1202" s="1" t="str" cm="1">
        <f t="array" ref="S1202">_xlfn.IFS(HR_Data[[#This Row],[Monthly Income]]&lt;5000,"Low", HR_Data[[#This Row],[Monthly Income]]&lt;10000,"Medium",TRUE,"High")</f>
        <v>Low</v>
      </c>
      <c r="T1202" s="1" t="str" cm="1">
        <f t="array" ref="T1202">_xlfn.IFS(HR_Data[[#This Row],[Total Working Years]]&lt;=5,"Junior", HR_Data[[#This Row],[Total Working Years]]&lt;=15,"Mid-Level", TRUE, "Senior")</f>
        <v>Mid-Level</v>
      </c>
    </row>
    <row r="1203" spans="1:20" x14ac:dyDescent="0.25">
      <c r="A1203" s="1">
        <v>1684</v>
      </c>
      <c r="B1203" s="1">
        <v>23</v>
      </c>
      <c r="C1203" t="s">
        <v>4</v>
      </c>
      <c r="D1203" t="s">
        <v>10</v>
      </c>
      <c r="E1203" t="s">
        <v>15</v>
      </c>
      <c r="F1203" t="s">
        <v>11</v>
      </c>
      <c r="G1203" t="s">
        <v>14</v>
      </c>
      <c r="H1203" s="1">
        <v>3</v>
      </c>
      <c r="I1203" s="1">
        <v>3989</v>
      </c>
      <c r="J1203" t="s">
        <v>4</v>
      </c>
      <c r="K1203" s="1">
        <v>11</v>
      </c>
      <c r="L1203" s="1">
        <v>3</v>
      </c>
      <c r="M1203" s="1">
        <v>5</v>
      </c>
      <c r="N1203" s="1">
        <v>3</v>
      </c>
      <c r="O1203" s="1">
        <v>5</v>
      </c>
      <c r="P1203" s="1">
        <f>COUNTIF(HR_Data[Employee Number],HR_Data[[#This Row],[Employee Number]])</f>
        <v>1</v>
      </c>
      <c r="Q1203" s="1" t="str">
        <f>IF(HR_Data[[#This Row],[Years At Company]]&lt;=HR_Data[[#This Row],[Total Working Years]],"Valid","error")</f>
        <v>Valid</v>
      </c>
      <c r="R1203" s="1" t="str" cm="1">
        <f t="array" ref="R1203">_xlfn.IFS(HR_Data[[#This Row],[Age]]&lt;=30,"Young", HR_Data[[#This Row],[Age]]&lt;=45,"Mid-Age",HR_Data[[#This Row],[Age]]&gt;45,"Senior")</f>
        <v>Young</v>
      </c>
      <c r="S1203" s="1" t="str" cm="1">
        <f t="array" ref="S1203">_xlfn.IFS(HR_Data[[#This Row],[Monthly Income]]&lt;5000,"Low", HR_Data[[#This Row],[Monthly Income]]&lt;10000,"Medium",TRUE,"High")</f>
        <v>Low</v>
      </c>
      <c r="T1203" s="1" t="str" cm="1">
        <f t="array" ref="T1203">_xlfn.IFS(HR_Data[[#This Row],[Total Working Years]]&lt;=5,"Junior", HR_Data[[#This Row],[Total Working Years]]&lt;=15,"Mid-Level", TRUE, "Senior")</f>
        <v>Junior</v>
      </c>
    </row>
    <row r="1204" spans="1:20" x14ac:dyDescent="0.25">
      <c r="A1204" s="1">
        <v>1687</v>
      </c>
      <c r="B1204" s="1">
        <v>38</v>
      </c>
      <c r="C1204" t="s">
        <v>9</v>
      </c>
      <c r="D1204" t="s">
        <v>10</v>
      </c>
      <c r="E1204" t="s">
        <v>15</v>
      </c>
      <c r="F1204" t="s">
        <v>7</v>
      </c>
      <c r="G1204" t="s">
        <v>14</v>
      </c>
      <c r="H1204" s="1">
        <v>3</v>
      </c>
      <c r="I1204" s="1">
        <v>3306</v>
      </c>
      <c r="J1204" t="s">
        <v>9</v>
      </c>
      <c r="K1204" s="1">
        <v>19</v>
      </c>
      <c r="L1204" s="1">
        <v>3</v>
      </c>
      <c r="M1204" s="1">
        <v>7</v>
      </c>
      <c r="N1204" s="1">
        <v>2</v>
      </c>
      <c r="O1204" s="1">
        <v>0</v>
      </c>
      <c r="P1204" s="1">
        <f>COUNTIF(HR_Data[Employee Number],HR_Data[[#This Row],[Employee Number]])</f>
        <v>1</v>
      </c>
      <c r="Q1204" s="1" t="str">
        <f>IF(HR_Data[[#This Row],[Years At Company]]&lt;=HR_Data[[#This Row],[Total Working Years]],"Valid","error")</f>
        <v>Valid</v>
      </c>
      <c r="R1204" s="1" t="str" cm="1">
        <f t="array" ref="R1204">_xlfn.IFS(HR_Data[[#This Row],[Age]]&lt;=30,"Young", HR_Data[[#This Row],[Age]]&lt;=45,"Mid-Age",HR_Data[[#This Row],[Age]]&gt;45,"Senior")</f>
        <v>Mid-Age</v>
      </c>
      <c r="S1204" s="1" t="str" cm="1">
        <f t="array" ref="S1204">_xlfn.IFS(HR_Data[[#This Row],[Monthly Income]]&lt;5000,"Low", HR_Data[[#This Row],[Monthly Income]]&lt;10000,"Medium",TRUE,"High")</f>
        <v>Low</v>
      </c>
      <c r="T1204" s="1" t="str" cm="1">
        <f t="array" ref="T1204">_xlfn.IFS(HR_Data[[#This Row],[Total Working Years]]&lt;=5,"Junior", HR_Data[[#This Row],[Total Working Years]]&lt;=15,"Mid-Level", TRUE, "Senior")</f>
        <v>Mid-Level</v>
      </c>
    </row>
    <row r="1205" spans="1:20" x14ac:dyDescent="0.25">
      <c r="A1205" s="1">
        <v>1689</v>
      </c>
      <c r="B1205" s="1">
        <v>53</v>
      </c>
      <c r="C1205" t="s">
        <v>9</v>
      </c>
      <c r="D1205" t="s">
        <v>10</v>
      </c>
      <c r="E1205" t="s">
        <v>15</v>
      </c>
      <c r="F1205" t="s">
        <v>11</v>
      </c>
      <c r="G1205" t="s">
        <v>17</v>
      </c>
      <c r="H1205" s="1">
        <v>4</v>
      </c>
      <c r="I1205" s="1">
        <v>7005</v>
      </c>
      <c r="J1205" t="s">
        <v>9</v>
      </c>
      <c r="K1205" s="1">
        <v>15</v>
      </c>
      <c r="L1205" s="1">
        <v>3</v>
      </c>
      <c r="M1205" s="1">
        <v>11</v>
      </c>
      <c r="N1205" s="1">
        <v>3</v>
      </c>
      <c r="O1205" s="1">
        <v>4</v>
      </c>
      <c r="P1205" s="1">
        <f>COUNTIF(HR_Data[Employee Number],HR_Data[[#This Row],[Employee Number]])</f>
        <v>1</v>
      </c>
      <c r="Q1205" s="1" t="str">
        <f>IF(HR_Data[[#This Row],[Years At Company]]&lt;=HR_Data[[#This Row],[Total Working Years]],"Valid","error")</f>
        <v>Valid</v>
      </c>
      <c r="R1205" s="1" t="str" cm="1">
        <f t="array" ref="R1205">_xlfn.IFS(HR_Data[[#This Row],[Age]]&lt;=30,"Young", HR_Data[[#This Row],[Age]]&lt;=45,"Mid-Age",HR_Data[[#This Row],[Age]]&gt;45,"Senior")</f>
        <v>Senior</v>
      </c>
      <c r="S1205" s="1" t="str" cm="1">
        <f t="array" ref="S1205">_xlfn.IFS(HR_Data[[#This Row],[Monthly Income]]&lt;5000,"Low", HR_Data[[#This Row],[Monthly Income]]&lt;10000,"Medium",TRUE,"High")</f>
        <v>Medium</v>
      </c>
      <c r="T1205" s="1" t="str" cm="1">
        <f t="array" ref="T1205">_xlfn.IFS(HR_Data[[#This Row],[Total Working Years]]&lt;=5,"Junior", HR_Data[[#This Row],[Total Working Years]]&lt;=15,"Mid-Level", TRUE, "Senior")</f>
        <v>Mid-Level</v>
      </c>
    </row>
    <row r="1206" spans="1:20" x14ac:dyDescent="0.25">
      <c r="A1206" s="1">
        <v>1691</v>
      </c>
      <c r="B1206" s="1">
        <v>48</v>
      </c>
      <c r="C1206" t="s">
        <v>4</v>
      </c>
      <c r="D1206" t="s">
        <v>5</v>
      </c>
      <c r="E1206" t="s">
        <v>15</v>
      </c>
      <c r="F1206" t="s">
        <v>7</v>
      </c>
      <c r="G1206" t="s">
        <v>19</v>
      </c>
      <c r="H1206" s="1">
        <v>3</v>
      </c>
      <c r="I1206" s="1">
        <v>2655</v>
      </c>
      <c r="J1206" t="s">
        <v>4</v>
      </c>
      <c r="K1206" s="1">
        <v>11</v>
      </c>
      <c r="L1206" s="1">
        <v>3</v>
      </c>
      <c r="M1206" s="1">
        <v>19</v>
      </c>
      <c r="N1206" s="1">
        <v>3</v>
      </c>
      <c r="O1206" s="1">
        <v>9</v>
      </c>
      <c r="P1206" s="1">
        <f>COUNTIF(HR_Data[Employee Number],HR_Data[[#This Row],[Employee Number]])</f>
        <v>1</v>
      </c>
      <c r="Q1206" s="1" t="str">
        <f>IF(HR_Data[[#This Row],[Years At Company]]&lt;=HR_Data[[#This Row],[Total Working Years]],"Valid","error")</f>
        <v>Valid</v>
      </c>
      <c r="R1206" s="1" t="str" cm="1">
        <f t="array" ref="R1206">_xlfn.IFS(HR_Data[[#This Row],[Age]]&lt;=30,"Young", HR_Data[[#This Row],[Age]]&lt;=45,"Mid-Age",HR_Data[[#This Row],[Age]]&gt;45,"Senior")</f>
        <v>Senior</v>
      </c>
      <c r="S1206" s="1" t="str" cm="1">
        <f t="array" ref="S1206">_xlfn.IFS(HR_Data[[#This Row],[Monthly Income]]&lt;5000,"Low", HR_Data[[#This Row],[Monthly Income]]&lt;10000,"Medium",TRUE,"High")</f>
        <v>Low</v>
      </c>
      <c r="T1206" s="1" t="str" cm="1">
        <f t="array" ref="T1206">_xlfn.IFS(HR_Data[[#This Row],[Total Working Years]]&lt;=5,"Junior", HR_Data[[#This Row],[Total Working Years]]&lt;=15,"Mid-Level", TRUE, "Senior")</f>
        <v>Senior</v>
      </c>
    </row>
    <row r="1207" spans="1:20" x14ac:dyDescent="0.25">
      <c r="A1207" s="1">
        <v>1692</v>
      </c>
      <c r="B1207" s="1">
        <v>32</v>
      </c>
      <c r="C1207" t="s">
        <v>4</v>
      </c>
      <c r="D1207" t="s">
        <v>10</v>
      </c>
      <c r="E1207" t="s">
        <v>6</v>
      </c>
      <c r="F1207" t="s">
        <v>11</v>
      </c>
      <c r="G1207" t="s">
        <v>14</v>
      </c>
      <c r="H1207" s="1">
        <v>2</v>
      </c>
      <c r="I1207" s="1">
        <v>1393</v>
      </c>
      <c r="J1207" t="s">
        <v>9</v>
      </c>
      <c r="K1207" s="1">
        <v>12</v>
      </c>
      <c r="L1207" s="1">
        <v>3</v>
      </c>
      <c r="M1207" s="1">
        <v>1</v>
      </c>
      <c r="N1207" s="1">
        <v>3</v>
      </c>
      <c r="O1207" s="1">
        <v>1</v>
      </c>
      <c r="P1207" s="1">
        <f>COUNTIF(HR_Data[Employee Number],HR_Data[[#This Row],[Employee Number]])</f>
        <v>1</v>
      </c>
      <c r="Q1207" s="1" t="str">
        <f>IF(HR_Data[[#This Row],[Years At Company]]&lt;=HR_Data[[#This Row],[Total Working Years]],"Valid","error")</f>
        <v>Valid</v>
      </c>
      <c r="R1207" s="1" t="str" cm="1">
        <f t="array" ref="R1207">_xlfn.IFS(HR_Data[[#This Row],[Age]]&lt;=30,"Young", HR_Data[[#This Row],[Age]]&lt;=45,"Mid-Age",HR_Data[[#This Row],[Age]]&gt;45,"Senior")</f>
        <v>Mid-Age</v>
      </c>
      <c r="S1207" s="1" t="str" cm="1">
        <f t="array" ref="S1207">_xlfn.IFS(HR_Data[[#This Row],[Monthly Income]]&lt;5000,"Low", HR_Data[[#This Row],[Monthly Income]]&lt;10000,"Medium",TRUE,"High")</f>
        <v>Low</v>
      </c>
      <c r="T1207" s="1" t="str" cm="1">
        <f t="array" ref="T1207">_xlfn.IFS(HR_Data[[#This Row],[Total Working Years]]&lt;=5,"Junior", HR_Data[[#This Row],[Total Working Years]]&lt;=15,"Mid-Level", TRUE, "Senior")</f>
        <v>Junior</v>
      </c>
    </row>
    <row r="1208" spans="1:20" x14ac:dyDescent="0.25">
      <c r="A1208" s="1">
        <v>1693</v>
      </c>
      <c r="B1208" s="1">
        <v>26</v>
      </c>
      <c r="C1208" t="s">
        <v>9</v>
      </c>
      <c r="D1208" t="s">
        <v>10</v>
      </c>
      <c r="E1208" t="s">
        <v>15</v>
      </c>
      <c r="F1208" t="s">
        <v>11</v>
      </c>
      <c r="G1208" t="s">
        <v>14</v>
      </c>
      <c r="H1208" s="1">
        <v>4</v>
      </c>
      <c r="I1208" s="1">
        <v>2570</v>
      </c>
      <c r="J1208" t="s">
        <v>9</v>
      </c>
      <c r="K1208" s="1">
        <v>20</v>
      </c>
      <c r="L1208" s="1">
        <v>4</v>
      </c>
      <c r="M1208" s="1">
        <v>7</v>
      </c>
      <c r="N1208" s="1">
        <v>3</v>
      </c>
      <c r="O1208" s="1">
        <v>7</v>
      </c>
      <c r="P1208" s="1">
        <f>COUNTIF(HR_Data[Employee Number],HR_Data[[#This Row],[Employee Number]])</f>
        <v>1</v>
      </c>
      <c r="Q1208" s="1" t="str">
        <f>IF(HR_Data[[#This Row],[Years At Company]]&lt;=HR_Data[[#This Row],[Total Working Years]],"Valid","error")</f>
        <v>Valid</v>
      </c>
      <c r="R1208" s="1" t="str" cm="1">
        <f t="array" ref="R1208">_xlfn.IFS(HR_Data[[#This Row],[Age]]&lt;=30,"Young", HR_Data[[#This Row],[Age]]&lt;=45,"Mid-Age",HR_Data[[#This Row],[Age]]&gt;45,"Senior")</f>
        <v>Young</v>
      </c>
      <c r="S1208" s="1" t="str" cm="1">
        <f t="array" ref="S1208">_xlfn.IFS(HR_Data[[#This Row],[Monthly Income]]&lt;5000,"Low", HR_Data[[#This Row],[Monthly Income]]&lt;10000,"Medium",TRUE,"High")</f>
        <v>Low</v>
      </c>
      <c r="T1208" s="1" t="str" cm="1">
        <f t="array" ref="T1208">_xlfn.IFS(HR_Data[[#This Row],[Total Working Years]]&lt;=5,"Junior", HR_Data[[#This Row],[Total Working Years]]&lt;=15,"Mid-Level", TRUE, "Senior")</f>
        <v>Mid-Level</v>
      </c>
    </row>
    <row r="1209" spans="1:20" x14ac:dyDescent="0.25">
      <c r="A1209" s="1">
        <v>1694</v>
      </c>
      <c r="B1209" s="1">
        <v>55</v>
      </c>
      <c r="C1209" t="s">
        <v>9</v>
      </c>
      <c r="D1209" t="s">
        <v>10</v>
      </c>
      <c r="E1209" t="s">
        <v>22</v>
      </c>
      <c r="F1209" t="s">
        <v>11</v>
      </c>
      <c r="G1209" t="s">
        <v>12</v>
      </c>
      <c r="H1209" s="1">
        <v>2</v>
      </c>
      <c r="I1209" s="1">
        <v>3537</v>
      </c>
      <c r="J1209" t="s">
        <v>9</v>
      </c>
      <c r="K1209" s="1">
        <v>12</v>
      </c>
      <c r="L1209" s="1">
        <v>3</v>
      </c>
      <c r="M1209" s="1">
        <v>8</v>
      </c>
      <c r="N1209" s="1">
        <v>3</v>
      </c>
      <c r="O1209" s="1">
        <v>4</v>
      </c>
      <c r="P1209" s="1">
        <f>COUNTIF(HR_Data[Employee Number],HR_Data[[#This Row],[Employee Number]])</f>
        <v>1</v>
      </c>
      <c r="Q1209" s="1" t="str">
        <f>IF(HR_Data[[#This Row],[Years At Company]]&lt;=HR_Data[[#This Row],[Total Working Years]],"Valid","error")</f>
        <v>Valid</v>
      </c>
      <c r="R1209" s="1" t="str" cm="1">
        <f t="array" ref="R1209">_xlfn.IFS(HR_Data[[#This Row],[Age]]&lt;=30,"Young", HR_Data[[#This Row],[Age]]&lt;=45,"Mid-Age",HR_Data[[#This Row],[Age]]&gt;45,"Senior")</f>
        <v>Senior</v>
      </c>
      <c r="S1209" s="1" t="str" cm="1">
        <f t="array" ref="S1209">_xlfn.IFS(HR_Data[[#This Row],[Monthly Income]]&lt;5000,"Low", HR_Data[[#This Row],[Monthly Income]]&lt;10000,"Medium",TRUE,"High")</f>
        <v>Low</v>
      </c>
      <c r="T1209" s="1" t="str" cm="1">
        <f t="array" ref="T1209">_xlfn.IFS(HR_Data[[#This Row],[Total Working Years]]&lt;=5,"Junior", HR_Data[[#This Row],[Total Working Years]]&lt;=15,"Mid-Level", TRUE, "Senior")</f>
        <v>Mid-Level</v>
      </c>
    </row>
    <row r="1210" spans="1:20" x14ac:dyDescent="0.25">
      <c r="A1210" s="1">
        <v>1696</v>
      </c>
      <c r="B1210" s="1">
        <v>34</v>
      </c>
      <c r="C1210" t="s">
        <v>9</v>
      </c>
      <c r="D1210" t="s">
        <v>10</v>
      </c>
      <c r="E1210" t="s">
        <v>15</v>
      </c>
      <c r="F1210" t="s">
        <v>11</v>
      </c>
      <c r="G1210" t="s">
        <v>14</v>
      </c>
      <c r="H1210" s="1">
        <v>4</v>
      </c>
      <c r="I1210" s="1">
        <v>3986</v>
      </c>
      <c r="J1210" t="s">
        <v>9</v>
      </c>
      <c r="K1210" s="1">
        <v>14</v>
      </c>
      <c r="L1210" s="1">
        <v>3</v>
      </c>
      <c r="M1210" s="1">
        <v>15</v>
      </c>
      <c r="N1210" s="1">
        <v>4</v>
      </c>
      <c r="O1210" s="1">
        <v>15</v>
      </c>
      <c r="P1210" s="1">
        <f>COUNTIF(HR_Data[Employee Number],HR_Data[[#This Row],[Employee Number]])</f>
        <v>1</v>
      </c>
      <c r="Q1210" s="1" t="str">
        <f>IF(HR_Data[[#This Row],[Years At Company]]&lt;=HR_Data[[#This Row],[Total Working Years]],"Valid","error")</f>
        <v>Valid</v>
      </c>
      <c r="R1210" s="1" t="str" cm="1">
        <f t="array" ref="R1210">_xlfn.IFS(HR_Data[[#This Row],[Age]]&lt;=30,"Young", HR_Data[[#This Row],[Age]]&lt;=45,"Mid-Age",HR_Data[[#This Row],[Age]]&gt;45,"Senior")</f>
        <v>Mid-Age</v>
      </c>
      <c r="S1210" s="1" t="str" cm="1">
        <f t="array" ref="S1210">_xlfn.IFS(HR_Data[[#This Row],[Monthly Income]]&lt;5000,"Low", HR_Data[[#This Row],[Monthly Income]]&lt;10000,"Medium",TRUE,"High")</f>
        <v>Low</v>
      </c>
      <c r="T1210" s="1" t="str" cm="1">
        <f t="array" ref="T1210">_xlfn.IFS(HR_Data[[#This Row],[Total Working Years]]&lt;=5,"Junior", HR_Data[[#This Row],[Total Working Years]]&lt;=15,"Mid-Level", TRUE, "Senior")</f>
        <v>Mid-Level</v>
      </c>
    </row>
    <row r="1211" spans="1:20" x14ac:dyDescent="0.25">
      <c r="A1211" s="1">
        <v>1697</v>
      </c>
      <c r="B1211" s="1">
        <v>60</v>
      </c>
      <c r="C1211" t="s">
        <v>9</v>
      </c>
      <c r="D1211" t="s">
        <v>10</v>
      </c>
      <c r="E1211" t="s">
        <v>15</v>
      </c>
      <c r="F1211" t="s">
        <v>11</v>
      </c>
      <c r="G1211" t="s">
        <v>17</v>
      </c>
      <c r="H1211" s="1">
        <v>4</v>
      </c>
      <c r="I1211" s="1">
        <v>10883</v>
      </c>
      <c r="J1211" t="s">
        <v>9</v>
      </c>
      <c r="K1211" s="1">
        <v>20</v>
      </c>
      <c r="L1211" s="1">
        <v>4</v>
      </c>
      <c r="M1211" s="1">
        <v>19</v>
      </c>
      <c r="N1211" s="1">
        <v>4</v>
      </c>
      <c r="O1211" s="1">
        <v>1</v>
      </c>
      <c r="P1211" s="1">
        <f>COUNTIF(HR_Data[Employee Number],HR_Data[[#This Row],[Employee Number]])</f>
        <v>1</v>
      </c>
      <c r="Q1211" s="1" t="str">
        <f>IF(HR_Data[[#This Row],[Years At Company]]&lt;=HR_Data[[#This Row],[Total Working Years]],"Valid","error")</f>
        <v>Valid</v>
      </c>
      <c r="R1211" s="1" t="str" cm="1">
        <f t="array" ref="R1211">_xlfn.IFS(HR_Data[[#This Row],[Age]]&lt;=30,"Young", HR_Data[[#This Row],[Age]]&lt;=45,"Mid-Age",HR_Data[[#This Row],[Age]]&gt;45,"Senior")</f>
        <v>Senior</v>
      </c>
      <c r="S1211" s="1" t="str" cm="1">
        <f t="array" ref="S1211">_xlfn.IFS(HR_Data[[#This Row],[Monthly Income]]&lt;5000,"Low", HR_Data[[#This Row],[Monthly Income]]&lt;10000,"Medium",TRUE,"High")</f>
        <v>High</v>
      </c>
      <c r="T1211" s="1" t="str" cm="1">
        <f t="array" ref="T1211">_xlfn.IFS(HR_Data[[#This Row],[Total Working Years]]&lt;=5,"Junior", HR_Data[[#This Row],[Total Working Years]]&lt;=15,"Mid-Level", TRUE, "Senior")</f>
        <v>Senior</v>
      </c>
    </row>
    <row r="1212" spans="1:20" x14ac:dyDescent="0.25">
      <c r="A1212" s="1">
        <v>1698</v>
      </c>
      <c r="B1212" s="1">
        <v>33</v>
      </c>
      <c r="C1212" t="s">
        <v>9</v>
      </c>
      <c r="D1212" t="s">
        <v>10</v>
      </c>
      <c r="E1212" t="s">
        <v>15</v>
      </c>
      <c r="F1212" t="s">
        <v>11</v>
      </c>
      <c r="G1212" t="s">
        <v>14</v>
      </c>
      <c r="H1212" s="1">
        <v>2</v>
      </c>
      <c r="I1212" s="1">
        <v>2028</v>
      </c>
      <c r="J1212" t="s">
        <v>9</v>
      </c>
      <c r="K1212" s="1">
        <v>18</v>
      </c>
      <c r="L1212" s="1">
        <v>3</v>
      </c>
      <c r="M1212" s="1">
        <v>14</v>
      </c>
      <c r="N1212" s="1">
        <v>3</v>
      </c>
      <c r="O1212" s="1">
        <v>14</v>
      </c>
      <c r="P1212" s="1">
        <f>COUNTIF(HR_Data[Employee Number],HR_Data[[#This Row],[Employee Number]])</f>
        <v>1</v>
      </c>
      <c r="Q1212" s="1" t="str">
        <f>IF(HR_Data[[#This Row],[Years At Company]]&lt;=HR_Data[[#This Row],[Total Working Years]],"Valid","error")</f>
        <v>Valid</v>
      </c>
      <c r="R1212" s="1" t="str" cm="1">
        <f t="array" ref="R1212">_xlfn.IFS(HR_Data[[#This Row],[Age]]&lt;=30,"Young", HR_Data[[#This Row],[Age]]&lt;=45,"Mid-Age",HR_Data[[#This Row],[Age]]&gt;45,"Senior")</f>
        <v>Mid-Age</v>
      </c>
      <c r="S1212" s="1" t="str" cm="1">
        <f t="array" ref="S1212">_xlfn.IFS(HR_Data[[#This Row],[Monthly Income]]&lt;5000,"Low", HR_Data[[#This Row],[Monthly Income]]&lt;10000,"Medium",TRUE,"High")</f>
        <v>Low</v>
      </c>
      <c r="T1212" s="1" t="str" cm="1">
        <f t="array" ref="T1212">_xlfn.IFS(HR_Data[[#This Row],[Total Working Years]]&lt;=5,"Junior", HR_Data[[#This Row],[Total Working Years]]&lt;=15,"Mid-Level", TRUE, "Senior")</f>
        <v>Mid-Level</v>
      </c>
    </row>
    <row r="1213" spans="1:20" x14ac:dyDescent="0.25">
      <c r="A1213" s="1">
        <v>1700</v>
      </c>
      <c r="B1213" s="1">
        <v>37</v>
      </c>
      <c r="C1213" t="s">
        <v>9</v>
      </c>
      <c r="D1213" t="s">
        <v>5</v>
      </c>
      <c r="E1213" t="s">
        <v>15</v>
      </c>
      <c r="F1213" t="s">
        <v>11</v>
      </c>
      <c r="G1213" t="s">
        <v>8</v>
      </c>
      <c r="H1213" s="1">
        <v>4</v>
      </c>
      <c r="I1213" s="1">
        <v>9525</v>
      </c>
      <c r="J1213" t="s">
        <v>9</v>
      </c>
      <c r="K1213" s="1">
        <v>14</v>
      </c>
      <c r="L1213" s="1">
        <v>3</v>
      </c>
      <c r="M1213" s="1">
        <v>6</v>
      </c>
      <c r="N1213" s="1">
        <v>2</v>
      </c>
      <c r="O1213" s="1">
        <v>6</v>
      </c>
      <c r="P1213" s="1">
        <f>COUNTIF(HR_Data[Employee Number],HR_Data[[#This Row],[Employee Number]])</f>
        <v>1</v>
      </c>
      <c r="Q1213" s="1" t="str">
        <f>IF(HR_Data[[#This Row],[Years At Company]]&lt;=HR_Data[[#This Row],[Total Working Years]],"Valid","error")</f>
        <v>Valid</v>
      </c>
      <c r="R1213" s="1" t="str" cm="1">
        <f t="array" ref="R1213">_xlfn.IFS(HR_Data[[#This Row],[Age]]&lt;=30,"Young", HR_Data[[#This Row],[Age]]&lt;=45,"Mid-Age",HR_Data[[#This Row],[Age]]&gt;45,"Senior")</f>
        <v>Mid-Age</v>
      </c>
      <c r="S1213" s="1" t="str" cm="1">
        <f t="array" ref="S1213">_xlfn.IFS(HR_Data[[#This Row],[Monthly Income]]&lt;5000,"Low", HR_Data[[#This Row],[Monthly Income]]&lt;10000,"Medium",TRUE,"High")</f>
        <v>Medium</v>
      </c>
      <c r="T1213" s="1" t="str" cm="1">
        <f t="array" ref="T1213">_xlfn.IFS(HR_Data[[#This Row],[Total Working Years]]&lt;=5,"Junior", HR_Data[[#This Row],[Total Working Years]]&lt;=15,"Mid-Level", TRUE, "Senior")</f>
        <v>Mid-Level</v>
      </c>
    </row>
    <row r="1214" spans="1:20" x14ac:dyDescent="0.25">
      <c r="A1214" s="1">
        <v>1701</v>
      </c>
      <c r="B1214" s="1">
        <v>34</v>
      </c>
      <c r="C1214" t="s">
        <v>9</v>
      </c>
      <c r="D1214" t="s">
        <v>10</v>
      </c>
      <c r="E1214" t="s">
        <v>6</v>
      </c>
      <c r="F1214" t="s">
        <v>7</v>
      </c>
      <c r="G1214" t="s">
        <v>12</v>
      </c>
      <c r="H1214" s="1">
        <v>4</v>
      </c>
      <c r="I1214" s="1">
        <v>2929</v>
      </c>
      <c r="J1214" t="s">
        <v>9</v>
      </c>
      <c r="K1214" s="1">
        <v>12</v>
      </c>
      <c r="L1214" s="1">
        <v>3</v>
      </c>
      <c r="M1214" s="1">
        <v>10</v>
      </c>
      <c r="N1214" s="1">
        <v>3</v>
      </c>
      <c r="O1214" s="1">
        <v>10</v>
      </c>
      <c r="P1214" s="1">
        <f>COUNTIF(HR_Data[Employee Number],HR_Data[[#This Row],[Employee Number]])</f>
        <v>1</v>
      </c>
      <c r="Q1214" s="1" t="str">
        <f>IF(HR_Data[[#This Row],[Years At Company]]&lt;=HR_Data[[#This Row],[Total Working Years]],"Valid","error")</f>
        <v>Valid</v>
      </c>
      <c r="R1214" s="1" t="str" cm="1">
        <f t="array" ref="R1214">_xlfn.IFS(HR_Data[[#This Row],[Age]]&lt;=30,"Young", HR_Data[[#This Row],[Age]]&lt;=45,"Mid-Age",HR_Data[[#This Row],[Age]]&gt;45,"Senior")</f>
        <v>Mid-Age</v>
      </c>
      <c r="S1214" s="1" t="str" cm="1">
        <f t="array" ref="S1214">_xlfn.IFS(HR_Data[[#This Row],[Monthly Income]]&lt;5000,"Low", HR_Data[[#This Row],[Monthly Income]]&lt;10000,"Medium",TRUE,"High")</f>
        <v>Low</v>
      </c>
      <c r="T1214" s="1" t="str" cm="1">
        <f t="array" ref="T1214">_xlfn.IFS(HR_Data[[#This Row],[Total Working Years]]&lt;=5,"Junior", HR_Data[[#This Row],[Total Working Years]]&lt;=15,"Mid-Level", TRUE, "Senior")</f>
        <v>Mid-Level</v>
      </c>
    </row>
    <row r="1215" spans="1:20" x14ac:dyDescent="0.25">
      <c r="A1215" s="1">
        <v>1702</v>
      </c>
      <c r="B1215" s="1">
        <v>23</v>
      </c>
      <c r="C1215" t="s">
        <v>4</v>
      </c>
      <c r="D1215" t="s">
        <v>5</v>
      </c>
      <c r="E1215" t="s">
        <v>6</v>
      </c>
      <c r="F1215" t="s">
        <v>11</v>
      </c>
      <c r="G1215" t="s">
        <v>19</v>
      </c>
      <c r="H1215" s="1">
        <v>4</v>
      </c>
      <c r="I1215" s="1">
        <v>2275</v>
      </c>
      <c r="J1215" t="s">
        <v>4</v>
      </c>
      <c r="K1215" s="1">
        <v>21</v>
      </c>
      <c r="L1215" s="1">
        <v>4</v>
      </c>
      <c r="M1215" s="1">
        <v>3</v>
      </c>
      <c r="N1215" s="1">
        <v>3</v>
      </c>
      <c r="O1215" s="1">
        <v>3</v>
      </c>
      <c r="P1215" s="1">
        <f>COUNTIF(HR_Data[Employee Number],HR_Data[[#This Row],[Employee Number]])</f>
        <v>1</v>
      </c>
      <c r="Q1215" s="1" t="str">
        <f>IF(HR_Data[[#This Row],[Years At Company]]&lt;=HR_Data[[#This Row],[Total Working Years]],"Valid","error")</f>
        <v>Valid</v>
      </c>
      <c r="R1215" s="1" t="str" cm="1">
        <f t="array" ref="R1215">_xlfn.IFS(HR_Data[[#This Row],[Age]]&lt;=30,"Young", HR_Data[[#This Row],[Age]]&lt;=45,"Mid-Age",HR_Data[[#This Row],[Age]]&gt;45,"Senior")</f>
        <v>Young</v>
      </c>
      <c r="S1215" s="1" t="str" cm="1">
        <f t="array" ref="S1215">_xlfn.IFS(HR_Data[[#This Row],[Monthly Income]]&lt;5000,"Low", HR_Data[[#This Row],[Monthly Income]]&lt;10000,"Medium",TRUE,"High")</f>
        <v>Low</v>
      </c>
      <c r="T1215" s="1" t="str" cm="1">
        <f t="array" ref="T1215">_xlfn.IFS(HR_Data[[#This Row],[Total Working Years]]&lt;=5,"Junior", HR_Data[[#This Row],[Total Working Years]]&lt;=15,"Mid-Level", TRUE, "Senior")</f>
        <v>Junior</v>
      </c>
    </row>
    <row r="1216" spans="1:20" x14ac:dyDescent="0.25">
      <c r="A1216" s="1">
        <v>1703</v>
      </c>
      <c r="B1216" s="1">
        <v>44</v>
      </c>
      <c r="C1216" t="s">
        <v>9</v>
      </c>
      <c r="D1216" t="s">
        <v>10</v>
      </c>
      <c r="E1216" t="s">
        <v>6</v>
      </c>
      <c r="F1216" t="s">
        <v>7</v>
      </c>
      <c r="G1216" t="s">
        <v>17</v>
      </c>
      <c r="H1216" s="1">
        <v>4</v>
      </c>
      <c r="I1216" s="1">
        <v>7879</v>
      </c>
      <c r="J1216" t="s">
        <v>4</v>
      </c>
      <c r="K1216" s="1">
        <v>19</v>
      </c>
      <c r="L1216" s="1">
        <v>3</v>
      </c>
      <c r="M1216" s="1">
        <v>9</v>
      </c>
      <c r="N1216" s="1">
        <v>3</v>
      </c>
      <c r="O1216" s="1">
        <v>8</v>
      </c>
      <c r="P1216" s="1">
        <f>COUNTIF(HR_Data[Employee Number],HR_Data[[#This Row],[Employee Number]])</f>
        <v>1</v>
      </c>
      <c r="Q1216" s="1" t="str">
        <f>IF(HR_Data[[#This Row],[Years At Company]]&lt;=HR_Data[[#This Row],[Total Working Years]],"Valid","error")</f>
        <v>Valid</v>
      </c>
      <c r="R1216" s="1" t="str" cm="1">
        <f t="array" ref="R1216">_xlfn.IFS(HR_Data[[#This Row],[Age]]&lt;=30,"Young", HR_Data[[#This Row],[Age]]&lt;=45,"Mid-Age",HR_Data[[#This Row],[Age]]&gt;45,"Senior")</f>
        <v>Mid-Age</v>
      </c>
      <c r="S1216" s="1" t="str" cm="1">
        <f t="array" ref="S1216">_xlfn.IFS(HR_Data[[#This Row],[Monthly Income]]&lt;5000,"Low", HR_Data[[#This Row],[Monthly Income]]&lt;10000,"Medium",TRUE,"High")</f>
        <v>Medium</v>
      </c>
      <c r="T1216" s="1" t="str" cm="1">
        <f t="array" ref="T1216">_xlfn.IFS(HR_Data[[#This Row],[Total Working Years]]&lt;=5,"Junior", HR_Data[[#This Row],[Total Working Years]]&lt;=15,"Mid-Level", TRUE, "Senior")</f>
        <v>Mid-Level</v>
      </c>
    </row>
    <row r="1217" spans="1:20" x14ac:dyDescent="0.25">
      <c r="A1217" s="1">
        <v>1704</v>
      </c>
      <c r="B1217" s="1">
        <v>35</v>
      </c>
      <c r="C1217" t="s">
        <v>9</v>
      </c>
      <c r="D1217" t="s">
        <v>10</v>
      </c>
      <c r="E1217" t="s">
        <v>15</v>
      </c>
      <c r="F1217" t="s">
        <v>11</v>
      </c>
      <c r="G1217" t="s">
        <v>12</v>
      </c>
      <c r="H1217" s="1">
        <v>4</v>
      </c>
      <c r="I1217" s="1">
        <v>4930</v>
      </c>
      <c r="J1217" t="s">
        <v>4</v>
      </c>
      <c r="K1217" s="1">
        <v>14</v>
      </c>
      <c r="L1217" s="1">
        <v>3</v>
      </c>
      <c r="M1217" s="1">
        <v>6</v>
      </c>
      <c r="N1217" s="1">
        <v>4</v>
      </c>
      <c r="O1217" s="1">
        <v>5</v>
      </c>
      <c r="P1217" s="1">
        <f>COUNTIF(HR_Data[Employee Number],HR_Data[[#This Row],[Employee Number]])</f>
        <v>1</v>
      </c>
      <c r="Q1217" s="1" t="str">
        <f>IF(HR_Data[[#This Row],[Years At Company]]&lt;=HR_Data[[#This Row],[Total Working Years]],"Valid","error")</f>
        <v>Valid</v>
      </c>
      <c r="R1217" s="1" t="str" cm="1">
        <f t="array" ref="R1217">_xlfn.IFS(HR_Data[[#This Row],[Age]]&lt;=30,"Young", HR_Data[[#This Row],[Age]]&lt;=45,"Mid-Age",HR_Data[[#This Row],[Age]]&gt;45,"Senior")</f>
        <v>Mid-Age</v>
      </c>
      <c r="S1217" s="1" t="str" cm="1">
        <f t="array" ref="S1217">_xlfn.IFS(HR_Data[[#This Row],[Monthly Income]]&lt;5000,"Low", HR_Data[[#This Row],[Monthly Income]]&lt;10000,"Medium",TRUE,"High")</f>
        <v>Low</v>
      </c>
      <c r="T1217" s="1" t="str" cm="1">
        <f t="array" ref="T1217">_xlfn.IFS(HR_Data[[#This Row],[Total Working Years]]&lt;=5,"Junior", HR_Data[[#This Row],[Total Working Years]]&lt;=15,"Mid-Level", TRUE, "Senior")</f>
        <v>Mid-Level</v>
      </c>
    </row>
    <row r="1218" spans="1:20" x14ac:dyDescent="0.25">
      <c r="A1218" s="1">
        <v>1706</v>
      </c>
      <c r="B1218" s="1">
        <v>43</v>
      </c>
      <c r="C1218" t="s">
        <v>9</v>
      </c>
      <c r="D1218" t="s">
        <v>5</v>
      </c>
      <c r="E1218" t="s">
        <v>15</v>
      </c>
      <c r="F1218" t="s">
        <v>11</v>
      </c>
      <c r="G1218" t="s">
        <v>8</v>
      </c>
      <c r="H1218" s="1">
        <v>4</v>
      </c>
      <c r="I1218" s="1">
        <v>7847</v>
      </c>
      <c r="J1218" t="s">
        <v>4</v>
      </c>
      <c r="K1218" s="1">
        <v>17</v>
      </c>
      <c r="L1218" s="1">
        <v>3</v>
      </c>
      <c r="M1218" s="1">
        <v>10</v>
      </c>
      <c r="N1218" s="1">
        <v>3</v>
      </c>
      <c r="O1218" s="1">
        <v>10</v>
      </c>
      <c r="P1218" s="1">
        <f>COUNTIF(HR_Data[Employee Number],HR_Data[[#This Row],[Employee Number]])</f>
        <v>1</v>
      </c>
      <c r="Q1218" s="1" t="str">
        <f>IF(HR_Data[[#This Row],[Years At Company]]&lt;=HR_Data[[#This Row],[Total Working Years]],"Valid","error")</f>
        <v>Valid</v>
      </c>
      <c r="R1218" s="1" t="str" cm="1">
        <f t="array" ref="R1218">_xlfn.IFS(HR_Data[[#This Row],[Age]]&lt;=30,"Young", HR_Data[[#This Row],[Age]]&lt;=45,"Mid-Age",HR_Data[[#This Row],[Age]]&gt;45,"Senior")</f>
        <v>Mid-Age</v>
      </c>
      <c r="S1218" s="1" t="str" cm="1">
        <f t="array" ref="S1218">_xlfn.IFS(HR_Data[[#This Row],[Monthly Income]]&lt;5000,"Low", HR_Data[[#This Row],[Monthly Income]]&lt;10000,"Medium",TRUE,"High")</f>
        <v>Medium</v>
      </c>
      <c r="T1218" s="1" t="str" cm="1">
        <f t="array" ref="T1218">_xlfn.IFS(HR_Data[[#This Row],[Total Working Years]]&lt;=5,"Junior", HR_Data[[#This Row],[Total Working Years]]&lt;=15,"Mid-Level", TRUE, "Senior")</f>
        <v>Mid-Level</v>
      </c>
    </row>
    <row r="1219" spans="1:20" x14ac:dyDescent="0.25">
      <c r="A1219" s="1">
        <v>1707</v>
      </c>
      <c r="B1219" s="1">
        <v>24</v>
      </c>
      <c r="C1219" t="s">
        <v>9</v>
      </c>
      <c r="D1219" t="s">
        <v>10</v>
      </c>
      <c r="E1219" t="s">
        <v>15</v>
      </c>
      <c r="F1219" t="s">
        <v>11</v>
      </c>
      <c r="G1219" t="s">
        <v>12</v>
      </c>
      <c r="H1219" s="1">
        <v>3</v>
      </c>
      <c r="I1219" s="1">
        <v>4401</v>
      </c>
      <c r="J1219" t="s">
        <v>9</v>
      </c>
      <c r="K1219" s="1">
        <v>16</v>
      </c>
      <c r="L1219" s="1">
        <v>3</v>
      </c>
      <c r="M1219" s="1">
        <v>5</v>
      </c>
      <c r="N1219" s="1">
        <v>3</v>
      </c>
      <c r="O1219" s="1">
        <v>5</v>
      </c>
      <c r="P1219" s="1">
        <f>COUNTIF(HR_Data[Employee Number],HR_Data[[#This Row],[Employee Number]])</f>
        <v>1</v>
      </c>
      <c r="Q1219" s="1" t="str">
        <f>IF(HR_Data[[#This Row],[Years At Company]]&lt;=HR_Data[[#This Row],[Total Working Years]],"Valid","error")</f>
        <v>Valid</v>
      </c>
      <c r="R1219" s="1" t="str" cm="1">
        <f t="array" ref="R1219">_xlfn.IFS(HR_Data[[#This Row],[Age]]&lt;=30,"Young", HR_Data[[#This Row],[Age]]&lt;=45,"Mid-Age",HR_Data[[#This Row],[Age]]&gt;45,"Senior")</f>
        <v>Young</v>
      </c>
      <c r="S1219" s="1" t="str" cm="1">
        <f t="array" ref="S1219">_xlfn.IFS(HR_Data[[#This Row],[Monthly Income]]&lt;5000,"Low", HR_Data[[#This Row],[Monthly Income]]&lt;10000,"Medium",TRUE,"High")</f>
        <v>Low</v>
      </c>
      <c r="T1219" s="1" t="str" cm="1">
        <f t="array" ref="T1219">_xlfn.IFS(HR_Data[[#This Row],[Total Working Years]]&lt;=5,"Junior", HR_Data[[#This Row],[Total Working Years]]&lt;=15,"Mid-Level", TRUE, "Senior")</f>
        <v>Junior</v>
      </c>
    </row>
    <row r="1220" spans="1:20" x14ac:dyDescent="0.25">
      <c r="A1220" s="1">
        <v>1708</v>
      </c>
      <c r="B1220" s="1">
        <v>41</v>
      </c>
      <c r="C1220" t="s">
        <v>9</v>
      </c>
      <c r="D1220" t="s">
        <v>5</v>
      </c>
      <c r="E1220" t="s">
        <v>21</v>
      </c>
      <c r="F1220" t="s">
        <v>11</v>
      </c>
      <c r="G1220" t="s">
        <v>8</v>
      </c>
      <c r="H1220" s="1">
        <v>3</v>
      </c>
      <c r="I1220" s="1">
        <v>9241</v>
      </c>
      <c r="J1220" t="s">
        <v>9</v>
      </c>
      <c r="K1220" s="1">
        <v>12</v>
      </c>
      <c r="L1220" s="1">
        <v>3</v>
      </c>
      <c r="M1220" s="1">
        <v>10</v>
      </c>
      <c r="N1220" s="1">
        <v>3</v>
      </c>
      <c r="O1220" s="1">
        <v>10</v>
      </c>
      <c r="P1220" s="1">
        <f>COUNTIF(HR_Data[Employee Number],HR_Data[[#This Row],[Employee Number]])</f>
        <v>1</v>
      </c>
      <c r="Q1220" s="1" t="str">
        <f>IF(HR_Data[[#This Row],[Years At Company]]&lt;=HR_Data[[#This Row],[Total Working Years]],"Valid","error")</f>
        <v>Valid</v>
      </c>
      <c r="R1220" s="1" t="str" cm="1">
        <f t="array" ref="R1220">_xlfn.IFS(HR_Data[[#This Row],[Age]]&lt;=30,"Young", HR_Data[[#This Row],[Age]]&lt;=45,"Mid-Age",HR_Data[[#This Row],[Age]]&gt;45,"Senior")</f>
        <v>Mid-Age</v>
      </c>
      <c r="S1220" s="1" t="str" cm="1">
        <f t="array" ref="S1220">_xlfn.IFS(HR_Data[[#This Row],[Monthly Income]]&lt;5000,"Low", HR_Data[[#This Row],[Monthly Income]]&lt;10000,"Medium",TRUE,"High")</f>
        <v>Medium</v>
      </c>
      <c r="T1220" s="1" t="str" cm="1">
        <f t="array" ref="T1220">_xlfn.IFS(HR_Data[[#This Row],[Total Working Years]]&lt;=5,"Junior", HR_Data[[#This Row],[Total Working Years]]&lt;=15,"Mid-Level", TRUE, "Senior")</f>
        <v>Mid-Level</v>
      </c>
    </row>
    <row r="1221" spans="1:20" x14ac:dyDescent="0.25">
      <c r="A1221" s="1">
        <v>1709</v>
      </c>
      <c r="B1221" s="1">
        <v>29</v>
      </c>
      <c r="C1221" t="s">
        <v>9</v>
      </c>
      <c r="D1221" t="s">
        <v>10</v>
      </c>
      <c r="E1221" t="s">
        <v>15</v>
      </c>
      <c r="F1221" t="s">
        <v>7</v>
      </c>
      <c r="G1221" t="s">
        <v>14</v>
      </c>
      <c r="H1221" s="1">
        <v>3</v>
      </c>
      <c r="I1221" s="1">
        <v>2974</v>
      </c>
      <c r="J1221" t="s">
        <v>9</v>
      </c>
      <c r="K1221" s="1">
        <v>17</v>
      </c>
      <c r="L1221" s="1">
        <v>3</v>
      </c>
      <c r="M1221" s="1">
        <v>9</v>
      </c>
      <c r="N1221" s="1">
        <v>3</v>
      </c>
      <c r="O1221" s="1">
        <v>5</v>
      </c>
      <c r="P1221" s="1">
        <f>COUNTIF(HR_Data[Employee Number],HR_Data[[#This Row],[Employee Number]])</f>
        <v>1</v>
      </c>
      <c r="Q1221" s="1" t="str">
        <f>IF(HR_Data[[#This Row],[Years At Company]]&lt;=HR_Data[[#This Row],[Total Working Years]],"Valid","error")</f>
        <v>Valid</v>
      </c>
      <c r="R1221" s="1" t="str" cm="1">
        <f t="array" ref="R1221">_xlfn.IFS(HR_Data[[#This Row],[Age]]&lt;=30,"Young", HR_Data[[#This Row],[Age]]&lt;=45,"Mid-Age",HR_Data[[#This Row],[Age]]&gt;45,"Senior")</f>
        <v>Young</v>
      </c>
      <c r="S1221" s="1" t="str" cm="1">
        <f t="array" ref="S1221">_xlfn.IFS(HR_Data[[#This Row],[Monthly Income]]&lt;5000,"Low", HR_Data[[#This Row],[Monthly Income]]&lt;10000,"Medium",TRUE,"High")</f>
        <v>Low</v>
      </c>
      <c r="T1221" s="1" t="str" cm="1">
        <f t="array" ref="T1221">_xlfn.IFS(HR_Data[[#This Row],[Total Working Years]]&lt;=5,"Junior", HR_Data[[#This Row],[Total Working Years]]&lt;=15,"Mid-Level", TRUE, "Senior")</f>
        <v>Mid-Level</v>
      </c>
    </row>
    <row r="1222" spans="1:20" x14ac:dyDescent="0.25">
      <c r="A1222" s="1">
        <v>1710</v>
      </c>
      <c r="B1222" s="1">
        <v>36</v>
      </c>
      <c r="C1222" t="s">
        <v>9</v>
      </c>
      <c r="D1222" t="s">
        <v>5</v>
      </c>
      <c r="E1222" t="s">
        <v>6</v>
      </c>
      <c r="F1222" t="s">
        <v>7</v>
      </c>
      <c r="G1222" t="s">
        <v>19</v>
      </c>
      <c r="H1222" s="1">
        <v>4</v>
      </c>
      <c r="I1222" s="1">
        <v>4502</v>
      </c>
      <c r="J1222" t="s">
        <v>9</v>
      </c>
      <c r="K1222" s="1">
        <v>15</v>
      </c>
      <c r="L1222" s="1">
        <v>3</v>
      </c>
      <c r="M1222" s="1">
        <v>17</v>
      </c>
      <c r="N1222" s="1">
        <v>2</v>
      </c>
      <c r="O1222" s="1">
        <v>13</v>
      </c>
      <c r="P1222" s="1">
        <f>COUNTIF(HR_Data[Employee Number],HR_Data[[#This Row],[Employee Number]])</f>
        <v>1</v>
      </c>
      <c r="Q1222" s="1" t="str">
        <f>IF(HR_Data[[#This Row],[Years At Company]]&lt;=HR_Data[[#This Row],[Total Working Years]],"Valid","error")</f>
        <v>Valid</v>
      </c>
      <c r="R1222" s="1" t="str" cm="1">
        <f t="array" ref="R1222">_xlfn.IFS(HR_Data[[#This Row],[Age]]&lt;=30,"Young", HR_Data[[#This Row],[Age]]&lt;=45,"Mid-Age",HR_Data[[#This Row],[Age]]&gt;45,"Senior")</f>
        <v>Mid-Age</v>
      </c>
      <c r="S1222" s="1" t="str" cm="1">
        <f t="array" ref="S1222">_xlfn.IFS(HR_Data[[#This Row],[Monthly Income]]&lt;5000,"Low", HR_Data[[#This Row],[Monthly Income]]&lt;10000,"Medium",TRUE,"High")</f>
        <v>Low</v>
      </c>
      <c r="T1222" s="1" t="str" cm="1">
        <f t="array" ref="T1222">_xlfn.IFS(HR_Data[[#This Row],[Total Working Years]]&lt;=5,"Junior", HR_Data[[#This Row],[Total Working Years]]&lt;=15,"Mid-Level", TRUE, "Senior")</f>
        <v>Senior</v>
      </c>
    </row>
    <row r="1223" spans="1:20" x14ac:dyDescent="0.25">
      <c r="A1223" s="1">
        <v>1712</v>
      </c>
      <c r="B1223" s="1">
        <v>45</v>
      </c>
      <c r="C1223" t="s">
        <v>9</v>
      </c>
      <c r="D1223" t="s">
        <v>10</v>
      </c>
      <c r="E1223" t="s">
        <v>6</v>
      </c>
      <c r="F1223" t="s">
        <v>11</v>
      </c>
      <c r="G1223" t="s">
        <v>17</v>
      </c>
      <c r="H1223" s="1">
        <v>3</v>
      </c>
      <c r="I1223" s="1">
        <v>10748</v>
      </c>
      <c r="J1223" t="s">
        <v>9</v>
      </c>
      <c r="K1223" s="1">
        <v>23</v>
      </c>
      <c r="L1223" s="1">
        <v>4</v>
      </c>
      <c r="M1223" s="1">
        <v>25</v>
      </c>
      <c r="N1223" s="1">
        <v>2</v>
      </c>
      <c r="O1223" s="1">
        <v>23</v>
      </c>
      <c r="P1223" s="1">
        <f>COUNTIF(HR_Data[Employee Number],HR_Data[[#This Row],[Employee Number]])</f>
        <v>1</v>
      </c>
      <c r="Q1223" s="1" t="str">
        <f>IF(HR_Data[[#This Row],[Years At Company]]&lt;=HR_Data[[#This Row],[Total Working Years]],"Valid","error")</f>
        <v>Valid</v>
      </c>
      <c r="R1223" s="1" t="str" cm="1">
        <f t="array" ref="R1223">_xlfn.IFS(HR_Data[[#This Row],[Age]]&lt;=30,"Young", HR_Data[[#This Row],[Age]]&lt;=45,"Mid-Age",HR_Data[[#This Row],[Age]]&gt;45,"Senior")</f>
        <v>Mid-Age</v>
      </c>
      <c r="S1223" s="1" t="str" cm="1">
        <f t="array" ref="S1223">_xlfn.IFS(HR_Data[[#This Row],[Monthly Income]]&lt;5000,"Low", HR_Data[[#This Row],[Monthly Income]]&lt;10000,"Medium",TRUE,"High")</f>
        <v>High</v>
      </c>
      <c r="T1223" s="1" t="str" cm="1">
        <f t="array" ref="T1223">_xlfn.IFS(HR_Data[[#This Row],[Total Working Years]]&lt;=5,"Junior", HR_Data[[#This Row],[Total Working Years]]&lt;=15,"Mid-Level", TRUE, "Senior")</f>
        <v>Senior</v>
      </c>
    </row>
    <row r="1224" spans="1:20" x14ac:dyDescent="0.25">
      <c r="A1224" s="1">
        <v>1714</v>
      </c>
      <c r="B1224" s="1">
        <v>24</v>
      </c>
      <c r="C1224" t="s">
        <v>4</v>
      </c>
      <c r="D1224" t="s">
        <v>23</v>
      </c>
      <c r="E1224" t="s">
        <v>23</v>
      </c>
      <c r="F1224" t="s">
        <v>11</v>
      </c>
      <c r="G1224" t="s">
        <v>23</v>
      </c>
      <c r="H1224" s="1">
        <v>3</v>
      </c>
      <c r="I1224" s="1">
        <v>1555</v>
      </c>
      <c r="J1224" t="s">
        <v>9</v>
      </c>
      <c r="K1224" s="1">
        <v>11</v>
      </c>
      <c r="L1224" s="1">
        <v>3</v>
      </c>
      <c r="M1224" s="1">
        <v>1</v>
      </c>
      <c r="N1224" s="1">
        <v>3</v>
      </c>
      <c r="O1224" s="1">
        <v>1</v>
      </c>
      <c r="P1224" s="1">
        <f>COUNTIF(HR_Data[Employee Number],HR_Data[[#This Row],[Employee Number]])</f>
        <v>1</v>
      </c>
      <c r="Q1224" s="1" t="str">
        <f>IF(HR_Data[[#This Row],[Years At Company]]&lt;=HR_Data[[#This Row],[Total Working Years]],"Valid","error")</f>
        <v>Valid</v>
      </c>
      <c r="R1224" s="1" t="str" cm="1">
        <f t="array" ref="R1224">_xlfn.IFS(HR_Data[[#This Row],[Age]]&lt;=30,"Young", HR_Data[[#This Row],[Age]]&lt;=45,"Mid-Age",HR_Data[[#This Row],[Age]]&gt;45,"Senior")</f>
        <v>Young</v>
      </c>
      <c r="S1224" s="1" t="str" cm="1">
        <f t="array" ref="S1224">_xlfn.IFS(HR_Data[[#This Row],[Monthly Income]]&lt;5000,"Low", HR_Data[[#This Row],[Monthly Income]]&lt;10000,"Medium",TRUE,"High")</f>
        <v>Low</v>
      </c>
      <c r="T1224" s="1" t="str" cm="1">
        <f t="array" ref="T1224">_xlfn.IFS(HR_Data[[#This Row],[Total Working Years]]&lt;=5,"Junior", HR_Data[[#This Row],[Total Working Years]]&lt;=15,"Mid-Level", TRUE, "Senior")</f>
        <v>Junior</v>
      </c>
    </row>
    <row r="1225" spans="1:20" x14ac:dyDescent="0.25">
      <c r="A1225" s="1">
        <v>1716</v>
      </c>
      <c r="B1225" s="1">
        <v>47</v>
      </c>
      <c r="C1225" t="s">
        <v>4</v>
      </c>
      <c r="D1225" t="s">
        <v>5</v>
      </c>
      <c r="E1225" t="s">
        <v>6</v>
      </c>
      <c r="F1225" t="s">
        <v>11</v>
      </c>
      <c r="G1225" t="s">
        <v>8</v>
      </c>
      <c r="H1225" s="1">
        <v>3</v>
      </c>
      <c r="I1225" s="1">
        <v>12936</v>
      </c>
      <c r="J1225" t="s">
        <v>9</v>
      </c>
      <c r="K1225" s="1">
        <v>11</v>
      </c>
      <c r="L1225" s="1">
        <v>3</v>
      </c>
      <c r="M1225" s="1">
        <v>25</v>
      </c>
      <c r="N1225" s="1">
        <v>1</v>
      </c>
      <c r="O1225" s="1">
        <v>23</v>
      </c>
      <c r="P1225" s="1">
        <f>COUNTIF(HR_Data[Employee Number],HR_Data[[#This Row],[Employee Number]])</f>
        <v>1</v>
      </c>
      <c r="Q1225" s="1" t="str">
        <f>IF(HR_Data[[#This Row],[Years At Company]]&lt;=HR_Data[[#This Row],[Total Working Years]],"Valid","error")</f>
        <v>Valid</v>
      </c>
      <c r="R1225" s="1" t="str" cm="1">
        <f t="array" ref="R1225">_xlfn.IFS(HR_Data[[#This Row],[Age]]&lt;=30,"Young", HR_Data[[#This Row],[Age]]&lt;=45,"Mid-Age",HR_Data[[#This Row],[Age]]&gt;45,"Senior")</f>
        <v>Senior</v>
      </c>
      <c r="S1225" s="1" t="str" cm="1">
        <f t="array" ref="S1225">_xlfn.IFS(HR_Data[[#This Row],[Monthly Income]]&lt;5000,"Low", HR_Data[[#This Row],[Monthly Income]]&lt;10000,"Medium",TRUE,"High")</f>
        <v>High</v>
      </c>
      <c r="T1225" s="1" t="str" cm="1">
        <f t="array" ref="T1225">_xlfn.IFS(HR_Data[[#This Row],[Total Working Years]]&lt;=5,"Junior", HR_Data[[#This Row],[Total Working Years]]&lt;=15,"Mid-Level", TRUE, "Senior")</f>
        <v>Senior</v>
      </c>
    </row>
    <row r="1226" spans="1:20" x14ac:dyDescent="0.25">
      <c r="A1226" s="1">
        <v>1718</v>
      </c>
      <c r="B1226" s="1">
        <v>26</v>
      </c>
      <c r="C1226" t="s">
        <v>9</v>
      </c>
      <c r="D1226" t="s">
        <v>10</v>
      </c>
      <c r="E1226" t="s">
        <v>15</v>
      </c>
      <c r="F1226" t="s">
        <v>11</v>
      </c>
      <c r="G1226" t="s">
        <v>14</v>
      </c>
      <c r="H1226" s="1">
        <v>3</v>
      </c>
      <c r="I1226" s="1">
        <v>2305</v>
      </c>
      <c r="J1226" t="s">
        <v>9</v>
      </c>
      <c r="K1226" s="1">
        <v>15</v>
      </c>
      <c r="L1226" s="1">
        <v>3</v>
      </c>
      <c r="M1226" s="1">
        <v>3</v>
      </c>
      <c r="N1226" s="1">
        <v>4</v>
      </c>
      <c r="O1226" s="1">
        <v>3</v>
      </c>
      <c r="P1226" s="1">
        <f>COUNTIF(HR_Data[Employee Number],HR_Data[[#This Row],[Employee Number]])</f>
        <v>1</v>
      </c>
      <c r="Q1226" s="1" t="str">
        <f>IF(HR_Data[[#This Row],[Years At Company]]&lt;=HR_Data[[#This Row],[Total Working Years]],"Valid","error")</f>
        <v>Valid</v>
      </c>
      <c r="R1226" s="1" t="str" cm="1">
        <f t="array" ref="R1226">_xlfn.IFS(HR_Data[[#This Row],[Age]]&lt;=30,"Young", HR_Data[[#This Row],[Age]]&lt;=45,"Mid-Age",HR_Data[[#This Row],[Age]]&gt;45,"Senior")</f>
        <v>Young</v>
      </c>
      <c r="S1226" s="1" t="str" cm="1">
        <f t="array" ref="S1226">_xlfn.IFS(HR_Data[[#This Row],[Monthly Income]]&lt;5000,"Low", HR_Data[[#This Row],[Monthly Income]]&lt;10000,"Medium",TRUE,"High")</f>
        <v>Low</v>
      </c>
      <c r="T1226" s="1" t="str" cm="1">
        <f t="array" ref="T1226">_xlfn.IFS(HR_Data[[#This Row],[Total Working Years]]&lt;=5,"Junior", HR_Data[[#This Row],[Total Working Years]]&lt;=15,"Mid-Level", TRUE, "Senior")</f>
        <v>Junior</v>
      </c>
    </row>
    <row r="1227" spans="1:20" x14ac:dyDescent="0.25">
      <c r="A1227" s="1">
        <v>1719</v>
      </c>
      <c r="B1227" s="1">
        <v>45</v>
      </c>
      <c r="C1227" t="s">
        <v>9</v>
      </c>
      <c r="D1227" t="s">
        <v>10</v>
      </c>
      <c r="E1227" t="s">
        <v>22</v>
      </c>
      <c r="F1227" t="s">
        <v>7</v>
      </c>
      <c r="G1227" t="s">
        <v>20</v>
      </c>
      <c r="H1227" s="1">
        <v>2</v>
      </c>
      <c r="I1227" s="1">
        <v>16704</v>
      </c>
      <c r="J1227" t="s">
        <v>9</v>
      </c>
      <c r="K1227" s="1">
        <v>11</v>
      </c>
      <c r="L1227" s="1">
        <v>3</v>
      </c>
      <c r="M1227" s="1">
        <v>21</v>
      </c>
      <c r="N1227" s="1">
        <v>3</v>
      </c>
      <c r="O1227" s="1">
        <v>21</v>
      </c>
      <c r="P1227" s="1">
        <f>COUNTIF(HR_Data[Employee Number],HR_Data[[#This Row],[Employee Number]])</f>
        <v>1</v>
      </c>
      <c r="Q1227" s="1" t="str">
        <f>IF(HR_Data[[#This Row],[Years At Company]]&lt;=HR_Data[[#This Row],[Total Working Years]],"Valid","error")</f>
        <v>Valid</v>
      </c>
      <c r="R1227" s="1" t="str" cm="1">
        <f t="array" ref="R1227">_xlfn.IFS(HR_Data[[#This Row],[Age]]&lt;=30,"Young", HR_Data[[#This Row],[Age]]&lt;=45,"Mid-Age",HR_Data[[#This Row],[Age]]&gt;45,"Senior")</f>
        <v>Mid-Age</v>
      </c>
      <c r="S1227" s="1" t="str" cm="1">
        <f t="array" ref="S1227">_xlfn.IFS(HR_Data[[#This Row],[Monthly Income]]&lt;5000,"Low", HR_Data[[#This Row],[Monthly Income]]&lt;10000,"Medium",TRUE,"High")</f>
        <v>High</v>
      </c>
      <c r="T1227" s="1" t="str" cm="1">
        <f t="array" ref="T1227">_xlfn.IFS(HR_Data[[#This Row],[Total Working Years]]&lt;=5,"Junior", HR_Data[[#This Row],[Total Working Years]]&lt;=15,"Mid-Level", TRUE, "Senior")</f>
        <v>Senior</v>
      </c>
    </row>
    <row r="1228" spans="1:20" x14ac:dyDescent="0.25">
      <c r="A1228" s="1">
        <v>1720</v>
      </c>
      <c r="B1228" s="1">
        <v>32</v>
      </c>
      <c r="C1228" t="s">
        <v>9</v>
      </c>
      <c r="D1228" t="s">
        <v>10</v>
      </c>
      <c r="E1228" t="s">
        <v>6</v>
      </c>
      <c r="F1228" t="s">
        <v>11</v>
      </c>
      <c r="G1228" t="s">
        <v>12</v>
      </c>
      <c r="H1228" s="1">
        <v>3</v>
      </c>
      <c r="I1228" s="1">
        <v>3433</v>
      </c>
      <c r="J1228" t="s">
        <v>9</v>
      </c>
      <c r="K1228" s="1">
        <v>13</v>
      </c>
      <c r="L1228" s="1">
        <v>3</v>
      </c>
      <c r="M1228" s="1">
        <v>10</v>
      </c>
      <c r="N1228" s="1">
        <v>2</v>
      </c>
      <c r="O1228" s="1">
        <v>5</v>
      </c>
      <c r="P1228" s="1">
        <f>COUNTIF(HR_Data[Employee Number],HR_Data[[#This Row],[Employee Number]])</f>
        <v>1</v>
      </c>
      <c r="Q1228" s="1" t="str">
        <f>IF(HR_Data[[#This Row],[Years At Company]]&lt;=HR_Data[[#This Row],[Total Working Years]],"Valid","error")</f>
        <v>Valid</v>
      </c>
      <c r="R1228" s="1" t="str" cm="1">
        <f t="array" ref="R1228">_xlfn.IFS(HR_Data[[#This Row],[Age]]&lt;=30,"Young", HR_Data[[#This Row],[Age]]&lt;=45,"Mid-Age",HR_Data[[#This Row],[Age]]&gt;45,"Senior")</f>
        <v>Mid-Age</v>
      </c>
      <c r="S1228" s="1" t="str" cm="1">
        <f t="array" ref="S1228">_xlfn.IFS(HR_Data[[#This Row],[Monthly Income]]&lt;5000,"Low", HR_Data[[#This Row],[Monthly Income]]&lt;10000,"Medium",TRUE,"High")</f>
        <v>Low</v>
      </c>
      <c r="T1228" s="1" t="str" cm="1">
        <f t="array" ref="T1228">_xlfn.IFS(HR_Data[[#This Row],[Total Working Years]]&lt;=5,"Junior", HR_Data[[#This Row],[Total Working Years]]&lt;=15,"Mid-Level", TRUE, "Senior")</f>
        <v>Mid-Level</v>
      </c>
    </row>
    <row r="1229" spans="1:20" x14ac:dyDescent="0.25">
      <c r="A1229" s="1">
        <v>1721</v>
      </c>
      <c r="B1229" s="1">
        <v>31</v>
      </c>
      <c r="C1229" t="s">
        <v>9</v>
      </c>
      <c r="D1229" t="s">
        <v>10</v>
      </c>
      <c r="E1229" t="s">
        <v>6</v>
      </c>
      <c r="F1229" t="s">
        <v>11</v>
      </c>
      <c r="G1229" t="s">
        <v>14</v>
      </c>
      <c r="H1229" s="1">
        <v>3</v>
      </c>
      <c r="I1229" s="1">
        <v>3477</v>
      </c>
      <c r="J1229" t="s">
        <v>9</v>
      </c>
      <c r="K1229" s="1">
        <v>14</v>
      </c>
      <c r="L1229" s="1">
        <v>3</v>
      </c>
      <c r="M1229" s="1">
        <v>6</v>
      </c>
      <c r="N1229" s="1">
        <v>4</v>
      </c>
      <c r="O1229" s="1">
        <v>5</v>
      </c>
      <c r="P1229" s="1">
        <f>COUNTIF(HR_Data[Employee Number],HR_Data[[#This Row],[Employee Number]])</f>
        <v>1</v>
      </c>
      <c r="Q1229" s="1" t="str">
        <f>IF(HR_Data[[#This Row],[Years At Company]]&lt;=HR_Data[[#This Row],[Total Working Years]],"Valid","error")</f>
        <v>Valid</v>
      </c>
      <c r="R1229" s="1" t="str" cm="1">
        <f t="array" ref="R1229">_xlfn.IFS(HR_Data[[#This Row],[Age]]&lt;=30,"Young", HR_Data[[#This Row],[Age]]&lt;=45,"Mid-Age",HR_Data[[#This Row],[Age]]&gt;45,"Senior")</f>
        <v>Mid-Age</v>
      </c>
      <c r="S1229" s="1" t="str" cm="1">
        <f t="array" ref="S1229">_xlfn.IFS(HR_Data[[#This Row],[Monthly Income]]&lt;5000,"Low", HR_Data[[#This Row],[Monthly Income]]&lt;10000,"Medium",TRUE,"High")</f>
        <v>Low</v>
      </c>
      <c r="T1229" s="1" t="str" cm="1">
        <f t="array" ref="T1229">_xlfn.IFS(HR_Data[[#This Row],[Total Working Years]]&lt;=5,"Junior", HR_Data[[#This Row],[Total Working Years]]&lt;=15,"Mid-Level", TRUE, "Senior")</f>
        <v>Mid-Level</v>
      </c>
    </row>
    <row r="1230" spans="1:20" x14ac:dyDescent="0.25">
      <c r="A1230" s="1">
        <v>1722</v>
      </c>
      <c r="B1230" s="1">
        <v>41</v>
      </c>
      <c r="C1230" t="s">
        <v>9</v>
      </c>
      <c r="D1230" t="s">
        <v>23</v>
      </c>
      <c r="E1230" t="s">
        <v>23</v>
      </c>
      <c r="F1230" t="s">
        <v>11</v>
      </c>
      <c r="G1230" t="s">
        <v>23</v>
      </c>
      <c r="H1230" s="1">
        <v>2</v>
      </c>
      <c r="I1230" s="1">
        <v>6430</v>
      </c>
      <c r="J1230" t="s">
        <v>9</v>
      </c>
      <c r="K1230" s="1">
        <v>19</v>
      </c>
      <c r="L1230" s="1">
        <v>3</v>
      </c>
      <c r="M1230" s="1">
        <v>10</v>
      </c>
      <c r="N1230" s="1">
        <v>3</v>
      </c>
      <c r="O1230" s="1">
        <v>3</v>
      </c>
      <c r="P1230" s="1">
        <f>COUNTIF(HR_Data[Employee Number],HR_Data[[#This Row],[Employee Number]])</f>
        <v>1</v>
      </c>
      <c r="Q1230" s="1" t="str">
        <f>IF(HR_Data[[#This Row],[Years At Company]]&lt;=HR_Data[[#This Row],[Total Working Years]],"Valid","error")</f>
        <v>Valid</v>
      </c>
      <c r="R1230" s="1" t="str" cm="1">
        <f t="array" ref="R1230">_xlfn.IFS(HR_Data[[#This Row],[Age]]&lt;=30,"Young", HR_Data[[#This Row],[Age]]&lt;=45,"Mid-Age",HR_Data[[#This Row],[Age]]&gt;45,"Senior")</f>
        <v>Mid-Age</v>
      </c>
      <c r="S1230" s="1" t="str" cm="1">
        <f t="array" ref="S1230">_xlfn.IFS(HR_Data[[#This Row],[Monthly Income]]&lt;5000,"Low", HR_Data[[#This Row],[Monthly Income]]&lt;10000,"Medium",TRUE,"High")</f>
        <v>Medium</v>
      </c>
      <c r="T1230" s="1" t="str" cm="1">
        <f t="array" ref="T1230">_xlfn.IFS(HR_Data[[#This Row],[Total Working Years]]&lt;=5,"Junior", HR_Data[[#This Row],[Total Working Years]]&lt;=15,"Mid-Level", TRUE, "Senior")</f>
        <v>Mid-Level</v>
      </c>
    </row>
    <row r="1231" spans="1:20" x14ac:dyDescent="0.25">
      <c r="A1231" s="1">
        <v>1724</v>
      </c>
      <c r="B1231" s="1">
        <v>40</v>
      </c>
      <c r="C1231" t="s">
        <v>9</v>
      </c>
      <c r="D1231" t="s">
        <v>10</v>
      </c>
      <c r="E1231" t="s">
        <v>6</v>
      </c>
      <c r="F1231" t="s">
        <v>7</v>
      </c>
      <c r="G1231" t="s">
        <v>16</v>
      </c>
      <c r="H1231" s="1">
        <v>1</v>
      </c>
      <c r="I1231" s="1">
        <v>6516</v>
      </c>
      <c r="J1231" t="s">
        <v>4</v>
      </c>
      <c r="K1231" s="1">
        <v>16</v>
      </c>
      <c r="L1231" s="1">
        <v>3</v>
      </c>
      <c r="M1231" s="1">
        <v>18</v>
      </c>
      <c r="N1231" s="1">
        <v>3</v>
      </c>
      <c r="O1231" s="1">
        <v>1</v>
      </c>
      <c r="P1231" s="1">
        <f>COUNTIF(HR_Data[Employee Number],HR_Data[[#This Row],[Employee Number]])</f>
        <v>1</v>
      </c>
      <c r="Q1231" s="1" t="str">
        <f>IF(HR_Data[[#This Row],[Years At Company]]&lt;=HR_Data[[#This Row],[Total Working Years]],"Valid","error")</f>
        <v>Valid</v>
      </c>
      <c r="R1231" s="1" t="str" cm="1">
        <f t="array" ref="R1231">_xlfn.IFS(HR_Data[[#This Row],[Age]]&lt;=30,"Young", HR_Data[[#This Row],[Age]]&lt;=45,"Mid-Age",HR_Data[[#This Row],[Age]]&gt;45,"Senior")</f>
        <v>Mid-Age</v>
      </c>
      <c r="S1231" s="1" t="str" cm="1">
        <f t="array" ref="S1231">_xlfn.IFS(HR_Data[[#This Row],[Monthly Income]]&lt;5000,"Low", HR_Data[[#This Row],[Monthly Income]]&lt;10000,"Medium",TRUE,"High")</f>
        <v>Medium</v>
      </c>
      <c r="T1231" s="1" t="str" cm="1">
        <f t="array" ref="T1231">_xlfn.IFS(HR_Data[[#This Row],[Total Working Years]]&lt;=5,"Junior", HR_Data[[#This Row],[Total Working Years]]&lt;=15,"Mid-Level", TRUE, "Senior")</f>
        <v>Senior</v>
      </c>
    </row>
    <row r="1232" spans="1:20" x14ac:dyDescent="0.25">
      <c r="A1232" s="1">
        <v>1725</v>
      </c>
      <c r="B1232" s="1">
        <v>24</v>
      </c>
      <c r="C1232" t="s">
        <v>9</v>
      </c>
      <c r="D1232" t="s">
        <v>10</v>
      </c>
      <c r="E1232" t="s">
        <v>15</v>
      </c>
      <c r="F1232" t="s">
        <v>11</v>
      </c>
      <c r="G1232" t="s">
        <v>14</v>
      </c>
      <c r="H1232" s="1">
        <v>1</v>
      </c>
      <c r="I1232" s="1">
        <v>3907</v>
      </c>
      <c r="J1232" t="s">
        <v>9</v>
      </c>
      <c r="K1232" s="1">
        <v>13</v>
      </c>
      <c r="L1232" s="1">
        <v>3</v>
      </c>
      <c r="M1232" s="1">
        <v>6</v>
      </c>
      <c r="N1232" s="1">
        <v>4</v>
      </c>
      <c r="O1232" s="1">
        <v>6</v>
      </c>
      <c r="P1232" s="1">
        <f>COUNTIF(HR_Data[Employee Number],HR_Data[[#This Row],[Employee Number]])</f>
        <v>1</v>
      </c>
      <c r="Q1232" s="1" t="str">
        <f>IF(HR_Data[[#This Row],[Years At Company]]&lt;=HR_Data[[#This Row],[Total Working Years]],"Valid","error")</f>
        <v>Valid</v>
      </c>
      <c r="R1232" s="1" t="str" cm="1">
        <f t="array" ref="R1232">_xlfn.IFS(HR_Data[[#This Row],[Age]]&lt;=30,"Young", HR_Data[[#This Row],[Age]]&lt;=45,"Mid-Age",HR_Data[[#This Row],[Age]]&gt;45,"Senior")</f>
        <v>Young</v>
      </c>
      <c r="S1232" s="1" t="str" cm="1">
        <f t="array" ref="S1232">_xlfn.IFS(HR_Data[[#This Row],[Monthly Income]]&lt;5000,"Low", HR_Data[[#This Row],[Monthly Income]]&lt;10000,"Medium",TRUE,"High")</f>
        <v>Low</v>
      </c>
      <c r="T1232" s="1" t="str" cm="1">
        <f t="array" ref="T1232">_xlfn.IFS(HR_Data[[#This Row],[Total Working Years]]&lt;=5,"Junior", HR_Data[[#This Row],[Total Working Years]]&lt;=15,"Mid-Level", TRUE, "Senior")</f>
        <v>Mid-Level</v>
      </c>
    </row>
    <row r="1233" spans="1:20" x14ac:dyDescent="0.25">
      <c r="A1233" s="1">
        <v>1727</v>
      </c>
      <c r="B1233" s="1">
        <v>46</v>
      </c>
      <c r="C1233" t="s">
        <v>9</v>
      </c>
      <c r="D1233" t="s">
        <v>10</v>
      </c>
      <c r="E1233" t="s">
        <v>6</v>
      </c>
      <c r="F1233" t="s">
        <v>11</v>
      </c>
      <c r="G1233" t="s">
        <v>17</v>
      </c>
      <c r="H1233" s="1">
        <v>2</v>
      </c>
      <c r="I1233" s="1">
        <v>5562</v>
      </c>
      <c r="J1233" t="s">
        <v>9</v>
      </c>
      <c r="K1233" s="1">
        <v>14</v>
      </c>
      <c r="L1233" s="1">
        <v>3</v>
      </c>
      <c r="M1233" s="1">
        <v>19</v>
      </c>
      <c r="N1233" s="1">
        <v>3</v>
      </c>
      <c r="O1233" s="1">
        <v>10</v>
      </c>
      <c r="P1233" s="1">
        <f>COUNTIF(HR_Data[Employee Number],HR_Data[[#This Row],[Employee Number]])</f>
        <v>1</v>
      </c>
      <c r="Q1233" s="1" t="str">
        <f>IF(HR_Data[[#This Row],[Years At Company]]&lt;=HR_Data[[#This Row],[Total Working Years]],"Valid","error")</f>
        <v>Valid</v>
      </c>
      <c r="R1233" s="1" t="str" cm="1">
        <f t="array" ref="R1233">_xlfn.IFS(HR_Data[[#This Row],[Age]]&lt;=30,"Young", HR_Data[[#This Row],[Age]]&lt;=45,"Mid-Age",HR_Data[[#This Row],[Age]]&gt;45,"Senior")</f>
        <v>Senior</v>
      </c>
      <c r="S1233" s="1" t="str" cm="1">
        <f t="array" ref="S1233">_xlfn.IFS(HR_Data[[#This Row],[Monthly Income]]&lt;5000,"Low", HR_Data[[#This Row],[Monthly Income]]&lt;10000,"Medium",TRUE,"High")</f>
        <v>Medium</v>
      </c>
      <c r="T1233" s="1" t="str" cm="1">
        <f t="array" ref="T1233">_xlfn.IFS(HR_Data[[#This Row],[Total Working Years]]&lt;=5,"Junior", HR_Data[[#This Row],[Total Working Years]]&lt;=15,"Mid-Level", TRUE, "Senior")</f>
        <v>Senior</v>
      </c>
    </row>
    <row r="1234" spans="1:20" x14ac:dyDescent="0.25">
      <c r="A1234" s="1">
        <v>1728</v>
      </c>
      <c r="B1234" s="1">
        <v>35</v>
      </c>
      <c r="C1234" t="s">
        <v>9</v>
      </c>
      <c r="D1234" t="s">
        <v>10</v>
      </c>
      <c r="E1234" t="s">
        <v>6</v>
      </c>
      <c r="F1234" t="s">
        <v>11</v>
      </c>
      <c r="G1234" t="s">
        <v>16</v>
      </c>
      <c r="H1234" s="1">
        <v>3</v>
      </c>
      <c r="I1234" s="1">
        <v>6883</v>
      </c>
      <c r="J1234" t="s">
        <v>9</v>
      </c>
      <c r="K1234" s="1">
        <v>16</v>
      </c>
      <c r="L1234" s="1">
        <v>3</v>
      </c>
      <c r="M1234" s="1">
        <v>17</v>
      </c>
      <c r="N1234" s="1">
        <v>3</v>
      </c>
      <c r="O1234" s="1">
        <v>7</v>
      </c>
      <c r="P1234" s="1">
        <f>COUNTIF(HR_Data[Employee Number],HR_Data[[#This Row],[Employee Number]])</f>
        <v>1</v>
      </c>
      <c r="Q1234" s="1" t="str">
        <f>IF(HR_Data[[#This Row],[Years At Company]]&lt;=HR_Data[[#This Row],[Total Working Years]],"Valid","error")</f>
        <v>Valid</v>
      </c>
      <c r="R1234" s="1" t="str" cm="1">
        <f t="array" ref="R1234">_xlfn.IFS(HR_Data[[#This Row],[Age]]&lt;=30,"Young", HR_Data[[#This Row],[Age]]&lt;=45,"Mid-Age",HR_Data[[#This Row],[Age]]&gt;45,"Senior")</f>
        <v>Mid-Age</v>
      </c>
      <c r="S1234" s="1" t="str" cm="1">
        <f t="array" ref="S1234">_xlfn.IFS(HR_Data[[#This Row],[Monthly Income]]&lt;5000,"Low", HR_Data[[#This Row],[Monthly Income]]&lt;10000,"Medium",TRUE,"High")</f>
        <v>Medium</v>
      </c>
      <c r="T1234" s="1" t="str" cm="1">
        <f t="array" ref="T1234">_xlfn.IFS(HR_Data[[#This Row],[Total Working Years]]&lt;=5,"Junior", HR_Data[[#This Row],[Total Working Years]]&lt;=15,"Mid-Level", TRUE, "Senior")</f>
        <v>Senior</v>
      </c>
    </row>
    <row r="1235" spans="1:20" x14ac:dyDescent="0.25">
      <c r="A1235" s="1">
        <v>1729</v>
      </c>
      <c r="B1235" s="1">
        <v>30</v>
      </c>
      <c r="C1235" t="s">
        <v>9</v>
      </c>
      <c r="D1235" t="s">
        <v>10</v>
      </c>
      <c r="E1235" t="s">
        <v>6</v>
      </c>
      <c r="F1235" t="s">
        <v>11</v>
      </c>
      <c r="G1235" t="s">
        <v>12</v>
      </c>
      <c r="H1235" s="1">
        <v>4</v>
      </c>
      <c r="I1235" s="1">
        <v>2862</v>
      </c>
      <c r="J1235" t="s">
        <v>9</v>
      </c>
      <c r="K1235" s="1">
        <v>12</v>
      </c>
      <c r="L1235" s="1">
        <v>3</v>
      </c>
      <c r="M1235" s="1">
        <v>10</v>
      </c>
      <c r="N1235" s="1">
        <v>2</v>
      </c>
      <c r="O1235" s="1">
        <v>10</v>
      </c>
      <c r="P1235" s="1">
        <f>COUNTIF(HR_Data[Employee Number],HR_Data[[#This Row],[Employee Number]])</f>
        <v>1</v>
      </c>
      <c r="Q1235" s="1" t="str">
        <f>IF(HR_Data[[#This Row],[Years At Company]]&lt;=HR_Data[[#This Row],[Total Working Years]],"Valid","error")</f>
        <v>Valid</v>
      </c>
      <c r="R1235" s="1" t="str" cm="1">
        <f t="array" ref="R1235">_xlfn.IFS(HR_Data[[#This Row],[Age]]&lt;=30,"Young", HR_Data[[#This Row],[Age]]&lt;=45,"Mid-Age",HR_Data[[#This Row],[Age]]&gt;45,"Senior")</f>
        <v>Young</v>
      </c>
      <c r="S1235" s="1" t="str" cm="1">
        <f t="array" ref="S1235">_xlfn.IFS(HR_Data[[#This Row],[Monthly Income]]&lt;5000,"Low", HR_Data[[#This Row],[Monthly Income]]&lt;10000,"Medium",TRUE,"High")</f>
        <v>Low</v>
      </c>
      <c r="T1235" s="1" t="str" cm="1">
        <f t="array" ref="T1235">_xlfn.IFS(HR_Data[[#This Row],[Total Working Years]]&lt;=5,"Junior", HR_Data[[#This Row],[Total Working Years]]&lt;=15,"Mid-Level", TRUE, "Senior")</f>
        <v>Mid-Level</v>
      </c>
    </row>
    <row r="1236" spans="1:20" x14ac:dyDescent="0.25">
      <c r="A1236" s="1">
        <v>1731</v>
      </c>
      <c r="B1236" s="1">
        <v>47</v>
      </c>
      <c r="C1236" t="s">
        <v>9</v>
      </c>
      <c r="D1236" t="s">
        <v>5</v>
      </c>
      <c r="E1236" t="s">
        <v>21</v>
      </c>
      <c r="F1236" t="s">
        <v>11</v>
      </c>
      <c r="G1236" t="s">
        <v>8</v>
      </c>
      <c r="H1236" s="1">
        <v>2</v>
      </c>
      <c r="I1236" s="1">
        <v>4978</v>
      </c>
      <c r="J1236" t="s">
        <v>9</v>
      </c>
      <c r="K1236" s="1">
        <v>11</v>
      </c>
      <c r="L1236" s="1">
        <v>3</v>
      </c>
      <c r="M1236" s="1">
        <v>4</v>
      </c>
      <c r="N1236" s="1">
        <v>1</v>
      </c>
      <c r="O1236" s="1">
        <v>1</v>
      </c>
      <c r="P1236" s="1">
        <f>COUNTIF(HR_Data[Employee Number],HR_Data[[#This Row],[Employee Number]])</f>
        <v>1</v>
      </c>
      <c r="Q1236" s="1" t="str">
        <f>IF(HR_Data[[#This Row],[Years At Company]]&lt;=HR_Data[[#This Row],[Total Working Years]],"Valid","error")</f>
        <v>Valid</v>
      </c>
      <c r="R1236" s="1" t="str" cm="1">
        <f t="array" ref="R1236">_xlfn.IFS(HR_Data[[#This Row],[Age]]&lt;=30,"Young", HR_Data[[#This Row],[Age]]&lt;=45,"Mid-Age",HR_Data[[#This Row],[Age]]&gt;45,"Senior")</f>
        <v>Senior</v>
      </c>
      <c r="S1236" s="1" t="str" cm="1">
        <f t="array" ref="S1236">_xlfn.IFS(HR_Data[[#This Row],[Monthly Income]]&lt;5000,"Low", HR_Data[[#This Row],[Monthly Income]]&lt;10000,"Medium",TRUE,"High")</f>
        <v>Low</v>
      </c>
      <c r="T1236" s="1" t="str" cm="1">
        <f t="array" ref="T1236">_xlfn.IFS(HR_Data[[#This Row],[Total Working Years]]&lt;=5,"Junior", HR_Data[[#This Row],[Total Working Years]]&lt;=15,"Mid-Level", TRUE, "Senior")</f>
        <v>Junior</v>
      </c>
    </row>
    <row r="1237" spans="1:20" x14ac:dyDescent="0.25">
      <c r="A1237" s="1">
        <v>1732</v>
      </c>
      <c r="B1237" s="1">
        <v>46</v>
      </c>
      <c r="C1237" t="s">
        <v>9</v>
      </c>
      <c r="D1237" t="s">
        <v>5</v>
      </c>
      <c r="E1237" t="s">
        <v>6</v>
      </c>
      <c r="F1237" t="s">
        <v>11</v>
      </c>
      <c r="G1237" t="s">
        <v>8</v>
      </c>
      <c r="H1237" s="1">
        <v>4</v>
      </c>
      <c r="I1237" s="1">
        <v>10368</v>
      </c>
      <c r="J1237" t="s">
        <v>4</v>
      </c>
      <c r="K1237" s="1">
        <v>12</v>
      </c>
      <c r="L1237" s="1">
        <v>3</v>
      </c>
      <c r="M1237" s="1">
        <v>13</v>
      </c>
      <c r="N1237" s="1">
        <v>2</v>
      </c>
      <c r="O1237" s="1">
        <v>10</v>
      </c>
      <c r="P1237" s="1">
        <f>COUNTIF(HR_Data[Employee Number],HR_Data[[#This Row],[Employee Number]])</f>
        <v>1</v>
      </c>
      <c r="Q1237" s="1" t="str">
        <f>IF(HR_Data[[#This Row],[Years At Company]]&lt;=HR_Data[[#This Row],[Total Working Years]],"Valid","error")</f>
        <v>Valid</v>
      </c>
      <c r="R1237" s="1" t="str" cm="1">
        <f t="array" ref="R1237">_xlfn.IFS(HR_Data[[#This Row],[Age]]&lt;=30,"Young", HR_Data[[#This Row],[Age]]&lt;=45,"Mid-Age",HR_Data[[#This Row],[Age]]&gt;45,"Senior")</f>
        <v>Senior</v>
      </c>
      <c r="S1237" s="1" t="str" cm="1">
        <f t="array" ref="S1237">_xlfn.IFS(HR_Data[[#This Row],[Monthly Income]]&lt;5000,"Low", HR_Data[[#This Row],[Monthly Income]]&lt;10000,"Medium",TRUE,"High")</f>
        <v>High</v>
      </c>
      <c r="T1237" s="1" t="str" cm="1">
        <f t="array" ref="T1237">_xlfn.IFS(HR_Data[[#This Row],[Total Working Years]]&lt;=5,"Junior", HR_Data[[#This Row],[Total Working Years]]&lt;=15,"Mid-Level", TRUE, "Senior")</f>
        <v>Mid-Level</v>
      </c>
    </row>
    <row r="1238" spans="1:20" x14ac:dyDescent="0.25">
      <c r="A1238" s="1">
        <v>1733</v>
      </c>
      <c r="B1238" s="1">
        <v>36</v>
      </c>
      <c r="C1238" t="s">
        <v>4</v>
      </c>
      <c r="D1238" t="s">
        <v>5</v>
      </c>
      <c r="E1238" t="s">
        <v>21</v>
      </c>
      <c r="F1238" t="s">
        <v>11</v>
      </c>
      <c r="G1238" t="s">
        <v>8</v>
      </c>
      <c r="H1238" s="1">
        <v>1</v>
      </c>
      <c r="I1238" s="1">
        <v>6134</v>
      </c>
      <c r="J1238" t="s">
        <v>4</v>
      </c>
      <c r="K1238" s="1">
        <v>13</v>
      </c>
      <c r="L1238" s="1">
        <v>3</v>
      </c>
      <c r="M1238" s="1">
        <v>16</v>
      </c>
      <c r="N1238" s="1">
        <v>3</v>
      </c>
      <c r="O1238" s="1">
        <v>2</v>
      </c>
      <c r="P1238" s="1">
        <f>COUNTIF(HR_Data[Employee Number],HR_Data[[#This Row],[Employee Number]])</f>
        <v>1</v>
      </c>
      <c r="Q1238" s="1" t="str">
        <f>IF(HR_Data[[#This Row],[Years At Company]]&lt;=HR_Data[[#This Row],[Total Working Years]],"Valid","error")</f>
        <v>Valid</v>
      </c>
      <c r="R1238" s="1" t="str" cm="1">
        <f t="array" ref="R1238">_xlfn.IFS(HR_Data[[#This Row],[Age]]&lt;=30,"Young", HR_Data[[#This Row],[Age]]&lt;=45,"Mid-Age",HR_Data[[#This Row],[Age]]&gt;45,"Senior")</f>
        <v>Mid-Age</v>
      </c>
      <c r="S1238" s="1" t="str" cm="1">
        <f t="array" ref="S1238">_xlfn.IFS(HR_Data[[#This Row],[Monthly Income]]&lt;5000,"Low", HR_Data[[#This Row],[Monthly Income]]&lt;10000,"Medium",TRUE,"High")</f>
        <v>Medium</v>
      </c>
      <c r="T1238" s="1" t="str" cm="1">
        <f t="array" ref="T1238">_xlfn.IFS(HR_Data[[#This Row],[Total Working Years]]&lt;=5,"Junior", HR_Data[[#This Row],[Total Working Years]]&lt;=15,"Mid-Level", TRUE, "Senior")</f>
        <v>Senior</v>
      </c>
    </row>
    <row r="1239" spans="1:20" x14ac:dyDescent="0.25">
      <c r="A1239" s="1">
        <v>1734</v>
      </c>
      <c r="B1239" s="1">
        <v>32</v>
      </c>
      <c r="C1239" t="s">
        <v>4</v>
      </c>
      <c r="D1239" t="s">
        <v>5</v>
      </c>
      <c r="E1239" t="s">
        <v>6</v>
      </c>
      <c r="F1239" t="s">
        <v>11</v>
      </c>
      <c r="G1239" t="s">
        <v>8</v>
      </c>
      <c r="H1239" s="1">
        <v>2</v>
      </c>
      <c r="I1239" s="1">
        <v>6735</v>
      </c>
      <c r="J1239" t="s">
        <v>9</v>
      </c>
      <c r="K1239" s="1">
        <v>15</v>
      </c>
      <c r="L1239" s="1">
        <v>3</v>
      </c>
      <c r="M1239" s="1">
        <v>10</v>
      </c>
      <c r="N1239" s="1">
        <v>3</v>
      </c>
      <c r="O1239" s="1">
        <v>0</v>
      </c>
      <c r="P1239" s="1">
        <f>COUNTIF(HR_Data[Employee Number],HR_Data[[#This Row],[Employee Number]])</f>
        <v>1</v>
      </c>
      <c r="Q1239" s="1" t="str">
        <f>IF(HR_Data[[#This Row],[Years At Company]]&lt;=HR_Data[[#This Row],[Total Working Years]],"Valid","error")</f>
        <v>Valid</v>
      </c>
      <c r="R1239" s="1" t="str" cm="1">
        <f t="array" ref="R1239">_xlfn.IFS(HR_Data[[#This Row],[Age]]&lt;=30,"Young", HR_Data[[#This Row],[Age]]&lt;=45,"Mid-Age",HR_Data[[#This Row],[Age]]&gt;45,"Senior")</f>
        <v>Mid-Age</v>
      </c>
      <c r="S1239" s="1" t="str" cm="1">
        <f t="array" ref="S1239">_xlfn.IFS(HR_Data[[#This Row],[Monthly Income]]&lt;5000,"Low", HR_Data[[#This Row],[Monthly Income]]&lt;10000,"Medium",TRUE,"High")</f>
        <v>Medium</v>
      </c>
      <c r="T1239" s="1" t="str" cm="1">
        <f t="array" ref="T1239">_xlfn.IFS(HR_Data[[#This Row],[Total Working Years]]&lt;=5,"Junior", HR_Data[[#This Row],[Total Working Years]]&lt;=15,"Mid-Level", TRUE, "Senior")</f>
        <v>Mid-Level</v>
      </c>
    </row>
    <row r="1240" spans="1:20" x14ac:dyDescent="0.25">
      <c r="A1240" s="1">
        <v>1735</v>
      </c>
      <c r="B1240" s="1">
        <v>23</v>
      </c>
      <c r="C1240" t="s">
        <v>9</v>
      </c>
      <c r="D1240" t="s">
        <v>10</v>
      </c>
      <c r="E1240" t="s">
        <v>15</v>
      </c>
      <c r="F1240" t="s">
        <v>7</v>
      </c>
      <c r="G1240" t="s">
        <v>14</v>
      </c>
      <c r="H1240" s="1">
        <v>2</v>
      </c>
      <c r="I1240" s="1">
        <v>3295</v>
      </c>
      <c r="J1240" t="s">
        <v>9</v>
      </c>
      <c r="K1240" s="1">
        <v>13</v>
      </c>
      <c r="L1240" s="1">
        <v>3</v>
      </c>
      <c r="M1240" s="1">
        <v>3</v>
      </c>
      <c r="N1240" s="1">
        <v>1</v>
      </c>
      <c r="O1240" s="1">
        <v>3</v>
      </c>
      <c r="P1240" s="1">
        <f>COUNTIF(HR_Data[Employee Number],HR_Data[[#This Row],[Employee Number]])</f>
        <v>1</v>
      </c>
      <c r="Q1240" s="1" t="str">
        <f>IF(HR_Data[[#This Row],[Years At Company]]&lt;=HR_Data[[#This Row],[Total Working Years]],"Valid","error")</f>
        <v>Valid</v>
      </c>
      <c r="R1240" s="1" t="str" cm="1">
        <f t="array" ref="R1240">_xlfn.IFS(HR_Data[[#This Row],[Age]]&lt;=30,"Young", HR_Data[[#This Row],[Age]]&lt;=45,"Mid-Age",HR_Data[[#This Row],[Age]]&gt;45,"Senior")</f>
        <v>Young</v>
      </c>
      <c r="S1240" s="1" t="str" cm="1">
        <f t="array" ref="S1240">_xlfn.IFS(HR_Data[[#This Row],[Monthly Income]]&lt;5000,"Low", HR_Data[[#This Row],[Monthly Income]]&lt;10000,"Medium",TRUE,"High")</f>
        <v>Low</v>
      </c>
      <c r="T1240" s="1" t="str" cm="1">
        <f t="array" ref="T1240">_xlfn.IFS(HR_Data[[#This Row],[Total Working Years]]&lt;=5,"Junior", HR_Data[[#This Row],[Total Working Years]]&lt;=15,"Mid-Level", TRUE, "Senior")</f>
        <v>Junior</v>
      </c>
    </row>
    <row r="1241" spans="1:20" x14ac:dyDescent="0.25">
      <c r="A1241" s="1">
        <v>1736</v>
      </c>
      <c r="B1241" s="1">
        <v>31</v>
      </c>
      <c r="C1241" t="s">
        <v>9</v>
      </c>
      <c r="D1241" t="s">
        <v>10</v>
      </c>
      <c r="E1241" t="s">
        <v>22</v>
      </c>
      <c r="F1241" t="s">
        <v>7</v>
      </c>
      <c r="G1241" t="s">
        <v>16</v>
      </c>
      <c r="H1241" s="1">
        <v>4</v>
      </c>
      <c r="I1241" s="1">
        <v>5238</v>
      </c>
      <c r="J1241" t="s">
        <v>9</v>
      </c>
      <c r="K1241" s="1">
        <v>20</v>
      </c>
      <c r="L1241" s="1">
        <v>4</v>
      </c>
      <c r="M1241" s="1">
        <v>9</v>
      </c>
      <c r="N1241" s="1">
        <v>2</v>
      </c>
      <c r="O1241" s="1">
        <v>5</v>
      </c>
      <c r="P1241" s="1">
        <f>COUNTIF(HR_Data[Employee Number],HR_Data[[#This Row],[Employee Number]])</f>
        <v>1</v>
      </c>
      <c r="Q1241" s="1" t="str">
        <f>IF(HR_Data[[#This Row],[Years At Company]]&lt;=HR_Data[[#This Row],[Total Working Years]],"Valid","error")</f>
        <v>Valid</v>
      </c>
      <c r="R1241" s="1" t="str" cm="1">
        <f t="array" ref="R1241">_xlfn.IFS(HR_Data[[#This Row],[Age]]&lt;=30,"Young", HR_Data[[#This Row],[Age]]&lt;=45,"Mid-Age",HR_Data[[#This Row],[Age]]&gt;45,"Senior")</f>
        <v>Mid-Age</v>
      </c>
      <c r="S1241" s="1" t="str" cm="1">
        <f t="array" ref="S1241">_xlfn.IFS(HR_Data[[#This Row],[Monthly Income]]&lt;5000,"Low", HR_Data[[#This Row],[Monthly Income]]&lt;10000,"Medium",TRUE,"High")</f>
        <v>Medium</v>
      </c>
      <c r="T1241" s="1" t="str" cm="1">
        <f t="array" ref="T1241">_xlfn.IFS(HR_Data[[#This Row],[Total Working Years]]&lt;=5,"Junior", HR_Data[[#This Row],[Total Working Years]]&lt;=15,"Mid-Level", TRUE, "Senior")</f>
        <v>Mid-Level</v>
      </c>
    </row>
    <row r="1242" spans="1:20" x14ac:dyDescent="0.25">
      <c r="A1242" s="1">
        <v>1737</v>
      </c>
      <c r="B1242" s="1">
        <v>39</v>
      </c>
      <c r="C1242" t="s">
        <v>9</v>
      </c>
      <c r="D1242" t="s">
        <v>10</v>
      </c>
      <c r="E1242" t="s">
        <v>6</v>
      </c>
      <c r="F1242" t="s">
        <v>11</v>
      </c>
      <c r="G1242" t="s">
        <v>14</v>
      </c>
      <c r="H1242" s="1">
        <v>4</v>
      </c>
      <c r="I1242" s="1">
        <v>6472</v>
      </c>
      <c r="J1242" t="s">
        <v>4</v>
      </c>
      <c r="K1242" s="1">
        <v>15</v>
      </c>
      <c r="L1242" s="1">
        <v>3</v>
      </c>
      <c r="M1242" s="1">
        <v>9</v>
      </c>
      <c r="N1242" s="1">
        <v>3</v>
      </c>
      <c r="O1242" s="1">
        <v>9</v>
      </c>
      <c r="P1242" s="1">
        <f>COUNTIF(HR_Data[Employee Number],HR_Data[[#This Row],[Employee Number]])</f>
        <v>1</v>
      </c>
      <c r="Q1242" s="1" t="str">
        <f>IF(HR_Data[[#This Row],[Years At Company]]&lt;=HR_Data[[#This Row],[Total Working Years]],"Valid","error")</f>
        <v>Valid</v>
      </c>
      <c r="R1242" s="1" t="str" cm="1">
        <f t="array" ref="R1242">_xlfn.IFS(HR_Data[[#This Row],[Age]]&lt;=30,"Young", HR_Data[[#This Row],[Age]]&lt;=45,"Mid-Age",HR_Data[[#This Row],[Age]]&gt;45,"Senior")</f>
        <v>Mid-Age</v>
      </c>
      <c r="S1242" s="1" t="str" cm="1">
        <f t="array" ref="S1242">_xlfn.IFS(HR_Data[[#This Row],[Monthly Income]]&lt;5000,"Low", HR_Data[[#This Row],[Monthly Income]]&lt;10000,"Medium",TRUE,"High")</f>
        <v>Medium</v>
      </c>
      <c r="T1242" s="1" t="str" cm="1">
        <f t="array" ref="T1242">_xlfn.IFS(HR_Data[[#This Row],[Total Working Years]]&lt;=5,"Junior", HR_Data[[#This Row],[Total Working Years]]&lt;=15,"Mid-Level", TRUE, "Senior")</f>
        <v>Mid-Level</v>
      </c>
    </row>
    <row r="1243" spans="1:20" x14ac:dyDescent="0.25">
      <c r="A1243" s="1">
        <v>1739</v>
      </c>
      <c r="B1243" s="1">
        <v>32</v>
      </c>
      <c r="C1243" t="s">
        <v>9</v>
      </c>
      <c r="D1243" t="s">
        <v>5</v>
      </c>
      <c r="E1243" t="s">
        <v>6</v>
      </c>
      <c r="F1243" t="s">
        <v>11</v>
      </c>
      <c r="G1243" t="s">
        <v>8</v>
      </c>
      <c r="H1243" s="1">
        <v>3</v>
      </c>
      <c r="I1243" s="1">
        <v>9610</v>
      </c>
      <c r="J1243" t="s">
        <v>9</v>
      </c>
      <c r="K1243" s="1">
        <v>13</v>
      </c>
      <c r="L1243" s="1">
        <v>3</v>
      </c>
      <c r="M1243" s="1">
        <v>10</v>
      </c>
      <c r="N1243" s="1">
        <v>1</v>
      </c>
      <c r="O1243" s="1">
        <v>4</v>
      </c>
      <c r="P1243" s="1">
        <f>COUNTIF(HR_Data[Employee Number],HR_Data[[#This Row],[Employee Number]])</f>
        <v>1</v>
      </c>
      <c r="Q1243" s="1" t="str">
        <f>IF(HR_Data[[#This Row],[Years At Company]]&lt;=HR_Data[[#This Row],[Total Working Years]],"Valid","error")</f>
        <v>Valid</v>
      </c>
      <c r="R1243" s="1" t="str" cm="1">
        <f t="array" ref="R1243">_xlfn.IFS(HR_Data[[#This Row],[Age]]&lt;=30,"Young", HR_Data[[#This Row],[Age]]&lt;=45,"Mid-Age",HR_Data[[#This Row],[Age]]&gt;45,"Senior")</f>
        <v>Mid-Age</v>
      </c>
      <c r="S1243" s="1" t="str" cm="1">
        <f t="array" ref="S1243">_xlfn.IFS(HR_Data[[#This Row],[Monthly Income]]&lt;5000,"Low", HR_Data[[#This Row],[Monthly Income]]&lt;10000,"Medium",TRUE,"High")</f>
        <v>Medium</v>
      </c>
      <c r="T1243" s="1" t="str" cm="1">
        <f t="array" ref="T1243">_xlfn.IFS(HR_Data[[#This Row],[Total Working Years]]&lt;=5,"Junior", HR_Data[[#This Row],[Total Working Years]]&lt;=15,"Mid-Level", TRUE, "Senior")</f>
        <v>Mid-Level</v>
      </c>
    </row>
    <row r="1244" spans="1:20" x14ac:dyDescent="0.25">
      <c r="A1244" s="1">
        <v>1740</v>
      </c>
      <c r="B1244" s="1">
        <v>40</v>
      </c>
      <c r="C1244" t="s">
        <v>9</v>
      </c>
      <c r="D1244" t="s">
        <v>5</v>
      </c>
      <c r="E1244" t="s">
        <v>15</v>
      </c>
      <c r="F1244" t="s">
        <v>11</v>
      </c>
      <c r="G1244" t="s">
        <v>18</v>
      </c>
      <c r="H1244" s="1">
        <v>2</v>
      </c>
      <c r="I1244" s="1">
        <v>19833</v>
      </c>
      <c r="J1244" t="s">
        <v>9</v>
      </c>
      <c r="K1244" s="1">
        <v>14</v>
      </c>
      <c r="L1244" s="1">
        <v>3</v>
      </c>
      <c r="M1244" s="1">
        <v>21</v>
      </c>
      <c r="N1244" s="1">
        <v>2</v>
      </c>
      <c r="O1244" s="1">
        <v>21</v>
      </c>
      <c r="P1244" s="1">
        <f>COUNTIF(HR_Data[Employee Number],HR_Data[[#This Row],[Employee Number]])</f>
        <v>1</v>
      </c>
      <c r="Q1244" s="1" t="str">
        <f>IF(HR_Data[[#This Row],[Years At Company]]&lt;=HR_Data[[#This Row],[Total Working Years]],"Valid","error")</f>
        <v>Valid</v>
      </c>
      <c r="R1244" s="1" t="str" cm="1">
        <f t="array" ref="R1244">_xlfn.IFS(HR_Data[[#This Row],[Age]]&lt;=30,"Young", HR_Data[[#This Row],[Age]]&lt;=45,"Mid-Age",HR_Data[[#This Row],[Age]]&gt;45,"Senior")</f>
        <v>Mid-Age</v>
      </c>
      <c r="S1244" s="1" t="str" cm="1">
        <f t="array" ref="S1244">_xlfn.IFS(HR_Data[[#This Row],[Monthly Income]]&lt;5000,"Low", HR_Data[[#This Row],[Monthly Income]]&lt;10000,"Medium",TRUE,"High")</f>
        <v>High</v>
      </c>
      <c r="T1244" s="1" t="str" cm="1">
        <f t="array" ref="T1244">_xlfn.IFS(HR_Data[[#This Row],[Total Working Years]]&lt;=5,"Junior", HR_Data[[#This Row],[Total Working Years]]&lt;=15,"Mid-Level", TRUE, "Senior")</f>
        <v>Senior</v>
      </c>
    </row>
    <row r="1245" spans="1:20" x14ac:dyDescent="0.25">
      <c r="A1245" s="1">
        <v>1744</v>
      </c>
      <c r="B1245" s="1">
        <v>45</v>
      </c>
      <c r="C1245" t="s">
        <v>9</v>
      </c>
      <c r="D1245" t="s">
        <v>23</v>
      </c>
      <c r="E1245" t="s">
        <v>6</v>
      </c>
      <c r="F1245" t="s">
        <v>7</v>
      </c>
      <c r="G1245" t="s">
        <v>23</v>
      </c>
      <c r="H1245" s="1">
        <v>3</v>
      </c>
      <c r="I1245" s="1">
        <v>9756</v>
      </c>
      <c r="J1245" t="s">
        <v>9</v>
      </c>
      <c r="K1245" s="1">
        <v>21</v>
      </c>
      <c r="L1245" s="1">
        <v>4</v>
      </c>
      <c r="M1245" s="1">
        <v>9</v>
      </c>
      <c r="N1245" s="1">
        <v>4</v>
      </c>
      <c r="O1245" s="1">
        <v>5</v>
      </c>
      <c r="P1245" s="1">
        <f>COUNTIF(HR_Data[Employee Number],HR_Data[[#This Row],[Employee Number]])</f>
        <v>1</v>
      </c>
      <c r="Q1245" s="1" t="str">
        <f>IF(HR_Data[[#This Row],[Years At Company]]&lt;=HR_Data[[#This Row],[Total Working Years]],"Valid","error")</f>
        <v>Valid</v>
      </c>
      <c r="R1245" s="1" t="str" cm="1">
        <f t="array" ref="R1245">_xlfn.IFS(HR_Data[[#This Row],[Age]]&lt;=30,"Young", HR_Data[[#This Row],[Age]]&lt;=45,"Mid-Age",HR_Data[[#This Row],[Age]]&gt;45,"Senior")</f>
        <v>Mid-Age</v>
      </c>
      <c r="S1245" s="1" t="str" cm="1">
        <f t="array" ref="S1245">_xlfn.IFS(HR_Data[[#This Row],[Monthly Income]]&lt;5000,"Low", HR_Data[[#This Row],[Monthly Income]]&lt;10000,"Medium",TRUE,"High")</f>
        <v>Medium</v>
      </c>
      <c r="T1245" s="1" t="str" cm="1">
        <f t="array" ref="T1245">_xlfn.IFS(HR_Data[[#This Row],[Total Working Years]]&lt;=5,"Junior", HR_Data[[#This Row],[Total Working Years]]&lt;=15,"Mid-Level", TRUE, "Senior")</f>
        <v>Mid-Level</v>
      </c>
    </row>
    <row r="1246" spans="1:20" x14ac:dyDescent="0.25">
      <c r="A1246" s="1">
        <v>1745</v>
      </c>
      <c r="B1246" s="1">
        <v>30</v>
      </c>
      <c r="C1246" t="s">
        <v>9</v>
      </c>
      <c r="D1246" t="s">
        <v>10</v>
      </c>
      <c r="E1246" t="s">
        <v>22</v>
      </c>
      <c r="F1246" t="s">
        <v>7</v>
      </c>
      <c r="G1246" t="s">
        <v>12</v>
      </c>
      <c r="H1246" s="1">
        <v>1</v>
      </c>
      <c r="I1246" s="1">
        <v>4968</v>
      </c>
      <c r="J1246" t="s">
        <v>9</v>
      </c>
      <c r="K1246" s="1">
        <v>16</v>
      </c>
      <c r="L1246" s="1">
        <v>3</v>
      </c>
      <c r="M1246" s="1">
        <v>10</v>
      </c>
      <c r="N1246" s="1">
        <v>3</v>
      </c>
      <c r="O1246" s="1">
        <v>9</v>
      </c>
      <c r="P1246" s="1">
        <f>COUNTIF(HR_Data[Employee Number],HR_Data[[#This Row],[Employee Number]])</f>
        <v>1</v>
      </c>
      <c r="Q1246" s="1" t="str">
        <f>IF(HR_Data[[#This Row],[Years At Company]]&lt;=HR_Data[[#This Row],[Total Working Years]],"Valid","error")</f>
        <v>Valid</v>
      </c>
      <c r="R1246" s="1" t="str" cm="1">
        <f t="array" ref="R1246">_xlfn.IFS(HR_Data[[#This Row],[Age]]&lt;=30,"Young", HR_Data[[#This Row],[Age]]&lt;=45,"Mid-Age",HR_Data[[#This Row],[Age]]&gt;45,"Senior")</f>
        <v>Young</v>
      </c>
      <c r="S1246" s="1" t="str" cm="1">
        <f t="array" ref="S1246">_xlfn.IFS(HR_Data[[#This Row],[Monthly Income]]&lt;5000,"Low", HR_Data[[#This Row],[Monthly Income]]&lt;10000,"Medium",TRUE,"High")</f>
        <v>Low</v>
      </c>
      <c r="T1246" s="1" t="str" cm="1">
        <f t="array" ref="T1246">_xlfn.IFS(HR_Data[[#This Row],[Total Working Years]]&lt;=5,"Junior", HR_Data[[#This Row],[Total Working Years]]&lt;=15,"Mid-Level", TRUE, "Senior")</f>
        <v>Mid-Level</v>
      </c>
    </row>
    <row r="1247" spans="1:20" x14ac:dyDescent="0.25">
      <c r="A1247" s="1">
        <v>1746</v>
      </c>
      <c r="B1247" s="1">
        <v>24</v>
      </c>
      <c r="C1247" t="s">
        <v>9</v>
      </c>
      <c r="D1247" t="s">
        <v>23</v>
      </c>
      <c r="E1247" t="s">
        <v>15</v>
      </c>
      <c r="F1247" t="s">
        <v>11</v>
      </c>
      <c r="G1247" t="s">
        <v>23</v>
      </c>
      <c r="H1247" s="1">
        <v>4</v>
      </c>
      <c r="I1247" s="1">
        <v>2145</v>
      </c>
      <c r="J1247" t="s">
        <v>9</v>
      </c>
      <c r="K1247" s="1">
        <v>14</v>
      </c>
      <c r="L1247" s="1">
        <v>3</v>
      </c>
      <c r="M1247" s="1">
        <v>3</v>
      </c>
      <c r="N1247" s="1">
        <v>3</v>
      </c>
      <c r="O1247" s="1">
        <v>2</v>
      </c>
      <c r="P1247" s="1">
        <f>COUNTIF(HR_Data[Employee Number],HR_Data[[#This Row],[Employee Number]])</f>
        <v>1</v>
      </c>
      <c r="Q1247" s="1" t="str">
        <f>IF(HR_Data[[#This Row],[Years At Company]]&lt;=HR_Data[[#This Row],[Total Working Years]],"Valid","error")</f>
        <v>Valid</v>
      </c>
      <c r="R1247" s="1" t="str" cm="1">
        <f t="array" ref="R1247">_xlfn.IFS(HR_Data[[#This Row],[Age]]&lt;=30,"Young", HR_Data[[#This Row],[Age]]&lt;=45,"Mid-Age",HR_Data[[#This Row],[Age]]&gt;45,"Senior")</f>
        <v>Young</v>
      </c>
      <c r="S1247" s="1" t="str" cm="1">
        <f t="array" ref="S1247">_xlfn.IFS(HR_Data[[#This Row],[Monthly Income]]&lt;5000,"Low", HR_Data[[#This Row],[Monthly Income]]&lt;10000,"Medium",TRUE,"High")</f>
        <v>Low</v>
      </c>
      <c r="T1247" s="1" t="str" cm="1">
        <f t="array" ref="T1247">_xlfn.IFS(HR_Data[[#This Row],[Total Working Years]]&lt;=5,"Junior", HR_Data[[#This Row],[Total Working Years]]&lt;=15,"Mid-Level", TRUE, "Senior")</f>
        <v>Junior</v>
      </c>
    </row>
    <row r="1248" spans="1:20" x14ac:dyDescent="0.25">
      <c r="A1248" s="1">
        <v>1747</v>
      </c>
      <c r="B1248" s="1">
        <v>30</v>
      </c>
      <c r="C1248" t="s">
        <v>4</v>
      </c>
      <c r="D1248" t="s">
        <v>23</v>
      </c>
      <c r="E1248" t="s">
        <v>23</v>
      </c>
      <c r="F1248" t="s">
        <v>7</v>
      </c>
      <c r="G1248" t="s">
        <v>23</v>
      </c>
      <c r="H1248" s="1">
        <v>4</v>
      </c>
      <c r="I1248" s="1">
        <v>2180</v>
      </c>
      <c r="J1248" t="s">
        <v>9</v>
      </c>
      <c r="K1248" s="1">
        <v>11</v>
      </c>
      <c r="L1248" s="1">
        <v>3</v>
      </c>
      <c r="M1248" s="1">
        <v>6</v>
      </c>
      <c r="N1248" s="1">
        <v>2</v>
      </c>
      <c r="O1248" s="1">
        <v>4</v>
      </c>
      <c r="P1248" s="1">
        <f>COUNTIF(HR_Data[Employee Number],HR_Data[[#This Row],[Employee Number]])</f>
        <v>1</v>
      </c>
      <c r="Q1248" s="1" t="str">
        <f>IF(HR_Data[[#This Row],[Years At Company]]&lt;=HR_Data[[#This Row],[Total Working Years]],"Valid","error")</f>
        <v>Valid</v>
      </c>
      <c r="R1248" s="1" t="str" cm="1">
        <f t="array" ref="R1248">_xlfn.IFS(HR_Data[[#This Row],[Age]]&lt;=30,"Young", HR_Data[[#This Row],[Age]]&lt;=45,"Mid-Age",HR_Data[[#This Row],[Age]]&gt;45,"Senior")</f>
        <v>Young</v>
      </c>
      <c r="S1248" s="1" t="str" cm="1">
        <f t="array" ref="S1248">_xlfn.IFS(HR_Data[[#This Row],[Monthly Income]]&lt;5000,"Low", HR_Data[[#This Row],[Monthly Income]]&lt;10000,"Medium",TRUE,"High")</f>
        <v>Low</v>
      </c>
      <c r="T1248" s="1" t="str" cm="1">
        <f t="array" ref="T1248">_xlfn.IFS(HR_Data[[#This Row],[Total Working Years]]&lt;=5,"Junior", HR_Data[[#This Row],[Total Working Years]]&lt;=15,"Mid-Level", TRUE, "Senior")</f>
        <v>Mid-Level</v>
      </c>
    </row>
    <row r="1249" spans="1:20" x14ac:dyDescent="0.25">
      <c r="A1249" s="1">
        <v>1749</v>
      </c>
      <c r="B1249" s="1">
        <v>31</v>
      </c>
      <c r="C1249" t="s">
        <v>9</v>
      </c>
      <c r="D1249" t="s">
        <v>5</v>
      </c>
      <c r="E1249" t="s">
        <v>22</v>
      </c>
      <c r="F1249" t="s">
        <v>11</v>
      </c>
      <c r="G1249" t="s">
        <v>8</v>
      </c>
      <c r="H1249" s="1">
        <v>3</v>
      </c>
      <c r="I1249" s="1">
        <v>8346</v>
      </c>
      <c r="J1249" t="s">
        <v>9</v>
      </c>
      <c r="K1249" s="1">
        <v>19</v>
      </c>
      <c r="L1249" s="1">
        <v>3</v>
      </c>
      <c r="M1249" s="1">
        <v>6</v>
      </c>
      <c r="N1249" s="1">
        <v>3</v>
      </c>
      <c r="O1249" s="1">
        <v>5</v>
      </c>
      <c r="P1249" s="1">
        <f>COUNTIF(HR_Data[Employee Number],HR_Data[[#This Row],[Employee Number]])</f>
        <v>1</v>
      </c>
      <c r="Q1249" s="1" t="str">
        <f>IF(HR_Data[[#This Row],[Years At Company]]&lt;=HR_Data[[#This Row],[Total Working Years]],"Valid","error")</f>
        <v>Valid</v>
      </c>
      <c r="R1249" s="1" t="str" cm="1">
        <f t="array" ref="R1249">_xlfn.IFS(HR_Data[[#This Row],[Age]]&lt;=30,"Young", HR_Data[[#This Row],[Age]]&lt;=45,"Mid-Age",HR_Data[[#This Row],[Age]]&gt;45,"Senior")</f>
        <v>Mid-Age</v>
      </c>
      <c r="S1249" s="1" t="str" cm="1">
        <f t="array" ref="S1249">_xlfn.IFS(HR_Data[[#This Row],[Monthly Income]]&lt;5000,"Low", HR_Data[[#This Row],[Monthly Income]]&lt;10000,"Medium",TRUE,"High")</f>
        <v>Medium</v>
      </c>
      <c r="T1249" s="1" t="str" cm="1">
        <f t="array" ref="T1249">_xlfn.IFS(HR_Data[[#This Row],[Total Working Years]]&lt;=5,"Junior", HR_Data[[#This Row],[Total Working Years]]&lt;=15,"Mid-Level", TRUE, "Senior")</f>
        <v>Mid-Level</v>
      </c>
    </row>
    <row r="1250" spans="1:20" x14ac:dyDescent="0.25">
      <c r="A1250" s="1">
        <v>1751</v>
      </c>
      <c r="B1250" s="1">
        <v>27</v>
      </c>
      <c r="C1250" t="s">
        <v>9</v>
      </c>
      <c r="D1250" t="s">
        <v>10</v>
      </c>
      <c r="E1250" t="s">
        <v>15</v>
      </c>
      <c r="F1250" t="s">
        <v>7</v>
      </c>
      <c r="G1250" t="s">
        <v>12</v>
      </c>
      <c r="H1250" s="1">
        <v>4</v>
      </c>
      <c r="I1250" s="1">
        <v>3445</v>
      </c>
      <c r="J1250" t="s">
        <v>9</v>
      </c>
      <c r="K1250" s="1">
        <v>11</v>
      </c>
      <c r="L1250" s="1">
        <v>3</v>
      </c>
      <c r="M1250" s="1">
        <v>6</v>
      </c>
      <c r="N1250" s="1">
        <v>2</v>
      </c>
      <c r="O1250" s="1">
        <v>6</v>
      </c>
      <c r="P1250" s="1">
        <f>COUNTIF(HR_Data[Employee Number],HR_Data[[#This Row],[Employee Number]])</f>
        <v>1</v>
      </c>
      <c r="Q1250" s="1" t="str">
        <f>IF(HR_Data[[#This Row],[Years At Company]]&lt;=HR_Data[[#This Row],[Total Working Years]],"Valid","error")</f>
        <v>Valid</v>
      </c>
      <c r="R1250" s="1" t="str" cm="1">
        <f t="array" ref="R1250">_xlfn.IFS(HR_Data[[#This Row],[Age]]&lt;=30,"Young", HR_Data[[#This Row],[Age]]&lt;=45,"Mid-Age",HR_Data[[#This Row],[Age]]&gt;45,"Senior")</f>
        <v>Young</v>
      </c>
      <c r="S1250" s="1" t="str" cm="1">
        <f t="array" ref="S1250">_xlfn.IFS(HR_Data[[#This Row],[Monthly Income]]&lt;5000,"Low", HR_Data[[#This Row],[Monthly Income]]&lt;10000,"Medium",TRUE,"High")</f>
        <v>Low</v>
      </c>
      <c r="T1250" s="1" t="str" cm="1">
        <f t="array" ref="T1250">_xlfn.IFS(HR_Data[[#This Row],[Total Working Years]]&lt;=5,"Junior", HR_Data[[#This Row],[Total Working Years]]&lt;=15,"Mid-Level", TRUE, "Senior")</f>
        <v>Mid-Level</v>
      </c>
    </row>
    <row r="1251" spans="1:20" x14ac:dyDescent="0.25">
      <c r="A1251" s="1">
        <v>1752</v>
      </c>
      <c r="B1251" s="1">
        <v>29</v>
      </c>
      <c r="C1251" t="s">
        <v>4</v>
      </c>
      <c r="D1251" t="s">
        <v>5</v>
      </c>
      <c r="E1251" t="s">
        <v>21</v>
      </c>
      <c r="F1251" t="s">
        <v>7</v>
      </c>
      <c r="G1251" t="s">
        <v>19</v>
      </c>
      <c r="H1251" s="1">
        <v>2</v>
      </c>
      <c r="I1251" s="1">
        <v>2760</v>
      </c>
      <c r="J1251" t="s">
        <v>9</v>
      </c>
      <c r="K1251" s="1">
        <v>13</v>
      </c>
      <c r="L1251" s="1">
        <v>3</v>
      </c>
      <c r="M1251" s="1">
        <v>2</v>
      </c>
      <c r="N1251" s="1">
        <v>3</v>
      </c>
      <c r="O1251" s="1">
        <v>2</v>
      </c>
      <c r="P1251" s="1">
        <f>COUNTIF(HR_Data[Employee Number],HR_Data[[#This Row],[Employee Number]])</f>
        <v>1</v>
      </c>
      <c r="Q1251" s="1" t="str">
        <f>IF(HR_Data[[#This Row],[Years At Company]]&lt;=HR_Data[[#This Row],[Total Working Years]],"Valid","error")</f>
        <v>Valid</v>
      </c>
      <c r="R1251" s="1" t="str" cm="1">
        <f t="array" ref="R1251">_xlfn.IFS(HR_Data[[#This Row],[Age]]&lt;=30,"Young", HR_Data[[#This Row],[Age]]&lt;=45,"Mid-Age",HR_Data[[#This Row],[Age]]&gt;45,"Senior")</f>
        <v>Young</v>
      </c>
      <c r="S1251" s="1" t="str" cm="1">
        <f t="array" ref="S1251">_xlfn.IFS(HR_Data[[#This Row],[Monthly Income]]&lt;5000,"Low", HR_Data[[#This Row],[Monthly Income]]&lt;10000,"Medium",TRUE,"High")</f>
        <v>Low</v>
      </c>
      <c r="T1251" s="1" t="str" cm="1">
        <f t="array" ref="T1251">_xlfn.IFS(HR_Data[[#This Row],[Total Working Years]]&lt;=5,"Junior", HR_Data[[#This Row],[Total Working Years]]&lt;=15,"Mid-Level", TRUE, "Senior")</f>
        <v>Junior</v>
      </c>
    </row>
    <row r="1252" spans="1:20" x14ac:dyDescent="0.25">
      <c r="A1252" s="1">
        <v>1753</v>
      </c>
      <c r="B1252" s="1">
        <v>29</v>
      </c>
      <c r="C1252" t="s">
        <v>9</v>
      </c>
      <c r="D1252" t="s">
        <v>10</v>
      </c>
      <c r="E1252" t="s">
        <v>6</v>
      </c>
      <c r="F1252" t="s">
        <v>11</v>
      </c>
      <c r="G1252" t="s">
        <v>17</v>
      </c>
      <c r="H1252" s="1">
        <v>3</v>
      </c>
      <c r="I1252" s="1">
        <v>6294</v>
      </c>
      <c r="J1252" t="s">
        <v>4</v>
      </c>
      <c r="K1252" s="1">
        <v>12</v>
      </c>
      <c r="L1252" s="1">
        <v>3</v>
      </c>
      <c r="M1252" s="1">
        <v>10</v>
      </c>
      <c r="N1252" s="1">
        <v>4</v>
      </c>
      <c r="O1252" s="1">
        <v>3</v>
      </c>
      <c r="P1252" s="1">
        <f>COUNTIF(HR_Data[Employee Number],HR_Data[[#This Row],[Employee Number]])</f>
        <v>1</v>
      </c>
      <c r="Q1252" s="1" t="str">
        <f>IF(HR_Data[[#This Row],[Years At Company]]&lt;=HR_Data[[#This Row],[Total Working Years]],"Valid","error")</f>
        <v>Valid</v>
      </c>
      <c r="R1252" s="1" t="str" cm="1">
        <f t="array" ref="R1252">_xlfn.IFS(HR_Data[[#This Row],[Age]]&lt;=30,"Young", HR_Data[[#This Row],[Age]]&lt;=45,"Mid-Age",HR_Data[[#This Row],[Age]]&gt;45,"Senior")</f>
        <v>Young</v>
      </c>
      <c r="S1252" s="1" t="str" cm="1">
        <f t="array" ref="S1252">_xlfn.IFS(HR_Data[[#This Row],[Monthly Income]]&lt;5000,"Low", HR_Data[[#This Row],[Monthly Income]]&lt;10000,"Medium",TRUE,"High")</f>
        <v>Medium</v>
      </c>
      <c r="T1252" s="1" t="str" cm="1">
        <f t="array" ref="T1252">_xlfn.IFS(HR_Data[[#This Row],[Total Working Years]]&lt;=5,"Junior", HR_Data[[#This Row],[Total Working Years]]&lt;=15,"Mid-Level", TRUE, "Senior")</f>
        <v>Mid-Level</v>
      </c>
    </row>
    <row r="1253" spans="1:20" x14ac:dyDescent="0.25">
      <c r="A1253" s="1">
        <v>1754</v>
      </c>
      <c r="B1253" s="1">
        <v>30</v>
      </c>
      <c r="C1253" t="s">
        <v>9</v>
      </c>
      <c r="D1253" t="s">
        <v>5</v>
      </c>
      <c r="E1253" t="s">
        <v>21</v>
      </c>
      <c r="F1253" t="s">
        <v>11</v>
      </c>
      <c r="G1253" t="s">
        <v>8</v>
      </c>
      <c r="H1253" s="1">
        <v>1</v>
      </c>
      <c r="I1253" s="1">
        <v>7140</v>
      </c>
      <c r="J1253" t="s">
        <v>9</v>
      </c>
      <c r="K1253" s="1">
        <v>11</v>
      </c>
      <c r="L1253" s="1">
        <v>3</v>
      </c>
      <c r="M1253" s="1">
        <v>12</v>
      </c>
      <c r="N1253" s="1">
        <v>3</v>
      </c>
      <c r="O1253" s="1">
        <v>7</v>
      </c>
      <c r="P1253" s="1">
        <f>COUNTIF(HR_Data[Employee Number],HR_Data[[#This Row],[Employee Number]])</f>
        <v>1</v>
      </c>
      <c r="Q1253" s="1" t="str">
        <f>IF(HR_Data[[#This Row],[Years At Company]]&lt;=HR_Data[[#This Row],[Total Working Years]],"Valid","error")</f>
        <v>Valid</v>
      </c>
      <c r="R1253" s="1" t="str" cm="1">
        <f t="array" ref="R1253">_xlfn.IFS(HR_Data[[#This Row],[Age]]&lt;=30,"Young", HR_Data[[#This Row],[Age]]&lt;=45,"Mid-Age",HR_Data[[#This Row],[Age]]&gt;45,"Senior")</f>
        <v>Young</v>
      </c>
      <c r="S1253" s="1" t="str" cm="1">
        <f t="array" ref="S1253">_xlfn.IFS(HR_Data[[#This Row],[Monthly Income]]&lt;5000,"Low", HR_Data[[#This Row],[Monthly Income]]&lt;10000,"Medium",TRUE,"High")</f>
        <v>Medium</v>
      </c>
      <c r="T1253" s="1" t="str" cm="1">
        <f t="array" ref="T1253">_xlfn.IFS(HR_Data[[#This Row],[Total Working Years]]&lt;=5,"Junior", HR_Data[[#This Row],[Total Working Years]]&lt;=15,"Mid-Level", TRUE, "Senior")</f>
        <v>Mid-Level</v>
      </c>
    </row>
    <row r="1254" spans="1:20" x14ac:dyDescent="0.25">
      <c r="A1254" s="1">
        <v>1755</v>
      </c>
      <c r="B1254" s="1">
        <v>34</v>
      </c>
      <c r="C1254" t="s">
        <v>9</v>
      </c>
      <c r="D1254" t="s">
        <v>10</v>
      </c>
      <c r="E1254" t="s">
        <v>15</v>
      </c>
      <c r="F1254" t="s">
        <v>11</v>
      </c>
      <c r="G1254" t="s">
        <v>12</v>
      </c>
      <c r="H1254" s="1">
        <v>4</v>
      </c>
      <c r="I1254" s="1">
        <v>2932</v>
      </c>
      <c r="J1254" t="s">
        <v>4</v>
      </c>
      <c r="K1254" s="1">
        <v>14</v>
      </c>
      <c r="L1254" s="1">
        <v>3</v>
      </c>
      <c r="M1254" s="1">
        <v>6</v>
      </c>
      <c r="N1254" s="1">
        <v>3</v>
      </c>
      <c r="O1254" s="1">
        <v>5</v>
      </c>
      <c r="P1254" s="1">
        <f>COUNTIF(HR_Data[Employee Number],HR_Data[[#This Row],[Employee Number]])</f>
        <v>1</v>
      </c>
      <c r="Q1254" s="1" t="str">
        <f>IF(HR_Data[[#This Row],[Years At Company]]&lt;=HR_Data[[#This Row],[Total Working Years]],"Valid","error")</f>
        <v>Valid</v>
      </c>
      <c r="R1254" s="1" t="str" cm="1">
        <f t="array" ref="R1254">_xlfn.IFS(HR_Data[[#This Row],[Age]]&lt;=30,"Young", HR_Data[[#This Row],[Age]]&lt;=45,"Mid-Age",HR_Data[[#This Row],[Age]]&gt;45,"Senior")</f>
        <v>Mid-Age</v>
      </c>
      <c r="S1254" s="1" t="str" cm="1">
        <f t="array" ref="S1254">_xlfn.IFS(HR_Data[[#This Row],[Monthly Income]]&lt;5000,"Low", HR_Data[[#This Row],[Monthly Income]]&lt;10000,"Medium",TRUE,"High")</f>
        <v>Low</v>
      </c>
      <c r="T1254" s="1" t="str" cm="1">
        <f t="array" ref="T1254">_xlfn.IFS(HR_Data[[#This Row],[Total Working Years]]&lt;=5,"Junior", HR_Data[[#This Row],[Total Working Years]]&lt;=15,"Mid-Level", TRUE, "Senior")</f>
        <v>Mid-Level</v>
      </c>
    </row>
    <row r="1255" spans="1:20" x14ac:dyDescent="0.25">
      <c r="A1255" s="1">
        <v>1756</v>
      </c>
      <c r="B1255" s="1">
        <v>33</v>
      </c>
      <c r="C1255" t="s">
        <v>9</v>
      </c>
      <c r="D1255" t="s">
        <v>5</v>
      </c>
      <c r="E1255" t="s">
        <v>21</v>
      </c>
      <c r="F1255" t="s">
        <v>7</v>
      </c>
      <c r="G1255" t="s">
        <v>8</v>
      </c>
      <c r="H1255" s="1">
        <v>2</v>
      </c>
      <c r="I1255" s="1">
        <v>5147</v>
      </c>
      <c r="J1255" t="s">
        <v>9</v>
      </c>
      <c r="K1255" s="1">
        <v>15</v>
      </c>
      <c r="L1255" s="1">
        <v>3</v>
      </c>
      <c r="M1255" s="1">
        <v>13</v>
      </c>
      <c r="N1255" s="1">
        <v>2</v>
      </c>
      <c r="O1255" s="1">
        <v>11</v>
      </c>
      <c r="P1255" s="1">
        <f>COUNTIF(HR_Data[Employee Number],HR_Data[[#This Row],[Employee Number]])</f>
        <v>1</v>
      </c>
      <c r="Q1255" s="1" t="str">
        <f>IF(HR_Data[[#This Row],[Years At Company]]&lt;=HR_Data[[#This Row],[Total Working Years]],"Valid","error")</f>
        <v>Valid</v>
      </c>
      <c r="R1255" s="1" t="str" cm="1">
        <f t="array" ref="R1255">_xlfn.IFS(HR_Data[[#This Row],[Age]]&lt;=30,"Young", HR_Data[[#This Row],[Age]]&lt;=45,"Mid-Age",HR_Data[[#This Row],[Age]]&gt;45,"Senior")</f>
        <v>Mid-Age</v>
      </c>
      <c r="S1255" s="1" t="str" cm="1">
        <f t="array" ref="S1255">_xlfn.IFS(HR_Data[[#This Row],[Monthly Income]]&lt;5000,"Low", HR_Data[[#This Row],[Monthly Income]]&lt;10000,"Medium",TRUE,"High")</f>
        <v>Medium</v>
      </c>
      <c r="T1255" s="1" t="str" cm="1">
        <f t="array" ref="T1255">_xlfn.IFS(HR_Data[[#This Row],[Total Working Years]]&lt;=5,"Junior", HR_Data[[#This Row],[Total Working Years]]&lt;=15,"Mid-Level", TRUE, "Senior")</f>
        <v>Mid-Level</v>
      </c>
    </row>
    <row r="1256" spans="1:20" x14ac:dyDescent="0.25">
      <c r="A1256" s="1">
        <v>1757</v>
      </c>
      <c r="B1256" s="1">
        <v>49</v>
      </c>
      <c r="C1256" t="s">
        <v>9</v>
      </c>
      <c r="D1256" t="s">
        <v>5</v>
      </c>
      <c r="E1256" t="s">
        <v>21</v>
      </c>
      <c r="F1256" t="s">
        <v>7</v>
      </c>
      <c r="G1256" t="s">
        <v>8</v>
      </c>
      <c r="H1256" s="1">
        <v>4</v>
      </c>
      <c r="I1256" s="1">
        <v>4507</v>
      </c>
      <c r="J1256" t="s">
        <v>9</v>
      </c>
      <c r="K1256" s="1">
        <v>12</v>
      </c>
      <c r="L1256" s="1">
        <v>3</v>
      </c>
      <c r="M1256" s="1">
        <v>8</v>
      </c>
      <c r="N1256" s="1">
        <v>4</v>
      </c>
      <c r="O1256" s="1">
        <v>5</v>
      </c>
      <c r="P1256" s="1">
        <f>COUNTIF(HR_Data[Employee Number],HR_Data[[#This Row],[Employee Number]])</f>
        <v>1</v>
      </c>
      <c r="Q1256" s="1" t="str">
        <f>IF(HR_Data[[#This Row],[Years At Company]]&lt;=HR_Data[[#This Row],[Total Working Years]],"Valid","error")</f>
        <v>Valid</v>
      </c>
      <c r="R1256" s="1" t="str" cm="1">
        <f t="array" ref="R1256">_xlfn.IFS(HR_Data[[#This Row],[Age]]&lt;=30,"Young", HR_Data[[#This Row],[Age]]&lt;=45,"Mid-Age",HR_Data[[#This Row],[Age]]&gt;45,"Senior")</f>
        <v>Senior</v>
      </c>
      <c r="S1256" s="1" t="str" cm="1">
        <f t="array" ref="S1256">_xlfn.IFS(HR_Data[[#This Row],[Monthly Income]]&lt;5000,"Low", HR_Data[[#This Row],[Monthly Income]]&lt;10000,"Medium",TRUE,"High")</f>
        <v>Low</v>
      </c>
      <c r="T1256" s="1" t="str" cm="1">
        <f t="array" ref="T1256">_xlfn.IFS(HR_Data[[#This Row],[Total Working Years]]&lt;=5,"Junior", HR_Data[[#This Row],[Total Working Years]]&lt;=15,"Mid-Level", TRUE, "Senior")</f>
        <v>Mid-Level</v>
      </c>
    </row>
    <row r="1257" spans="1:20" x14ac:dyDescent="0.25">
      <c r="A1257" s="1">
        <v>1758</v>
      </c>
      <c r="B1257" s="1">
        <v>33</v>
      </c>
      <c r="C1257" t="s">
        <v>4</v>
      </c>
      <c r="D1257" t="s">
        <v>5</v>
      </c>
      <c r="E1257" t="s">
        <v>6</v>
      </c>
      <c r="F1257" t="s">
        <v>7</v>
      </c>
      <c r="G1257" t="s">
        <v>8</v>
      </c>
      <c r="H1257" s="1">
        <v>1</v>
      </c>
      <c r="I1257" s="1">
        <v>8564</v>
      </c>
      <c r="J1257" t="s">
        <v>4</v>
      </c>
      <c r="K1257" s="1">
        <v>20</v>
      </c>
      <c r="L1257" s="1">
        <v>4</v>
      </c>
      <c r="M1257" s="1">
        <v>11</v>
      </c>
      <c r="N1257" s="1">
        <v>2</v>
      </c>
      <c r="O1257" s="1">
        <v>0</v>
      </c>
      <c r="P1257" s="1">
        <f>COUNTIF(HR_Data[Employee Number],HR_Data[[#This Row],[Employee Number]])</f>
        <v>1</v>
      </c>
      <c r="Q1257" s="1" t="str">
        <f>IF(HR_Data[[#This Row],[Years At Company]]&lt;=HR_Data[[#This Row],[Total Working Years]],"Valid","error")</f>
        <v>Valid</v>
      </c>
      <c r="R1257" s="1" t="str" cm="1">
        <f t="array" ref="R1257">_xlfn.IFS(HR_Data[[#This Row],[Age]]&lt;=30,"Young", HR_Data[[#This Row],[Age]]&lt;=45,"Mid-Age",HR_Data[[#This Row],[Age]]&gt;45,"Senior")</f>
        <v>Mid-Age</v>
      </c>
      <c r="S1257" s="1" t="str" cm="1">
        <f t="array" ref="S1257">_xlfn.IFS(HR_Data[[#This Row],[Monthly Income]]&lt;5000,"Low", HR_Data[[#This Row],[Monthly Income]]&lt;10000,"Medium",TRUE,"High")</f>
        <v>Medium</v>
      </c>
      <c r="T1257" s="1" t="str" cm="1">
        <f t="array" ref="T1257">_xlfn.IFS(HR_Data[[#This Row],[Total Working Years]]&lt;=5,"Junior", HR_Data[[#This Row],[Total Working Years]]&lt;=15,"Mid-Level", TRUE, "Senior")</f>
        <v>Mid-Level</v>
      </c>
    </row>
    <row r="1258" spans="1:20" x14ac:dyDescent="0.25">
      <c r="A1258" s="1">
        <v>1760</v>
      </c>
      <c r="B1258" s="1">
        <v>38</v>
      </c>
      <c r="C1258" t="s">
        <v>9</v>
      </c>
      <c r="D1258" t="s">
        <v>10</v>
      </c>
      <c r="E1258" t="s">
        <v>15</v>
      </c>
      <c r="F1258" t="s">
        <v>7</v>
      </c>
      <c r="G1258" t="s">
        <v>14</v>
      </c>
      <c r="H1258" s="1">
        <v>2</v>
      </c>
      <c r="I1258" s="1">
        <v>2468</v>
      </c>
      <c r="J1258" t="s">
        <v>9</v>
      </c>
      <c r="K1258" s="1">
        <v>14</v>
      </c>
      <c r="L1258" s="1">
        <v>3</v>
      </c>
      <c r="M1258" s="1">
        <v>9</v>
      </c>
      <c r="N1258" s="1">
        <v>2</v>
      </c>
      <c r="O1258" s="1">
        <v>6</v>
      </c>
      <c r="P1258" s="1">
        <f>COUNTIF(HR_Data[Employee Number],HR_Data[[#This Row],[Employee Number]])</f>
        <v>1</v>
      </c>
      <c r="Q1258" s="1" t="str">
        <f>IF(HR_Data[[#This Row],[Years At Company]]&lt;=HR_Data[[#This Row],[Total Working Years]],"Valid","error")</f>
        <v>Valid</v>
      </c>
      <c r="R1258" s="1" t="str" cm="1">
        <f t="array" ref="R1258">_xlfn.IFS(HR_Data[[#This Row],[Age]]&lt;=30,"Young", HR_Data[[#This Row],[Age]]&lt;=45,"Mid-Age",HR_Data[[#This Row],[Age]]&gt;45,"Senior")</f>
        <v>Mid-Age</v>
      </c>
      <c r="S1258" s="1" t="str" cm="1">
        <f t="array" ref="S1258">_xlfn.IFS(HR_Data[[#This Row],[Monthly Income]]&lt;5000,"Low", HR_Data[[#This Row],[Monthly Income]]&lt;10000,"Medium",TRUE,"High")</f>
        <v>Low</v>
      </c>
      <c r="T1258" s="1" t="str" cm="1">
        <f t="array" ref="T1258">_xlfn.IFS(HR_Data[[#This Row],[Total Working Years]]&lt;=5,"Junior", HR_Data[[#This Row],[Total Working Years]]&lt;=15,"Mid-Level", TRUE, "Senior")</f>
        <v>Mid-Level</v>
      </c>
    </row>
    <row r="1259" spans="1:20" x14ac:dyDescent="0.25">
      <c r="A1259" s="1">
        <v>1761</v>
      </c>
      <c r="B1259" s="1">
        <v>31</v>
      </c>
      <c r="C1259" t="s">
        <v>4</v>
      </c>
      <c r="D1259" t="s">
        <v>5</v>
      </c>
      <c r="E1259" t="s">
        <v>21</v>
      </c>
      <c r="F1259" t="s">
        <v>11</v>
      </c>
      <c r="G1259" t="s">
        <v>8</v>
      </c>
      <c r="H1259" s="1">
        <v>3</v>
      </c>
      <c r="I1259" s="1">
        <v>8161</v>
      </c>
      <c r="J1259" t="s">
        <v>9</v>
      </c>
      <c r="K1259" s="1">
        <v>13</v>
      </c>
      <c r="L1259" s="1">
        <v>3</v>
      </c>
      <c r="M1259" s="1">
        <v>10</v>
      </c>
      <c r="N1259" s="1">
        <v>3</v>
      </c>
      <c r="O1259" s="1">
        <v>1</v>
      </c>
      <c r="P1259" s="1">
        <f>COUNTIF(HR_Data[Employee Number],HR_Data[[#This Row],[Employee Number]])</f>
        <v>1</v>
      </c>
      <c r="Q1259" s="1" t="str">
        <f>IF(HR_Data[[#This Row],[Years At Company]]&lt;=HR_Data[[#This Row],[Total Working Years]],"Valid","error")</f>
        <v>Valid</v>
      </c>
      <c r="R1259" s="1" t="str" cm="1">
        <f t="array" ref="R1259">_xlfn.IFS(HR_Data[[#This Row],[Age]]&lt;=30,"Young", HR_Data[[#This Row],[Age]]&lt;=45,"Mid-Age",HR_Data[[#This Row],[Age]]&gt;45,"Senior")</f>
        <v>Mid-Age</v>
      </c>
      <c r="S1259" s="1" t="str" cm="1">
        <f t="array" ref="S1259">_xlfn.IFS(HR_Data[[#This Row],[Monthly Income]]&lt;5000,"Low", HR_Data[[#This Row],[Monthly Income]]&lt;10000,"Medium",TRUE,"High")</f>
        <v>Medium</v>
      </c>
      <c r="T1259" s="1" t="str" cm="1">
        <f t="array" ref="T1259">_xlfn.IFS(HR_Data[[#This Row],[Total Working Years]]&lt;=5,"Junior", HR_Data[[#This Row],[Total Working Years]]&lt;=15,"Mid-Level", TRUE, "Senior")</f>
        <v>Mid-Level</v>
      </c>
    </row>
    <row r="1260" spans="1:20" x14ac:dyDescent="0.25">
      <c r="A1260" s="1">
        <v>1762</v>
      </c>
      <c r="B1260" s="1">
        <v>29</v>
      </c>
      <c r="C1260" t="s">
        <v>9</v>
      </c>
      <c r="D1260" t="s">
        <v>10</v>
      </c>
      <c r="E1260" t="s">
        <v>22</v>
      </c>
      <c r="F1260" t="s">
        <v>7</v>
      </c>
      <c r="G1260" t="s">
        <v>12</v>
      </c>
      <c r="H1260" s="1">
        <v>1</v>
      </c>
      <c r="I1260" s="1">
        <v>2109</v>
      </c>
      <c r="J1260" t="s">
        <v>9</v>
      </c>
      <c r="K1260" s="1">
        <v>13</v>
      </c>
      <c r="L1260" s="1">
        <v>3</v>
      </c>
      <c r="M1260" s="1">
        <v>1</v>
      </c>
      <c r="N1260" s="1">
        <v>3</v>
      </c>
      <c r="O1260" s="1">
        <v>1</v>
      </c>
      <c r="P1260" s="1">
        <f>COUNTIF(HR_Data[Employee Number],HR_Data[[#This Row],[Employee Number]])</f>
        <v>1</v>
      </c>
      <c r="Q1260" s="1" t="str">
        <f>IF(HR_Data[[#This Row],[Years At Company]]&lt;=HR_Data[[#This Row],[Total Working Years]],"Valid","error")</f>
        <v>Valid</v>
      </c>
      <c r="R1260" s="1" t="str" cm="1">
        <f t="array" ref="R1260">_xlfn.IFS(HR_Data[[#This Row],[Age]]&lt;=30,"Young", HR_Data[[#This Row],[Age]]&lt;=45,"Mid-Age",HR_Data[[#This Row],[Age]]&gt;45,"Senior")</f>
        <v>Young</v>
      </c>
      <c r="S1260" s="1" t="str" cm="1">
        <f t="array" ref="S1260">_xlfn.IFS(HR_Data[[#This Row],[Monthly Income]]&lt;5000,"Low", HR_Data[[#This Row],[Monthly Income]]&lt;10000,"Medium",TRUE,"High")</f>
        <v>Low</v>
      </c>
      <c r="T1260" s="1" t="str" cm="1">
        <f t="array" ref="T1260">_xlfn.IFS(HR_Data[[#This Row],[Total Working Years]]&lt;=5,"Junior", HR_Data[[#This Row],[Total Working Years]]&lt;=15,"Mid-Level", TRUE, "Senior")</f>
        <v>Junior</v>
      </c>
    </row>
    <row r="1261" spans="1:20" x14ac:dyDescent="0.25">
      <c r="A1261" s="1">
        <v>1763</v>
      </c>
      <c r="B1261" s="1">
        <v>30</v>
      </c>
      <c r="C1261" t="s">
        <v>9</v>
      </c>
      <c r="D1261" t="s">
        <v>10</v>
      </c>
      <c r="E1261" t="s">
        <v>6</v>
      </c>
      <c r="F1261" t="s">
        <v>11</v>
      </c>
      <c r="G1261" t="s">
        <v>17</v>
      </c>
      <c r="H1261" s="1">
        <v>3</v>
      </c>
      <c r="I1261" s="1">
        <v>5294</v>
      </c>
      <c r="J1261" t="s">
        <v>9</v>
      </c>
      <c r="K1261" s="1">
        <v>16</v>
      </c>
      <c r="L1261" s="1">
        <v>3</v>
      </c>
      <c r="M1261" s="1">
        <v>10</v>
      </c>
      <c r="N1261" s="1">
        <v>3</v>
      </c>
      <c r="O1261" s="1">
        <v>7</v>
      </c>
      <c r="P1261" s="1">
        <f>COUNTIF(HR_Data[Employee Number],HR_Data[[#This Row],[Employee Number]])</f>
        <v>1</v>
      </c>
      <c r="Q1261" s="1" t="str">
        <f>IF(HR_Data[[#This Row],[Years At Company]]&lt;=HR_Data[[#This Row],[Total Working Years]],"Valid","error")</f>
        <v>Valid</v>
      </c>
      <c r="R1261" s="1" t="str" cm="1">
        <f t="array" ref="R1261">_xlfn.IFS(HR_Data[[#This Row],[Age]]&lt;=30,"Young", HR_Data[[#This Row],[Age]]&lt;=45,"Mid-Age",HR_Data[[#This Row],[Age]]&gt;45,"Senior")</f>
        <v>Young</v>
      </c>
      <c r="S1261" s="1" t="str" cm="1">
        <f t="array" ref="S1261">_xlfn.IFS(HR_Data[[#This Row],[Monthly Income]]&lt;5000,"Low", HR_Data[[#This Row],[Monthly Income]]&lt;10000,"Medium",TRUE,"High")</f>
        <v>Medium</v>
      </c>
      <c r="T1261" s="1" t="str" cm="1">
        <f t="array" ref="T1261">_xlfn.IFS(HR_Data[[#This Row],[Total Working Years]]&lt;=5,"Junior", HR_Data[[#This Row],[Total Working Years]]&lt;=15,"Mid-Level", TRUE, "Senior")</f>
        <v>Mid-Level</v>
      </c>
    </row>
    <row r="1262" spans="1:20" x14ac:dyDescent="0.25">
      <c r="A1262" s="1">
        <v>1764</v>
      </c>
      <c r="B1262" s="1">
        <v>32</v>
      </c>
      <c r="C1262" t="s">
        <v>9</v>
      </c>
      <c r="D1262" t="s">
        <v>10</v>
      </c>
      <c r="E1262" t="s">
        <v>22</v>
      </c>
      <c r="F1262" t="s">
        <v>11</v>
      </c>
      <c r="G1262" t="s">
        <v>12</v>
      </c>
      <c r="H1262" s="1">
        <v>2</v>
      </c>
      <c r="I1262" s="1">
        <v>2718</v>
      </c>
      <c r="J1262" t="s">
        <v>9</v>
      </c>
      <c r="K1262" s="1">
        <v>14</v>
      </c>
      <c r="L1262" s="1">
        <v>3</v>
      </c>
      <c r="M1262" s="1">
        <v>12</v>
      </c>
      <c r="N1262" s="1">
        <v>3</v>
      </c>
      <c r="O1262" s="1">
        <v>7</v>
      </c>
      <c r="P1262" s="1">
        <f>COUNTIF(HR_Data[Employee Number],HR_Data[[#This Row],[Employee Number]])</f>
        <v>1</v>
      </c>
      <c r="Q1262" s="1" t="str">
        <f>IF(HR_Data[[#This Row],[Years At Company]]&lt;=HR_Data[[#This Row],[Total Working Years]],"Valid","error")</f>
        <v>Valid</v>
      </c>
      <c r="R1262" s="1" t="str" cm="1">
        <f t="array" ref="R1262">_xlfn.IFS(HR_Data[[#This Row],[Age]]&lt;=30,"Young", HR_Data[[#This Row],[Age]]&lt;=45,"Mid-Age",HR_Data[[#This Row],[Age]]&gt;45,"Senior")</f>
        <v>Mid-Age</v>
      </c>
      <c r="S1262" s="1" t="str" cm="1">
        <f t="array" ref="S1262">_xlfn.IFS(HR_Data[[#This Row],[Monthly Income]]&lt;5000,"Low", HR_Data[[#This Row],[Monthly Income]]&lt;10000,"Medium",TRUE,"High")</f>
        <v>Low</v>
      </c>
      <c r="T1262" s="1" t="str" cm="1">
        <f t="array" ref="T1262">_xlfn.IFS(HR_Data[[#This Row],[Total Working Years]]&lt;=5,"Junior", HR_Data[[#This Row],[Total Working Years]]&lt;=15,"Mid-Level", TRUE, "Senior")</f>
        <v>Mid-Level</v>
      </c>
    </row>
    <row r="1263" spans="1:20" x14ac:dyDescent="0.25">
      <c r="A1263" s="1">
        <v>1766</v>
      </c>
      <c r="B1263" s="1">
        <v>38</v>
      </c>
      <c r="C1263" t="s">
        <v>9</v>
      </c>
      <c r="D1263" t="s">
        <v>10</v>
      </c>
      <c r="E1263" t="s">
        <v>15</v>
      </c>
      <c r="F1263" t="s">
        <v>11</v>
      </c>
      <c r="G1263" t="s">
        <v>17</v>
      </c>
      <c r="H1263" s="1">
        <v>4</v>
      </c>
      <c r="I1263" s="1">
        <v>5811</v>
      </c>
      <c r="J1263" t="s">
        <v>4</v>
      </c>
      <c r="K1263" s="1">
        <v>16</v>
      </c>
      <c r="L1263" s="1">
        <v>3</v>
      </c>
      <c r="M1263" s="1">
        <v>15</v>
      </c>
      <c r="N1263" s="1">
        <v>3</v>
      </c>
      <c r="O1263" s="1">
        <v>1</v>
      </c>
      <c r="P1263" s="1">
        <f>COUNTIF(HR_Data[Employee Number],HR_Data[[#This Row],[Employee Number]])</f>
        <v>1</v>
      </c>
      <c r="Q1263" s="1" t="str">
        <f>IF(HR_Data[[#This Row],[Years At Company]]&lt;=HR_Data[[#This Row],[Total Working Years]],"Valid","error")</f>
        <v>Valid</v>
      </c>
      <c r="R1263" s="1" t="str" cm="1">
        <f t="array" ref="R1263">_xlfn.IFS(HR_Data[[#This Row],[Age]]&lt;=30,"Young", HR_Data[[#This Row],[Age]]&lt;=45,"Mid-Age",HR_Data[[#This Row],[Age]]&gt;45,"Senior")</f>
        <v>Mid-Age</v>
      </c>
      <c r="S1263" s="1" t="str" cm="1">
        <f t="array" ref="S1263">_xlfn.IFS(HR_Data[[#This Row],[Monthly Income]]&lt;5000,"Low", HR_Data[[#This Row],[Monthly Income]]&lt;10000,"Medium",TRUE,"High")</f>
        <v>Medium</v>
      </c>
      <c r="T1263" s="1" t="str" cm="1">
        <f t="array" ref="T1263">_xlfn.IFS(HR_Data[[#This Row],[Total Working Years]]&lt;=5,"Junior", HR_Data[[#This Row],[Total Working Years]]&lt;=15,"Mid-Level", TRUE, "Senior")</f>
        <v>Mid-Level</v>
      </c>
    </row>
    <row r="1264" spans="1:20" x14ac:dyDescent="0.25">
      <c r="A1264" s="1">
        <v>1767</v>
      </c>
      <c r="B1264" s="1">
        <v>43</v>
      </c>
      <c r="C1264" t="s">
        <v>4</v>
      </c>
      <c r="D1264" t="s">
        <v>10</v>
      </c>
      <c r="E1264" t="s">
        <v>22</v>
      </c>
      <c r="F1264" t="s">
        <v>11</v>
      </c>
      <c r="G1264" t="s">
        <v>12</v>
      </c>
      <c r="H1264" s="1">
        <v>3</v>
      </c>
      <c r="I1264" s="1">
        <v>2437</v>
      </c>
      <c r="J1264" t="s">
        <v>4</v>
      </c>
      <c r="K1264" s="1">
        <v>16</v>
      </c>
      <c r="L1264" s="1">
        <v>3</v>
      </c>
      <c r="M1264" s="1">
        <v>6</v>
      </c>
      <c r="N1264" s="1">
        <v>3</v>
      </c>
      <c r="O1264" s="1">
        <v>1</v>
      </c>
      <c r="P1264" s="1">
        <f>COUNTIF(HR_Data[Employee Number],HR_Data[[#This Row],[Employee Number]])</f>
        <v>1</v>
      </c>
      <c r="Q1264" s="1" t="str">
        <f>IF(HR_Data[[#This Row],[Years At Company]]&lt;=HR_Data[[#This Row],[Total Working Years]],"Valid","error")</f>
        <v>Valid</v>
      </c>
      <c r="R1264" s="1" t="str" cm="1">
        <f t="array" ref="R1264">_xlfn.IFS(HR_Data[[#This Row],[Age]]&lt;=30,"Young", HR_Data[[#This Row],[Age]]&lt;=45,"Mid-Age",HR_Data[[#This Row],[Age]]&gt;45,"Senior")</f>
        <v>Mid-Age</v>
      </c>
      <c r="S1264" s="1" t="str" cm="1">
        <f t="array" ref="S1264">_xlfn.IFS(HR_Data[[#This Row],[Monthly Income]]&lt;5000,"Low", HR_Data[[#This Row],[Monthly Income]]&lt;10000,"Medium",TRUE,"High")</f>
        <v>Low</v>
      </c>
      <c r="T1264" s="1" t="str" cm="1">
        <f t="array" ref="T1264">_xlfn.IFS(HR_Data[[#This Row],[Total Working Years]]&lt;=5,"Junior", HR_Data[[#This Row],[Total Working Years]]&lt;=15,"Mid-Level", TRUE, "Senior")</f>
        <v>Mid-Level</v>
      </c>
    </row>
    <row r="1265" spans="1:20" x14ac:dyDescent="0.25">
      <c r="A1265" s="1">
        <v>1768</v>
      </c>
      <c r="B1265" s="1">
        <v>42</v>
      </c>
      <c r="C1265" t="s">
        <v>9</v>
      </c>
      <c r="D1265" t="s">
        <v>10</v>
      </c>
      <c r="E1265" t="s">
        <v>15</v>
      </c>
      <c r="F1265" t="s">
        <v>11</v>
      </c>
      <c r="G1265" t="s">
        <v>14</v>
      </c>
      <c r="H1265" s="1">
        <v>2</v>
      </c>
      <c r="I1265" s="1">
        <v>2766</v>
      </c>
      <c r="J1265" t="s">
        <v>9</v>
      </c>
      <c r="K1265" s="1">
        <v>22</v>
      </c>
      <c r="L1265" s="1">
        <v>4</v>
      </c>
      <c r="M1265" s="1">
        <v>7</v>
      </c>
      <c r="N1265" s="1">
        <v>2</v>
      </c>
      <c r="O1265" s="1">
        <v>5</v>
      </c>
      <c r="P1265" s="1">
        <f>COUNTIF(HR_Data[Employee Number],HR_Data[[#This Row],[Employee Number]])</f>
        <v>1</v>
      </c>
      <c r="Q1265" s="1" t="str">
        <f>IF(HR_Data[[#This Row],[Years At Company]]&lt;=HR_Data[[#This Row],[Total Working Years]],"Valid","error")</f>
        <v>Valid</v>
      </c>
      <c r="R1265" s="1" t="str" cm="1">
        <f t="array" ref="R1265">_xlfn.IFS(HR_Data[[#This Row],[Age]]&lt;=30,"Young", HR_Data[[#This Row],[Age]]&lt;=45,"Mid-Age",HR_Data[[#This Row],[Age]]&gt;45,"Senior")</f>
        <v>Mid-Age</v>
      </c>
      <c r="S1265" s="1" t="str" cm="1">
        <f t="array" ref="S1265">_xlfn.IFS(HR_Data[[#This Row],[Monthly Income]]&lt;5000,"Low", HR_Data[[#This Row],[Monthly Income]]&lt;10000,"Medium",TRUE,"High")</f>
        <v>Low</v>
      </c>
      <c r="T1265" s="1" t="str" cm="1">
        <f t="array" ref="T1265">_xlfn.IFS(HR_Data[[#This Row],[Total Working Years]]&lt;=5,"Junior", HR_Data[[#This Row],[Total Working Years]]&lt;=15,"Mid-Level", TRUE, "Senior")</f>
        <v>Mid-Level</v>
      </c>
    </row>
    <row r="1266" spans="1:20" x14ac:dyDescent="0.25">
      <c r="A1266" s="1">
        <v>1770</v>
      </c>
      <c r="B1266" s="1">
        <v>55</v>
      </c>
      <c r="C1266" t="s">
        <v>9</v>
      </c>
      <c r="D1266" t="s">
        <v>10</v>
      </c>
      <c r="E1266" t="s">
        <v>15</v>
      </c>
      <c r="F1266" t="s">
        <v>11</v>
      </c>
      <c r="G1266" t="s">
        <v>20</v>
      </c>
      <c r="H1266" s="1">
        <v>1</v>
      </c>
      <c r="I1266" s="1">
        <v>19038</v>
      </c>
      <c r="J1266" t="s">
        <v>9</v>
      </c>
      <c r="K1266" s="1">
        <v>12</v>
      </c>
      <c r="L1266" s="1">
        <v>3</v>
      </c>
      <c r="M1266" s="1">
        <v>34</v>
      </c>
      <c r="N1266" s="1">
        <v>3</v>
      </c>
      <c r="O1266" s="1">
        <v>1</v>
      </c>
      <c r="P1266" s="1">
        <f>COUNTIF(HR_Data[Employee Number],HR_Data[[#This Row],[Employee Number]])</f>
        <v>1</v>
      </c>
      <c r="Q1266" s="1" t="str">
        <f>IF(HR_Data[[#This Row],[Years At Company]]&lt;=HR_Data[[#This Row],[Total Working Years]],"Valid","error")</f>
        <v>Valid</v>
      </c>
      <c r="R1266" s="1" t="str" cm="1">
        <f t="array" ref="R1266">_xlfn.IFS(HR_Data[[#This Row],[Age]]&lt;=30,"Young", HR_Data[[#This Row],[Age]]&lt;=45,"Mid-Age",HR_Data[[#This Row],[Age]]&gt;45,"Senior")</f>
        <v>Senior</v>
      </c>
      <c r="S1266" s="1" t="str" cm="1">
        <f t="array" ref="S1266">_xlfn.IFS(HR_Data[[#This Row],[Monthly Income]]&lt;5000,"Low", HR_Data[[#This Row],[Monthly Income]]&lt;10000,"Medium",TRUE,"High")</f>
        <v>High</v>
      </c>
      <c r="T1266" s="1" t="str" cm="1">
        <f t="array" ref="T1266">_xlfn.IFS(HR_Data[[#This Row],[Total Working Years]]&lt;=5,"Junior", HR_Data[[#This Row],[Total Working Years]]&lt;=15,"Mid-Level", TRUE, "Senior")</f>
        <v>Senior</v>
      </c>
    </row>
    <row r="1267" spans="1:20" x14ac:dyDescent="0.25">
      <c r="A1267" s="1">
        <v>1771</v>
      </c>
      <c r="B1267" s="1">
        <v>33</v>
      </c>
      <c r="C1267" t="s">
        <v>9</v>
      </c>
      <c r="D1267" t="s">
        <v>10</v>
      </c>
      <c r="E1267" t="s">
        <v>22</v>
      </c>
      <c r="F1267" t="s">
        <v>11</v>
      </c>
      <c r="G1267" t="s">
        <v>12</v>
      </c>
      <c r="H1267" s="1">
        <v>2</v>
      </c>
      <c r="I1267" s="1">
        <v>3055</v>
      </c>
      <c r="J1267" t="s">
        <v>9</v>
      </c>
      <c r="K1267" s="1">
        <v>15</v>
      </c>
      <c r="L1267" s="1">
        <v>3</v>
      </c>
      <c r="M1267" s="1">
        <v>11</v>
      </c>
      <c r="N1267" s="1">
        <v>2</v>
      </c>
      <c r="O1267" s="1">
        <v>9</v>
      </c>
      <c r="P1267" s="1">
        <f>COUNTIF(HR_Data[Employee Number],HR_Data[[#This Row],[Employee Number]])</f>
        <v>1</v>
      </c>
      <c r="Q1267" s="1" t="str">
        <f>IF(HR_Data[[#This Row],[Years At Company]]&lt;=HR_Data[[#This Row],[Total Working Years]],"Valid","error")</f>
        <v>Valid</v>
      </c>
      <c r="R1267" s="1" t="str" cm="1">
        <f t="array" ref="R1267">_xlfn.IFS(HR_Data[[#This Row],[Age]]&lt;=30,"Young", HR_Data[[#This Row],[Age]]&lt;=45,"Mid-Age",HR_Data[[#This Row],[Age]]&gt;45,"Senior")</f>
        <v>Mid-Age</v>
      </c>
      <c r="S1267" s="1" t="str" cm="1">
        <f t="array" ref="S1267">_xlfn.IFS(HR_Data[[#This Row],[Monthly Income]]&lt;5000,"Low", HR_Data[[#This Row],[Monthly Income]]&lt;10000,"Medium",TRUE,"High")</f>
        <v>Low</v>
      </c>
      <c r="T1267" s="1" t="str" cm="1">
        <f t="array" ref="T1267">_xlfn.IFS(HR_Data[[#This Row],[Total Working Years]]&lt;=5,"Junior", HR_Data[[#This Row],[Total Working Years]]&lt;=15,"Mid-Level", TRUE, "Senior")</f>
        <v>Mid-Level</v>
      </c>
    </row>
    <row r="1268" spans="1:20" x14ac:dyDescent="0.25">
      <c r="A1268" s="1">
        <v>1772</v>
      </c>
      <c r="B1268" s="1">
        <v>41</v>
      </c>
      <c r="C1268" t="s">
        <v>9</v>
      </c>
      <c r="D1268" t="s">
        <v>10</v>
      </c>
      <c r="E1268" t="s">
        <v>6</v>
      </c>
      <c r="F1268" t="s">
        <v>11</v>
      </c>
      <c r="G1268" t="s">
        <v>14</v>
      </c>
      <c r="H1268" s="1">
        <v>1</v>
      </c>
      <c r="I1268" s="1">
        <v>2289</v>
      </c>
      <c r="J1268" t="s">
        <v>9</v>
      </c>
      <c r="K1268" s="1">
        <v>20</v>
      </c>
      <c r="L1268" s="1">
        <v>4</v>
      </c>
      <c r="M1268" s="1">
        <v>5</v>
      </c>
      <c r="N1268" s="1">
        <v>3</v>
      </c>
      <c r="O1268" s="1">
        <v>5</v>
      </c>
      <c r="P1268" s="1">
        <f>COUNTIF(HR_Data[Employee Number],HR_Data[[#This Row],[Employee Number]])</f>
        <v>1</v>
      </c>
      <c r="Q1268" s="1" t="str">
        <f>IF(HR_Data[[#This Row],[Years At Company]]&lt;=HR_Data[[#This Row],[Total Working Years]],"Valid","error")</f>
        <v>Valid</v>
      </c>
      <c r="R1268" s="1" t="str" cm="1">
        <f t="array" ref="R1268">_xlfn.IFS(HR_Data[[#This Row],[Age]]&lt;=30,"Young", HR_Data[[#This Row],[Age]]&lt;=45,"Mid-Age",HR_Data[[#This Row],[Age]]&gt;45,"Senior")</f>
        <v>Mid-Age</v>
      </c>
      <c r="S1268" s="1" t="str" cm="1">
        <f t="array" ref="S1268">_xlfn.IFS(HR_Data[[#This Row],[Monthly Income]]&lt;5000,"Low", HR_Data[[#This Row],[Monthly Income]]&lt;10000,"Medium",TRUE,"High")</f>
        <v>Low</v>
      </c>
      <c r="T1268" s="1" t="str" cm="1">
        <f t="array" ref="T1268">_xlfn.IFS(HR_Data[[#This Row],[Total Working Years]]&lt;=5,"Junior", HR_Data[[#This Row],[Total Working Years]]&lt;=15,"Mid-Level", TRUE, "Senior")</f>
        <v>Junior</v>
      </c>
    </row>
    <row r="1269" spans="1:20" x14ac:dyDescent="0.25">
      <c r="A1269" s="1">
        <v>1774</v>
      </c>
      <c r="B1269" s="1">
        <v>34</v>
      </c>
      <c r="C1269" t="s">
        <v>9</v>
      </c>
      <c r="D1269" t="s">
        <v>5</v>
      </c>
      <c r="E1269" t="s">
        <v>6</v>
      </c>
      <c r="F1269" t="s">
        <v>11</v>
      </c>
      <c r="G1269" t="s">
        <v>8</v>
      </c>
      <c r="H1269" s="1">
        <v>3</v>
      </c>
      <c r="I1269" s="1">
        <v>4001</v>
      </c>
      <c r="J1269" t="s">
        <v>4</v>
      </c>
      <c r="K1269" s="1">
        <v>14</v>
      </c>
      <c r="L1269" s="1">
        <v>3</v>
      </c>
      <c r="M1269" s="1">
        <v>15</v>
      </c>
      <c r="N1269" s="1">
        <v>3</v>
      </c>
      <c r="O1269" s="1">
        <v>15</v>
      </c>
      <c r="P1269" s="1">
        <f>COUNTIF(HR_Data[Employee Number],HR_Data[[#This Row],[Employee Number]])</f>
        <v>1</v>
      </c>
      <c r="Q1269" s="1" t="str">
        <f>IF(HR_Data[[#This Row],[Years At Company]]&lt;=HR_Data[[#This Row],[Total Working Years]],"Valid","error")</f>
        <v>Valid</v>
      </c>
      <c r="R1269" s="1" t="str" cm="1">
        <f t="array" ref="R1269">_xlfn.IFS(HR_Data[[#This Row],[Age]]&lt;=30,"Young", HR_Data[[#This Row],[Age]]&lt;=45,"Mid-Age",HR_Data[[#This Row],[Age]]&gt;45,"Senior")</f>
        <v>Mid-Age</v>
      </c>
      <c r="S1269" s="1" t="str" cm="1">
        <f t="array" ref="S1269">_xlfn.IFS(HR_Data[[#This Row],[Monthly Income]]&lt;5000,"Low", HR_Data[[#This Row],[Monthly Income]]&lt;10000,"Medium",TRUE,"High")</f>
        <v>Low</v>
      </c>
      <c r="T1269" s="1" t="str" cm="1">
        <f t="array" ref="T1269">_xlfn.IFS(HR_Data[[#This Row],[Total Working Years]]&lt;=5,"Junior", HR_Data[[#This Row],[Total Working Years]]&lt;=15,"Mid-Level", TRUE, "Senior")</f>
        <v>Mid-Level</v>
      </c>
    </row>
    <row r="1270" spans="1:20" x14ac:dyDescent="0.25">
      <c r="A1270" s="1">
        <v>1775</v>
      </c>
      <c r="B1270" s="1">
        <v>53</v>
      </c>
      <c r="C1270" t="s">
        <v>9</v>
      </c>
      <c r="D1270" t="s">
        <v>10</v>
      </c>
      <c r="E1270" t="s">
        <v>15</v>
      </c>
      <c r="F1270" t="s">
        <v>7</v>
      </c>
      <c r="G1270" t="s">
        <v>16</v>
      </c>
      <c r="H1270" s="1">
        <v>3</v>
      </c>
      <c r="I1270" s="1">
        <v>12965</v>
      </c>
      <c r="J1270" t="s">
        <v>4</v>
      </c>
      <c r="K1270" s="1">
        <v>20</v>
      </c>
      <c r="L1270" s="1">
        <v>4</v>
      </c>
      <c r="M1270" s="1">
        <v>27</v>
      </c>
      <c r="N1270" s="1">
        <v>2</v>
      </c>
      <c r="O1270" s="1">
        <v>3</v>
      </c>
      <c r="P1270" s="1">
        <f>COUNTIF(HR_Data[Employee Number],HR_Data[[#This Row],[Employee Number]])</f>
        <v>1</v>
      </c>
      <c r="Q1270" s="1" t="str">
        <f>IF(HR_Data[[#This Row],[Years At Company]]&lt;=HR_Data[[#This Row],[Total Working Years]],"Valid","error")</f>
        <v>Valid</v>
      </c>
      <c r="R1270" s="1" t="str" cm="1">
        <f t="array" ref="R1270">_xlfn.IFS(HR_Data[[#This Row],[Age]]&lt;=30,"Young", HR_Data[[#This Row],[Age]]&lt;=45,"Mid-Age",HR_Data[[#This Row],[Age]]&gt;45,"Senior")</f>
        <v>Senior</v>
      </c>
      <c r="S1270" s="1" t="str" cm="1">
        <f t="array" ref="S1270">_xlfn.IFS(HR_Data[[#This Row],[Monthly Income]]&lt;5000,"Low", HR_Data[[#This Row],[Monthly Income]]&lt;10000,"Medium",TRUE,"High")</f>
        <v>High</v>
      </c>
      <c r="T1270" s="1" t="str" cm="1">
        <f t="array" ref="T1270">_xlfn.IFS(HR_Data[[#This Row],[Total Working Years]]&lt;=5,"Junior", HR_Data[[#This Row],[Total Working Years]]&lt;=15,"Mid-Level", TRUE, "Senior")</f>
        <v>Senior</v>
      </c>
    </row>
    <row r="1271" spans="1:20" x14ac:dyDescent="0.25">
      <c r="A1271" s="1">
        <v>1778</v>
      </c>
      <c r="B1271" s="1">
        <v>43</v>
      </c>
      <c r="C1271" t="s">
        <v>9</v>
      </c>
      <c r="D1271" t="s">
        <v>23</v>
      </c>
      <c r="E1271" t="s">
        <v>6</v>
      </c>
      <c r="F1271" t="s">
        <v>11</v>
      </c>
      <c r="G1271" t="s">
        <v>23</v>
      </c>
      <c r="H1271" s="1">
        <v>4</v>
      </c>
      <c r="I1271" s="1">
        <v>3539</v>
      </c>
      <c r="J1271" t="s">
        <v>9</v>
      </c>
      <c r="K1271" s="1">
        <v>13</v>
      </c>
      <c r="L1271" s="1">
        <v>3</v>
      </c>
      <c r="M1271" s="1">
        <v>10</v>
      </c>
      <c r="N1271" s="1">
        <v>3</v>
      </c>
      <c r="O1271" s="1">
        <v>9</v>
      </c>
      <c r="P1271" s="1">
        <f>COUNTIF(HR_Data[Employee Number],HR_Data[[#This Row],[Employee Number]])</f>
        <v>1</v>
      </c>
      <c r="Q1271" s="1" t="str">
        <f>IF(HR_Data[[#This Row],[Years At Company]]&lt;=HR_Data[[#This Row],[Total Working Years]],"Valid","error")</f>
        <v>Valid</v>
      </c>
      <c r="R1271" s="1" t="str" cm="1">
        <f t="array" ref="R1271">_xlfn.IFS(HR_Data[[#This Row],[Age]]&lt;=30,"Young", HR_Data[[#This Row],[Age]]&lt;=45,"Mid-Age",HR_Data[[#This Row],[Age]]&gt;45,"Senior")</f>
        <v>Mid-Age</v>
      </c>
      <c r="S1271" s="1" t="str" cm="1">
        <f t="array" ref="S1271">_xlfn.IFS(HR_Data[[#This Row],[Monthly Income]]&lt;5000,"Low", HR_Data[[#This Row],[Monthly Income]]&lt;10000,"Medium",TRUE,"High")</f>
        <v>Low</v>
      </c>
      <c r="T1271" s="1" t="str" cm="1">
        <f t="array" ref="T1271">_xlfn.IFS(HR_Data[[#This Row],[Total Working Years]]&lt;=5,"Junior", HR_Data[[#This Row],[Total Working Years]]&lt;=15,"Mid-Level", TRUE, "Senior")</f>
        <v>Mid-Level</v>
      </c>
    </row>
    <row r="1272" spans="1:20" x14ac:dyDescent="0.25">
      <c r="A1272" s="1">
        <v>1779</v>
      </c>
      <c r="B1272" s="1">
        <v>34</v>
      </c>
      <c r="C1272" t="s">
        <v>9</v>
      </c>
      <c r="D1272" t="s">
        <v>5</v>
      </c>
      <c r="E1272" t="s">
        <v>6</v>
      </c>
      <c r="F1272" t="s">
        <v>7</v>
      </c>
      <c r="G1272" t="s">
        <v>8</v>
      </c>
      <c r="H1272" s="1">
        <v>4</v>
      </c>
      <c r="I1272" s="1">
        <v>6029</v>
      </c>
      <c r="J1272" t="s">
        <v>9</v>
      </c>
      <c r="K1272" s="1">
        <v>12</v>
      </c>
      <c r="L1272" s="1">
        <v>3</v>
      </c>
      <c r="M1272" s="1">
        <v>6</v>
      </c>
      <c r="N1272" s="1">
        <v>3</v>
      </c>
      <c r="O1272" s="1">
        <v>2</v>
      </c>
      <c r="P1272" s="1">
        <f>COUNTIF(HR_Data[Employee Number],HR_Data[[#This Row],[Employee Number]])</f>
        <v>1</v>
      </c>
      <c r="Q1272" s="1" t="str">
        <f>IF(HR_Data[[#This Row],[Years At Company]]&lt;=HR_Data[[#This Row],[Total Working Years]],"Valid","error")</f>
        <v>Valid</v>
      </c>
      <c r="R1272" s="1" t="str" cm="1">
        <f t="array" ref="R1272">_xlfn.IFS(HR_Data[[#This Row],[Age]]&lt;=30,"Young", HR_Data[[#This Row],[Age]]&lt;=45,"Mid-Age",HR_Data[[#This Row],[Age]]&gt;45,"Senior")</f>
        <v>Mid-Age</v>
      </c>
      <c r="S1272" s="1" t="str" cm="1">
        <f t="array" ref="S1272">_xlfn.IFS(HR_Data[[#This Row],[Monthly Income]]&lt;5000,"Low", HR_Data[[#This Row],[Monthly Income]]&lt;10000,"Medium",TRUE,"High")</f>
        <v>Medium</v>
      </c>
      <c r="T1272" s="1" t="str" cm="1">
        <f t="array" ref="T1272">_xlfn.IFS(HR_Data[[#This Row],[Total Working Years]]&lt;=5,"Junior", HR_Data[[#This Row],[Total Working Years]]&lt;=15,"Mid-Level", TRUE, "Senior")</f>
        <v>Mid-Level</v>
      </c>
    </row>
    <row r="1273" spans="1:20" x14ac:dyDescent="0.25">
      <c r="A1273" s="1">
        <v>1780</v>
      </c>
      <c r="B1273" s="1">
        <v>21</v>
      </c>
      <c r="C1273" t="s">
        <v>4</v>
      </c>
      <c r="D1273" t="s">
        <v>5</v>
      </c>
      <c r="E1273" t="s">
        <v>21</v>
      </c>
      <c r="F1273" t="s">
        <v>11</v>
      </c>
      <c r="G1273" t="s">
        <v>19</v>
      </c>
      <c r="H1273" s="1">
        <v>2</v>
      </c>
      <c r="I1273" s="1">
        <v>2679</v>
      </c>
      <c r="J1273" t="s">
        <v>9</v>
      </c>
      <c r="K1273" s="1">
        <v>13</v>
      </c>
      <c r="L1273" s="1">
        <v>3</v>
      </c>
      <c r="M1273" s="1">
        <v>1</v>
      </c>
      <c r="N1273" s="1">
        <v>3</v>
      </c>
      <c r="O1273" s="1">
        <v>1</v>
      </c>
      <c r="P1273" s="1">
        <f>COUNTIF(HR_Data[Employee Number],HR_Data[[#This Row],[Employee Number]])</f>
        <v>1</v>
      </c>
      <c r="Q1273" s="1" t="str">
        <f>IF(HR_Data[[#This Row],[Years At Company]]&lt;=HR_Data[[#This Row],[Total Working Years]],"Valid","error")</f>
        <v>Valid</v>
      </c>
      <c r="R1273" s="1" t="str" cm="1">
        <f t="array" ref="R1273">_xlfn.IFS(HR_Data[[#This Row],[Age]]&lt;=30,"Young", HR_Data[[#This Row],[Age]]&lt;=45,"Mid-Age",HR_Data[[#This Row],[Age]]&gt;45,"Senior")</f>
        <v>Young</v>
      </c>
      <c r="S1273" s="1" t="str" cm="1">
        <f t="array" ref="S1273">_xlfn.IFS(HR_Data[[#This Row],[Monthly Income]]&lt;5000,"Low", HR_Data[[#This Row],[Monthly Income]]&lt;10000,"Medium",TRUE,"High")</f>
        <v>Low</v>
      </c>
      <c r="T1273" s="1" t="str" cm="1">
        <f t="array" ref="T1273">_xlfn.IFS(HR_Data[[#This Row],[Total Working Years]]&lt;=5,"Junior", HR_Data[[#This Row],[Total Working Years]]&lt;=15,"Mid-Level", TRUE, "Senior")</f>
        <v>Junior</v>
      </c>
    </row>
    <row r="1274" spans="1:20" x14ac:dyDescent="0.25">
      <c r="A1274" s="1">
        <v>1782</v>
      </c>
      <c r="B1274" s="1">
        <v>38</v>
      </c>
      <c r="C1274" t="s">
        <v>9</v>
      </c>
      <c r="D1274" t="s">
        <v>10</v>
      </c>
      <c r="E1274" t="s">
        <v>13</v>
      </c>
      <c r="F1274" t="s">
        <v>7</v>
      </c>
      <c r="G1274" t="s">
        <v>14</v>
      </c>
      <c r="H1274" s="1">
        <v>3</v>
      </c>
      <c r="I1274" s="1">
        <v>3702</v>
      </c>
      <c r="J1274" t="s">
        <v>9</v>
      </c>
      <c r="K1274" s="1">
        <v>11</v>
      </c>
      <c r="L1274" s="1">
        <v>3</v>
      </c>
      <c r="M1274" s="1">
        <v>5</v>
      </c>
      <c r="N1274" s="1">
        <v>3</v>
      </c>
      <c r="O1274" s="1">
        <v>5</v>
      </c>
      <c r="P1274" s="1">
        <f>COUNTIF(HR_Data[Employee Number],HR_Data[[#This Row],[Employee Number]])</f>
        <v>1</v>
      </c>
      <c r="Q1274" s="1" t="str">
        <f>IF(HR_Data[[#This Row],[Years At Company]]&lt;=HR_Data[[#This Row],[Total Working Years]],"Valid","error")</f>
        <v>Valid</v>
      </c>
      <c r="R1274" s="1" t="str" cm="1">
        <f t="array" ref="R1274">_xlfn.IFS(HR_Data[[#This Row],[Age]]&lt;=30,"Young", HR_Data[[#This Row],[Age]]&lt;=45,"Mid-Age",HR_Data[[#This Row],[Age]]&gt;45,"Senior")</f>
        <v>Mid-Age</v>
      </c>
      <c r="S1274" s="1" t="str" cm="1">
        <f t="array" ref="S1274">_xlfn.IFS(HR_Data[[#This Row],[Monthly Income]]&lt;5000,"Low", HR_Data[[#This Row],[Monthly Income]]&lt;10000,"Medium",TRUE,"High")</f>
        <v>Low</v>
      </c>
      <c r="T1274" s="1" t="str" cm="1">
        <f t="array" ref="T1274">_xlfn.IFS(HR_Data[[#This Row],[Total Working Years]]&lt;=5,"Junior", HR_Data[[#This Row],[Total Working Years]]&lt;=15,"Mid-Level", TRUE, "Senior")</f>
        <v>Junior</v>
      </c>
    </row>
    <row r="1275" spans="1:20" x14ac:dyDescent="0.25">
      <c r="A1275" s="1">
        <v>1783</v>
      </c>
      <c r="B1275" s="1">
        <v>22</v>
      </c>
      <c r="C1275" t="s">
        <v>4</v>
      </c>
      <c r="D1275" t="s">
        <v>10</v>
      </c>
      <c r="E1275" t="s">
        <v>15</v>
      </c>
      <c r="F1275" t="s">
        <v>7</v>
      </c>
      <c r="G1275" t="s">
        <v>14</v>
      </c>
      <c r="H1275" s="1">
        <v>1</v>
      </c>
      <c r="I1275" s="1">
        <v>2398</v>
      </c>
      <c r="J1275" t="s">
        <v>4</v>
      </c>
      <c r="K1275" s="1">
        <v>17</v>
      </c>
      <c r="L1275" s="1">
        <v>3</v>
      </c>
      <c r="M1275" s="1">
        <v>1</v>
      </c>
      <c r="N1275" s="1">
        <v>3</v>
      </c>
      <c r="O1275" s="1">
        <v>1</v>
      </c>
      <c r="P1275" s="1">
        <f>COUNTIF(HR_Data[Employee Number],HR_Data[[#This Row],[Employee Number]])</f>
        <v>1</v>
      </c>
      <c r="Q1275" s="1" t="str">
        <f>IF(HR_Data[[#This Row],[Years At Company]]&lt;=HR_Data[[#This Row],[Total Working Years]],"Valid","error")</f>
        <v>Valid</v>
      </c>
      <c r="R1275" s="1" t="str" cm="1">
        <f t="array" ref="R1275">_xlfn.IFS(HR_Data[[#This Row],[Age]]&lt;=30,"Young", HR_Data[[#This Row],[Age]]&lt;=45,"Mid-Age",HR_Data[[#This Row],[Age]]&gt;45,"Senior")</f>
        <v>Young</v>
      </c>
      <c r="S1275" s="1" t="str" cm="1">
        <f t="array" ref="S1275">_xlfn.IFS(HR_Data[[#This Row],[Monthly Income]]&lt;5000,"Low", HR_Data[[#This Row],[Monthly Income]]&lt;10000,"Medium",TRUE,"High")</f>
        <v>Low</v>
      </c>
      <c r="T1275" s="1" t="str" cm="1">
        <f t="array" ref="T1275">_xlfn.IFS(HR_Data[[#This Row],[Total Working Years]]&lt;=5,"Junior", HR_Data[[#This Row],[Total Working Years]]&lt;=15,"Mid-Level", TRUE, "Senior")</f>
        <v>Junior</v>
      </c>
    </row>
    <row r="1276" spans="1:20" x14ac:dyDescent="0.25">
      <c r="A1276" s="1">
        <v>1784</v>
      </c>
      <c r="B1276" s="1">
        <v>31</v>
      </c>
      <c r="C1276" t="s">
        <v>9</v>
      </c>
      <c r="D1276" t="s">
        <v>5</v>
      </c>
      <c r="E1276" t="s">
        <v>21</v>
      </c>
      <c r="F1276" t="s">
        <v>7</v>
      </c>
      <c r="G1276" t="s">
        <v>8</v>
      </c>
      <c r="H1276" s="1">
        <v>4</v>
      </c>
      <c r="I1276" s="1">
        <v>5468</v>
      </c>
      <c r="J1276" t="s">
        <v>9</v>
      </c>
      <c r="K1276" s="1">
        <v>14</v>
      </c>
      <c r="L1276" s="1">
        <v>3</v>
      </c>
      <c r="M1276" s="1">
        <v>13</v>
      </c>
      <c r="N1276" s="1">
        <v>3</v>
      </c>
      <c r="O1276" s="1">
        <v>12</v>
      </c>
      <c r="P1276" s="1">
        <f>COUNTIF(HR_Data[Employee Number],HR_Data[[#This Row],[Employee Number]])</f>
        <v>1</v>
      </c>
      <c r="Q1276" s="1" t="str">
        <f>IF(HR_Data[[#This Row],[Years At Company]]&lt;=HR_Data[[#This Row],[Total Working Years]],"Valid","error")</f>
        <v>Valid</v>
      </c>
      <c r="R1276" s="1" t="str" cm="1">
        <f t="array" ref="R1276">_xlfn.IFS(HR_Data[[#This Row],[Age]]&lt;=30,"Young", HR_Data[[#This Row],[Age]]&lt;=45,"Mid-Age",HR_Data[[#This Row],[Age]]&gt;45,"Senior")</f>
        <v>Mid-Age</v>
      </c>
      <c r="S1276" s="1" t="str" cm="1">
        <f t="array" ref="S1276">_xlfn.IFS(HR_Data[[#This Row],[Monthly Income]]&lt;5000,"Low", HR_Data[[#This Row],[Monthly Income]]&lt;10000,"Medium",TRUE,"High")</f>
        <v>Medium</v>
      </c>
      <c r="T1276" s="1" t="str" cm="1">
        <f t="array" ref="T1276">_xlfn.IFS(HR_Data[[#This Row],[Total Working Years]]&lt;=5,"Junior", HR_Data[[#This Row],[Total Working Years]]&lt;=15,"Mid-Level", TRUE, "Senior")</f>
        <v>Mid-Level</v>
      </c>
    </row>
    <row r="1277" spans="1:20" x14ac:dyDescent="0.25">
      <c r="A1277" s="1">
        <v>1786</v>
      </c>
      <c r="B1277" s="1">
        <v>51</v>
      </c>
      <c r="C1277" t="s">
        <v>9</v>
      </c>
      <c r="D1277" t="s">
        <v>10</v>
      </c>
      <c r="E1277" t="s">
        <v>22</v>
      </c>
      <c r="F1277" t="s">
        <v>7</v>
      </c>
      <c r="G1277" t="s">
        <v>18</v>
      </c>
      <c r="H1277" s="1">
        <v>3</v>
      </c>
      <c r="I1277" s="1">
        <v>13116</v>
      </c>
      <c r="J1277" t="s">
        <v>9</v>
      </c>
      <c r="K1277" s="1">
        <v>11</v>
      </c>
      <c r="L1277" s="1">
        <v>3</v>
      </c>
      <c r="M1277" s="1">
        <v>15</v>
      </c>
      <c r="N1277" s="1">
        <v>3</v>
      </c>
      <c r="O1277" s="1">
        <v>2</v>
      </c>
      <c r="P1277" s="1">
        <f>COUNTIF(HR_Data[Employee Number],HR_Data[[#This Row],[Employee Number]])</f>
        <v>1</v>
      </c>
      <c r="Q1277" s="1" t="str">
        <f>IF(HR_Data[[#This Row],[Years At Company]]&lt;=HR_Data[[#This Row],[Total Working Years]],"Valid","error")</f>
        <v>Valid</v>
      </c>
      <c r="R1277" s="1" t="str" cm="1">
        <f t="array" ref="R1277">_xlfn.IFS(HR_Data[[#This Row],[Age]]&lt;=30,"Young", HR_Data[[#This Row],[Age]]&lt;=45,"Mid-Age",HR_Data[[#This Row],[Age]]&gt;45,"Senior")</f>
        <v>Senior</v>
      </c>
      <c r="S1277" s="1" t="str" cm="1">
        <f t="array" ref="S1277">_xlfn.IFS(HR_Data[[#This Row],[Monthly Income]]&lt;5000,"Low", HR_Data[[#This Row],[Monthly Income]]&lt;10000,"Medium",TRUE,"High")</f>
        <v>High</v>
      </c>
      <c r="T1277" s="1" t="str" cm="1">
        <f t="array" ref="T1277">_xlfn.IFS(HR_Data[[#This Row],[Total Working Years]]&lt;=5,"Junior", HR_Data[[#This Row],[Total Working Years]]&lt;=15,"Mid-Level", TRUE, "Senior")</f>
        <v>Mid-Level</v>
      </c>
    </row>
    <row r="1278" spans="1:20" x14ac:dyDescent="0.25">
      <c r="A1278" s="1">
        <v>1787</v>
      </c>
      <c r="B1278" s="1">
        <v>37</v>
      </c>
      <c r="C1278" t="s">
        <v>9</v>
      </c>
      <c r="D1278" t="s">
        <v>5</v>
      </c>
      <c r="E1278" t="s">
        <v>21</v>
      </c>
      <c r="F1278" t="s">
        <v>11</v>
      </c>
      <c r="G1278" t="s">
        <v>8</v>
      </c>
      <c r="H1278" s="1">
        <v>2</v>
      </c>
      <c r="I1278" s="1">
        <v>4189</v>
      </c>
      <c r="J1278" t="s">
        <v>9</v>
      </c>
      <c r="K1278" s="1">
        <v>14</v>
      </c>
      <c r="L1278" s="1">
        <v>3</v>
      </c>
      <c r="M1278" s="1">
        <v>5</v>
      </c>
      <c r="N1278" s="1">
        <v>3</v>
      </c>
      <c r="O1278" s="1">
        <v>5</v>
      </c>
      <c r="P1278" s="1">
        <f>COUNTIF(HR_Data[Employee Number],HR_Data[[#This Row],[Employee Number]])</f>
        <v>1</v>
      </c>
      <c r="Q1278" s="1" t="str">
        <f>IF(HR_Data[[#This Row],[Years At Company]]&lt;=HR_Data[[#This Row],[Total Working Years]],"Valid","error")</f>
        <v>Valid</v>
      </c>
      <c r="R1278" s="1" t="str" cm="1">
        <f t="array" ref="R1278">_xlfn.IFS(HR_Data[[#This Row],[Age]]&lt;=30,"Young", HR_Data[[#This Row],[Age]]&lt;=45,"Mid-Age",HR_Data[[#This Row],[Age]]&gt;45,"Senior")</f>
        <v>Mid-Age</v>
      </c>
      <c r="S1278" s="1" t="str" cm="1">
        <f t="array" ref="S1278">_xlfn.IFS(HR_Data[[#This Row],[Monthly Income]]&lt;5000,"Low", HR_Data[[#This Row],[Monthly Income]]&lt;10000,"Medium",TRUE,"High")</f>
        <v>Low</v>
      </c>
      <c r="T1278" s="1" t="str" cm="1">
        <f t="array" ref="T1278">_xlfn.IFS(HR_Data[[#This Row],[Total Working Years]]&lt;=5,"Junior", HR_Data[[#This Row],[Total Working Years]]&lt;=15,"Mid-Level", TRUE, "Senior")</f>
        <v>Junior</v>
      </c>
    </row>
    <row r="1279" spans="1:20" x14ac:dyDescent="0.25">
      <c r="A1279" s="1">
        <v>1789</v>
      </c>
      <c r="B1279" s="1">
        <v>46</v>
      </c>
      <c r="C1279" t="s">
        <v>9</v>
      </c>
      <c r="D1279" t="s">
        <v>10</v>
      </c>
      <c r="E1279" t="s">
        <v>15</v>
      </c>
      <c r="F1279" t="s">
        <v>11</v>
      </c>
      <c r="G1279" t="s">
        <v>20</v>
      </c>
      <c r="H1279" s="1">
        <v>4</v>
      </c>
      <c r="I1279" s="1">
        <v>19328</v>
      </c>
      <c r="J1279" t="s">
        <v>4</v>
      </c>
      <c r="K1279" s="1">
        <v>17</v>
      </c>
      <c r="L1279" s="1">
        <v>3</v>
      </c>
      <c r="M1279" s="1">
        <v>24</v>
      </c>
      <c r="N1279" s="1">
        <v>3</v>
      </c>
      <c r="O1279" s="1">
        <v>2</v>
      </c>
      <c r="P1279" s="1">
        <f>COUNTIF(HR_Data[Employee Number],HR_Data[[#This Row],[Employee Number]])</f>
        <v>1</v>
      </c>
      <c r="Q1279" s="1" t="str">
        <f>IF(HR_Data[[#This Row],[Years At Company]]&lt;=HR_Data[[#This Row],[Total Working Years]],"Valid","error")</f>
        <v>Valid</v>
      </c>
      <c r="R1279" s="1" t="str" cm="1">
        <f t="array" ref="R1279">_xlfn.IFS(HR_Data[[#This Row],[Age]]&lt;=30,"Young", HR_Data[[#This Row],[Age]]&lt;=45,"Mid-Age",HR_Data[[#This Row],[Age]]&gt;45,"Senior")</f>
        <v>Senior</v>
      </c>
      <c r="S1279" s="1" t="str" cm="1">
        <f t="array" ref="S1279">_xlfn.IFS(HR_Data[[#This Row],[Monthly Income]]&lt;5000,"Low", HR_Data[[#This Row],[Monthly Income]]&lt;10000,"Medium",TRUE,"High")</f>
        <v>High</v>
      </c>
      <c r="T1279" s="1" t="str" cm="1">
        <f t="array" ref="T1279">_xlfn.IFS(HR_Data[[#This Row],[Total Working Years]]&lt;=5,"Junior", HR_Data[[#This Row],[Total Working Years]]&lt;=15,"Mid-Level", TRUE, "Senior")</f>
        <v>Senior</v>
      </c>
    </row>
    <row r="1280" spans="1:20" x14ac:dyDescent="0.25">
      <c r="A1280" s="1">
        <v>1790</v>
      </c>
      <c r="B1280" s="1">
        <v>36</v>
      </c>
      <c r="C1280" t="s">
        <v>9</v>
      </c>
      <c r="D1280" t="s">
        <v>10</v>
      </c>
      <c r="E1280" t="s">
        <v>6</v>
      </c>
      <c r="F1280" t="s">
        <v>11</v>
      </c>
      <c r="G1280" t="s">
        <v>17</v>
      </c>
      <c r="H1280" s="1">
        <v>1</v>
      </c>
      <c r="I1280" s="1">
        <v>8321</v>
      </c>
      <c r="J1280" t="s">
        <v>4</v>
      </c>
      <c r="K1280" s="1">
        <v>13</v>
      </c>
      <c r="L1280" s="1">
        <v>3</v>
      </c>
      <c r="M1280" s="1">
        <v>15</v>
      </c>
      <c r="N1280" s="1">
        <v>3</v>
      </c>
      <c r="O1280" s="1">
        <v>12</v>
      </c>
      <c r="P1280" s="1">
        <f>COUNTIF(HR_Data[Employee Number],HR_Data[[#This Row],[Employee Number]])</f>
        <v>1</v>
      </c>
      <c r="Q1280" s="1" t="str">
        <f>IF(HR_Data[[#This Row],[Years At Company]]&lt;=HR_Data[[#This Row],[Total Working Years]],"Valid","error")</f>
        <v>Valid</v>
      </c>
      <c r="R1280" s="1" t="str" cm="1">
        <f t="array" ref="R1280">_xlfn.IFS(HR_Data[[#This Row],[Age]]&lt;=30,"Young", HR_Data[[#This Row],[Age]]&lt;=45,"Mid-Age",HR_Data[[#This Row],[Age]]&gt;45,"Senior")</f>
        <v>Mid-Age</v>
      </c>
      <c r="S1280" s="1" t="str" cm="1">
        <f t="array" ref="S1280">_xlfn.IFS(HR_Data[[#This Row],[Monthly Income]]&lt;5000,"Low", HR_Data[[#This Row],[Monthly Income]]&lt;10000,"Medium",TRUE,"High")</f>
        <v>Medium</v>
      </c>
      <c r="T1280" s="1" t="str" cm="1">
        <f t="array" ref="T1280">_xlfn.IFS(HR_Data[[#This Row],[Total Working Years]]&lt;=5,"Junior", HR_Data[[#This Row],[Total Working Years]]&lt;=15,"Mid-Level", TRUE, "Senior")</f>
        <v>Mid-Level</v>
      </c>
    </row>
    <row r="1281" spans="1:20" x14ac:dyDescent="0.25">
      <c r="A1281" s="1">
        <v>1792</v>
      </c>
      <c r="B1281" s="1">
        <v>44</v>
      </c>
      <c r="C1281" t="s">
        <v>4</v>
      </c>
      <c r="D1281" t="s">
        <v>10</v>
      </c>
      <c r="E1281" t="s">
        <v>15</v>
      </c>
      <c r="F1281" t="s">
        <v>11</v>
      </c>
      <c r="G1281" t="s">
        <v>12</v>
      </c>
      <c r="H1281" s="1">
        <v>2</v>
      </c>
      <c r="I1281" s="1">
        <v>2342</v>
      </c>
      <c r="J1281" t="s">
        <v>4</v>
      </c>
      <c r="K1281" s="1">
        <v>12</v>
      </c>
      <c r="L1281" s="1">
        <v>3</v>
      </c>
      <c r="M1281" s="1">
        <v>6</v>
      </c>
      <c r="N1281" s="1">
        <v>2</v>
      </c>
      <c r="O1281" s="1">
        <v>5</v>
      </c>
      <c r="P1281" s="1">
        <f>COUNTIF(HR_Data[Employee Number],HR_Data[[#This Row],[Employee Number]])</f>
        <v>1</v>
      </c>
      <c r="Q1281" s="1" t="str">
        <f>IF(HR_Data[[#This Row],[Years At Company]]&lt;=HR_Data[[#This Row],[Total Working Years]],"Valid","error")</f>
        <v>Valid</v>
      </c>
      <c r="R1281" s="1" t="str" cm="1">
        <f t="array" ref="R1281">_xlfn.IFS(HR_Data[[#This Row],[Age]]&lt;=30,"Young", HR_Data[[#This Row],[Age]]&lt;=45,"Mid-Age",HR_Data[[#This Row],[Age]]&gt;45,"Senior")</f>
        <v>Mid-Age</v>
      </c>
      <c r="S1281" s="1" t="str" cm="1">
        <f t="array" ref="S1281">_xlfn.IFS(HR_Data[[#This Row],[Monthly Income]]&lt;5000,"Low", HR_Data[[#This Row],[Monthly Income]]&lt;10000,"Medium",TRUE,"High")</f>
        <v>Low</v>
      </c>
      <c r="T1281" s="1" t="str" cm="1">
        <f t="array" ref="T1281">_xlfn.IFS(HR_Data[[#This Row],[Total Working Years]]&lt;=5,"Junior", HR_Data[[#This Row],[Total Working Years]]&lt;=15,"Mid-Level", TRUE, "Senior")</f>
        <v>Mid-Level</v>
      </c>
    </row>
    <row r="1282" spans="1:20" x14ac:dyDescent="0.25">
      <c r="A1282" s="1">
        <v>1794</v>
      </c>
      <c r="B1282" s="1">
        <v>37</v>
      </c>
      <c r="C1282" t="s">
        <v>9</v>
      </c>
      <c r="D1282" t="s">
        <v>23</v>
      </c>
      <c r="E1282" t="s">
        <v>13</v>
      </c>
      <c r="F1282" t="s">
        <v>11</v>
      </c>
      <c r="G1282" t="s">
        <v>23</v>
      </c>
      <c r="H1282" s="1">
        <v>2</v>
      </c>
      <c r="I1282" s="1">
        <v>4071</v>
      </c>
      <c r="J1282" t="s">
        <v>9</v>
      </c>
      <c r="K1282" s="1">
        <v>13</v>
      </c>
      <c r="L1282" s="1">
        <v>3</v>
      </c>
      <c r="M1282" s="1">
        <v>19</v>
      </c>
      <c r="N1282" s="1">
        <v>2</v>
      </c>
      <c r="O1282" s="1">
        <v>10</v>
      </c>
      <c r="P1282" s="1">
        <f>COUNTIF(HR_Data[Employee Number],HR_Data[[#This Row],[Employee Number]])</f>
        <v>1</v>
      </c>
      <c r="Q1282" s="1" t="str">
        <f>IF(HR_Data[[#This Row],[Years At Company]]&lt;=HR_Data[[#This Row],[Total Working Years]],"Valid","error")</f>
        <v>Valid</v>
      </c>
      <c r="R1282" s="1" t="str" cm="1">
        <f t="array" ref="R1282">_xlfn.IFS(HR_Data[[#This Row],[Age]]&lt;=30,"Young", HR_Data[[#This Row],[Age]]&lt;=45,"Mid-Age",HR_Data[[#This Row],[Age]]&gt;45,"Senior")</f>
        <v>Mid-Age</v>
      </c>
      <c r="S1282" s="1" t="str" cm="1">
        <f t="array" ref="S1282">_xlfn.IFS(HR_Data[[#This Row],[Monthly Income]]&lt;5000,"Low", HR_Data[[#This Row],[Monthly Income]]&lt;10000,"Medium",TRUE,"High")</f>
        <v>Low</v>
      </c>
      <c r="T1282" s="1" t="str" cm="1">
        <f t="array" ref="T1282">_xlfn.IFS(HR_Data[[#This Row],[Total Working Years]]&lt;=5,"Junior", HR_Data[[#This Row],[Total Working Years]]&lt;=15,"Mid-Level", TRUE, "Senior")</f>
        <v>Senior</v>
      </c>
    </row>
    <row r="1283" spans="1:20" x14ac:dyDescent="0.25">
      <c r="A1283" s="1">
        <v>1797</v>
      </c>
      <c r="B1283" s="1">
        <v>35</v>
      </c>
      <c r="C1283" t="s">
        <v>4</v>
      </c>
      <c r="D1283" t="s">
        <v>5</v>
      </c>
      <c r="E1283" t="s">
        <v>6</v>
      </c>
      <c r="F1283" t="s">
        <v>11</v>
      </c>
      <c r="G1283" t="s">
        <v>8</v>
      </c>
      <c r="H1283" s="1">
        <v>4</v>
      </c>
      <c r="I1283" s="1">
        <v>5813</v>
      </c>
      <c r="J1283" t="s">
        <v>4</v>
      </c>
      <c r="K1283" s="1">
        <v>18</v>
      </c>
      <c r="L1283" s="1">
        <v>3</v>
      </c>
      <c r="M1283" s="1">
        <v>10</v>
      </c>
      <c r="N1283" s="1">
        <v>3</v>
      </c>
      <c r="O1283" s="1">
        <v>10</v>
      </c>
      <c r="P1283" s="1">
        <f>COUNTIF(HR_Data[Employee Number],HR_Data[[#This Row],[Employee Number]])</f>
        <v>1</v>
      </c>
      <c r="Q1283" s="1" t="str">
        <f>IF(HR_Data[[#This Row],[Years At Company]]&lt;=HR_Data[[#This Row],[Total Working Years]],"Valid","error")</f>
        <v>Valid</v>
      </c>
      <c r="R1283" s="1" t="str" cm="1">
        <f t="array" ref="R1283">_xlfn.IFS(HR_Data[[#This Row],[Age]]&lt;=30,"Young", HR_Data[[#This Row],[Age]]&lt;=45,"Mid-Age",HR_Data[[#This Row],[Age]]&gt;45,"Senior")</f>
        <v>Mid-Age</v>
      </c>
      <c r="S1283" s="1" t="str" cm="1">
        <f t="array" ref="S1283">_xlfn.IFS(HR_Data[[#This Row],[Monthly Income]]&lt;5000,"Low", HR_Data[[#This Row],[Monthly Income]]&lt;10000,"Medium",TRUE,"High")</f>
        <v>Medium</v>
      </c>
      <c r="T1283" s="1" t="str" cm="1">
        <f t="array" ref="T1283">_xlfn.IFS(HR_Data[[#This Row],[Total Working Years]]&lt;=5,"Junior", HR_Data[[#This Row],[Total Working Years]]&lt;=15,"Mid-Level", TRUE, "Senior")</f>
        <v>Mid-Level</v>
      </c>
    </row>
    <row r="1284" spans="1:20" x14ac:dyDescent="0.25">
      <c r="A1284" s="1">
        <v>1798</v>
      </c>
      <c r="B1284" s="1">
        <v>33</v>
      </c>
      <c r="C1284" t="s">
        <v>9</v>
      </c>
      <c r="D1284" t="s">
        <v>10</v>
      </c>
      <c r="E1284" t="s">
        <v>6</v>
      </c>
      <c r="F1284" t="s">
        <v>11</v>
      </c>
      <c r="G1284" t="s">
        <v>12</v>
      </c>
      <c r="H1284" s="1">
        <v>1</v>
      </c>
      <c r="I1284" s="1">
        <v>3143</v>
      </c>
      <c r="J1284" t="s">
        <v>9</v>
      </c>
      <c r="K1284" s="1">
        <v>19</v>
      </c>
      <c r="L1284" s="1">
        <v>3</v>
      </c>
      <c r="M1284" s="1">
        <v>14</v>
      </c>
      <c r="N1284" s="1">
        <v>3</v>
      </c>
      <c r="O1284" s="1">
        <v>10</v>
      </c>
      <c r="P1284" s="1">
        <f>COUNTIF(HR_Data[Employee Number],HR_Data[[#This Row],[Employee Number]])</f>
        <v>1</v>
      </c>
      <c r="Q1284" s="1" t="str">
        <f>IF(HR_Data[[#This Row],[Years At Company]]&lt;=HR_Data[[#This Row],[Total Working Years]],"Valid","error")</f>
        <v>Valid</v>
      </c>
      <c r="R1284" s="1" t="str" cm="1">
        <f t="array" ref="R1284">_xlfn.IFS(HR_Data[[#This Row],[Age]]&lt;=30,"Young", HR_Data[[#This Row],[Age]]&lt;=45,"Mid-Age",HR_Data[[#This Row],[Age]]&gt;45,"Senior")</f>
        <v>Mid-Age</v>
      </c>
      <c r="S1284" s="1" t="str" cm="1">
        <f t="array" ref="S1284">_xlfn.IFS(HR_Data[[#This Row],[Monthly Income]]&lt;5000,"Low", HR_Data[[#This Row],[Monthly Income]]&lt;10000,"Medium",TRUE,"High")</f>
        <v>Low</v>
      </c>
      <c r="T1284" s="1" t="str" cm="1">
        <f t="array" ref="T1284">_xlfn.IFS(HR_Data[[#This Row],[Total Working Years]]&lt;=5,"Junior", HR_Data[[#This Row],[Total Working Years]]&lt;=15,"Mid-Level", TRUE, "Senior")</f>
        <v>Mid-Level</v>
      </c>
    </row>
    <row r="1285" spans="1:20" x14ac:dyDescent="0.25">
      <c r="A1285" s="1">
        <v>1799</v>
      </c>
      <c r="B1285" s="1">
        <v>28</v>
      </c>
      <c r="C1285" t="s">
        <v>9</v>
      </c>
      <c r="D1285" t="s">
        <v>10</v>
      </c>
      <c r="E1285" t="s">
        <v>6</v>
      </c>
      <c r="F1285" t="s">
        <v>11</v>
      </c>
      <c r="G1285" t="s">
        <v>12</v>
      </c>
      <c r="H1285" s="1">
        <v>4</v>
      </c>
      <c r="I1285" s="1">
        <v>2044</v>
      </c>
      <c r="J1285" t="s">
        <v>9</v>
      </c>
      <c r="K1285" s="1">
        <v>11</v>
      </c>
      <c r="L1285" s="1">
        <v>3</v>
      </c>
      <c r="M1285" s="1">
        <v>5</v>
      </c>
      <c r="N1285" s="1">
        <v>4</v>
      </c>
      <c r="O1285" s="1">
        <v>5</v>
      </c>
      <c r="P1285" s="1">
        <f>COUNTIF(HR_Data[Employee Number],HR_Data[[#This Row],[Employee Number]])</f>
        <v>1</v>
      </c>
      <c r="Q1285" s="1" t="str">
        <f>IF(HR_Data[[#This Row],[Years At Company]]&lt;=HR_Data[[#This Row],[Total Working Years]],"Valid","error")</f>
        <v>Valid</v>
      </c>
      <c r="R1285" s="1" t="str" cm="1">
        <f t="array" ref="R1285">_xlfn.IFS(HR_Data[[#This Row],[Age]]&lt;=30,"Young", HR_Data[[#This Row],[Age]]&lt;=45,"Mid-Age",HR_Data[[#This Row],[Age]]&gt;45,"Senior")</f>
        <v>Young</v>
      </c>
      <c r="S1285" s="1" t="str" cm="1">
        <f t="array" ref="S1285">_xlfn.IFS(HR_Data[[#This Row],[Monthly Income]]&lt;5000,"Low", HR_Data[[#This Row],[Monthly Income]]&lt;10000,"Medium",TRUE,"High")</f>
        <v>Low</v>
      </c>
      <c r="T1285" s="1" t="str" cm="1">
        <f t="array" ref="T1285">_xlfn.IFS(HR_Data[[#This Row],[Total Working Years]]&lt;=5,"Junior", HR_Data[[#This Row],[Total Working Years]]&lt;=15,"Mid-Level", TRUE, "Senior")</f>
        <v>Junior</v>
      </c>
    </row>
    <row r="1286" spans="1:20" x14ac:dyDescent="0.25">
      <c r="A1286" s="1">
        <v>1800</v>
      </c>
      <c r="B1286" s="1">
        <v>39</v>
      </c>
      <c r="C1286" t="s">
        <v>9</v>
      </c>
      <c r="D1286" t="s">
        <v>10</v>
      </c>
      <c r="E1286" t="s">
        <v>15</v>
      </c>
      <c r="F1286" t="s">
        <v>11</v>
      </c>
      <c r="G1286" t="s">
        <v>20</v>
      </c>
      <c r="H1286" s="1">
        <v>3</v>
      </c>
      <c r="I1286" s="1">
        <v>13464</v>
      </c>
      <c r="J1286" t="s">
        <v>9</v>
      </c>
      <c r="K1286" s="1">
        <v>21</v>
      </c>
      <c r="L1286" s="1">
        <v>4</v>
      </c>
      <c r="M1286" s="1">
        <v>9</v>
      </c>
      <c r="N1286" s="1">
        <v>3</v>
      </c>
      <c r="O1286" s="1">
        <v>4</v>
      </c>
      <c r="P1286" s="1">
        <f>COUNTIF(HR_Data[Employee Number],HR_Data[[#This Row],[Employee Number]])</f>
        <v>1</v>
      </c>
      <c r="Q1286" s="1" t="str">
        <f>IF(HR_Data[[#This Row],[Years At Company]]&lt;=HR_Data[[#This Row],[Total Working Years]],"Valid","error")</f>
        <v>Valid</v>
      </c>
      <c r="R1286" s="1" t="str" cm="1">
        <f t="array" ref="R1286">_xlfn.IFS(HR_Data[[#This Row],[Age]]&lt;=30,"Young", HR_Data[[#This Row],[Age]]&lt;=45,"Mid-Age",HR_Data[[#This Row],[Age]]&gt;45,"Senior")</f>
        <v>Mid-Age</v>
      </c>
      <c r="S1286" s="1" t="str" cm="1">
        <f t="array" ref="S1286">_xlfn.IFS(HR_Data[[#This Row],[Monthly Income]]&lt;5000,"Low", HR_Data[[#This Row],[Monthly Income]]&lt;10000,"Medium",TRUE,"High")</f>
        <v>High</v>
      </c>
      <c r="T1286" s="1" t="str" cm="1">
        <f t="array" ref="T1286">_xlfn.IFS(HR_Data[[#This Row],[Total Working Years]]&lt;=5,"Junior", HR_Data[[#This Row],[Total Working Years]]&lt;=15,"Mid-Level", TRUE, "Senior")</f>
        <v>Mid-Level</v>
      </c>
    </row>
    <row r="1287" spans="1:20" x14ac:dyDescent="0.25">
      <c r="A1287" s="1">
        <v>1801</v>
      </c>
      <c r="B1287" s="1">
        <v>46</v>
      </c>
      <c r="C1287" t="s">
        <v>9</v>
      </c>
      <c r="D1287" t="s">
        <v>5</v>
      </c>
      <c r="E1287" t="s">
        <v>6</v>
      </c>
      <c r="F1287" t="s">
        <v>11</v>
      </c>
      <c r="G1287" t="s">
        <v>8</v>
      </c>
      <c r="H1287" s="1">
        <v>2</v>
      </c>
      <c r="I1287" s="1">
        <v>7991</v>
      </c>
      <c r="J1287" t="s">
        <v>9</v>
      </c>
      <c r="K1287" s="1">
        <v>15</v>
      </c>
      <c r="L1287" s="1">
        <v>3</v>
      </c>
      <c r="M1287" s="1">
        <v>6</v>
      </c>
      <c r="N1287" s="1">
        <v>3</v>
      </c>
      <c r="O1287" s="1">
        <v>2</v>
      </c>
      <c r="P1287" s="1">
        <f>COUNTIF(HR_Data[Employee Number],HR_Data[[#This Row],[Employee Number]])</f>
        <v>1</v>
      </c>
      <c r="Q1287" s="1" t="str">
        <f>IF(HR_Data[[#This Row],[Years At Company]]&lt;=HR_Data[[#This Row],[Total Working Years]],"Valid","error")</f>
        <v>Valid</v>
      </c>
      <c r="R1287" s="1" t="str" cm="1">
        <f t="array" ref="R1287">_xlfn.IFS(HR_Data[[#This Row],[Age]]&lt;=30,"Young", HR_Data[[#This Row],[Age]]&lt;=45,"Mid-Age",HR_Data[[#This Row],[Age]]&gt;45,"Senior")</f>
        <v>Senior</v>
      </c>
      <c r="S1287" s="1" t="str" cm="1">
        <f t="array" ref="S1287">_xlfn.IFS(HR_Data[[#This Row],[Monthly Income]]&lt;5000,"Low", HR_Data[[#This Row],[Monthly Income]]&lt;10000,"Medium",TRUE,"High")</f>
        <v>Medium</v>
      </c>
      <c r="T1287" s="1" t="str" cm="1">
        <f t="array" ref="T1287">_xlfn.IFS(HR_Data[[#This Row],[Total Working Years]]&lt;=5,"Junior", HR_Data[[#This Row],[Total Working Years]]&lt;=15,"Mid-Level", TRUE, "Senior")</f>
        <v>Mid-Level</v>
      </c>
    </row>
    <row r="1288" spans="1:20" x14ac:dyDescent="0.25">
      <c r="A1288" s="1">
        <v>1802</v>
      </c>
      <c r="B1288" s="1">
        <v>40</v>
      </c>
      <c r="C1288" t="s">
        <v>9</v>
      </c>
      <c r="D1288" t="s">
        <v>10</v>
      </c>
      <c r="E1288" t="s">
        <v>6</v>
      </c>
      <c r="F1288" t="s">
        <v>7</v>
      </c>
      <c r="G1288" t="s">
        <v>14</v>
      </c>
      <c r="H1288" s="1">
        <v>1</v>
      </c>
      <c r="I1288" s="1">
        <v>3377</v>
      </c>
      <c r="J1288" t="s">
        <v>9</v>
      </c>
      <c r="K1288" s="1">
        <v>17</v>
      </c>
      <c r="L1288" s="1">
        <v>3</v>
      </c>
      <c r="M1288" s="1">
        <v>7</v>
      </c>
      <c r="N1288" s="1">
        <v>2</v>
      </c>
      <c r="O1288" s="1">
        <v>4</v>
      </c>
      <c r="P1288" s="1">
        <f>COUNTIF(HR_Data[Employee Number],HR_Data[[#This Row],[Employee Number]])</f>
        <v>1</v>
      </c>
      <c r="Q1288" s="1" t="str">
        <f>IF(HR_Data[[#This Row],[Years At Company]]&lt;=HR_Data[[#This Row],[Total Working Years]],"Valid","error")</f>
        <v>Valid</v>
      </c>
      <c r="R1288" s="1" t="str" cm="1">
        <f t="array" ref="R1288">_xlfn.IFS(HR_Data[[#This Row],[Age]]&lt;=30,"Young", HR_Data[[#This Row],[Age]]&lt;=45,"Mid-Age",HR_Data[[#This Row],[Age]]&gt;45,"Senior")</f>
        <v>Mid-Age</v>
      </c>
      <c r="S1288" s="1" t="str" cm="1">
        <f t="array" ref="S1288">_xlfn.IFS(HR_Data[[#This Row],[Monthly Income]]&lt;5000,"Low", HR_Data[[#This Row],[Monthly Income]]&lt;10000,"Medium",TRUE,"High")</f>
        <v>Low</v>
      </c>
      <c r="T1288" s="1" t="str" cm="1">
        <f t="array" ref="T1288">_xlfn.IFS(HR_Data[[#This Row],[Total Working Years]]&lt;=5,"Junior", HR_Data[[#This Row],[Total Working Years]]&lt;=15,"Mid-Level", TRUE, "Senior")</f>
        <v>Mid-Level</v>
      </c>
    </row>
    <row r="1289" spans="1:20" x14ac:dyDescent="0.25">
      <c r="A1289" s="1">
        <v>1803</v>
      </c>
      <c r="B1289" s="1">
        <v>42</v>
      </c>
      <c r="C1289" t="s">
        <v>9</v>
      </c>
      <c r="D1289" t="s">
        <v>10</v>
      </c>
      <c r="E1289" t="s">
        <v>15</v>
      </c>
      <c r="F1289" t="s">
        <v>11</v>
      </c>
      <c r="G1289" t="s">
        <v>17</v>
      </c>
      <c r="H1289" s="1">
        <v>1</v>
      </c>
      <c r="I1289" s="1">
        <v>5538</v>
      </c>
      <c r="J1289" t="s">
        <v>9</v>
      </c>
      <c r="K1289" s="1">
        <v>18</v>
      </c>
      <c r="L1289" s="1">
        <v>3</v>
      </c>
      <c r="M1289" s="1">
        <v>10</v>
      </c>
      <c r="N1289" s="1">
        <v>2</v>
      </c>
      <c r="O1289" s="1">
        <v>0</v>
      </c>
      <c r="P1289" s="1">
        <f>COUNTIF(HR_Data[Employee Number],HR_Data[[#This Row],[Employee Number]])</f>
        <v>1</v>
      </c>
      <c r="Q1289" s="1" t="str">
        <f>IF(HR_Data[[#This Row],[Years At Company]]&lt;=HR_Data[[#This Row],[Total Working Years]],"Valid","error")</f>
        <v>Valid</v>
      </c>
      <c r="R1289" s="1" t="str" cm="1">
        <f t="array" ref="R1289">_xlfn.IFS(HR_Data[[#This Row],[Age]]&lt;=30,"Young", HR_Data[[#This Row],[Age]]&lt;=45,"Mid-Age",HR_Data[[#This Row],[Age]]&gt;45,"Senior")</f>
        <v>Mid-Age</v>
      </c>
      <c r="S1289" s="1" t="str" cm="1">
        <f t="array" ref="S1289">_xlfn.IFS(HR_Data[[#This Row],[Monthly Income]]&lt;5000,"Low", HR_Data[[#This Row],[Monthly Income]]&lt;10000,"Medium",TRUE,"High")</f>
        <v>Medium</v>
      </c>
      <c r="T1289" s="1" t="str" cm="1">
        <f t="array" ref="T1289">_xlfn.IFS(HR_Data[[#This Row],[Total Working Years]]&lt;=5,"Junior", HR_Data[[#This Row],[Total Working Years]]&lt;=15,"Mid-Level", TRUE, "Senior")</f>
        <v>Mid-Level</v>
      </c>
    </row>
    <row r="1290" spans="1:20" x14ac:dyDescent="0.25">
      <c r="A1290" s="1">
        <v>1804</v>
      </c>
      <c r="B1290" s="1">
        <v>35</v>
      </c>
      <c r="C1290" t="s">
        <v>9</v>
      </c>
      <c r="D1290" t="s">
        <v>10</v>
      </c>
      <c r="E1290" t="s">
        <v>15</v>
      </c>
      <c r="F1290" t="s">
        <v>11</v>
      </c>
      <c r="G1290" t="s">
        <v>16</v>
      </c>
      <c r="H1290" s="1">
        <v>4</v>
      </c>
      <c r="I1290" s="1">
        <v>5762</v>
      </c>
      <c r="J1290" t="s">
        <v>9</v>
      </c>
      <c r="K1290" s="1">
        <v>14</v>
      </c>
      <c r="L1290" s="1">
        <v>3</v>
      </c>
      <c r="M1290" s="1">
        <v>15</v>
      </c>
      <c r="N1290" s="1">
        <v>3</v>
      </c>
      <c r="O1290" s="1">
        <v>7</v>
      </c>
      <c r="P1290" s="1">
        <f>COUNTIF(HR_Data[Employee Number],HR_Data[[#This Row],[Employee Number]])</f>
        <v>1</v>
      </c>
      <c r="Q1290" s="1" t="str">
        <f>IF(HR_Data[[#This Row],[Years At Company]]&lt;=HR_Data[[#This Row],[Total Working Years]],"Valid","error")</f>
        <v>Valid</v>
      </c>
      <c r="R1290" s="1" t="str" cm="1">
        <f t="array" ref="R1290">_xlfn.IFS(HR_Data[[#This Row],[Age]]&lt;=30,"Young", HR_Data[[#This Row],[Age]]&lt;=45,"Mid-Age",HR_Data[[#This Row],[Age]]&gt;45,"Senior")</f>
        <v>Mid-Age</v>
      </c>
      <c r="S1290" s="1" t="str" cm="1">
        <f t="array" ref="S1290">_xlfn.IFS(HR_Data[[#This Row],[Monthly Income]]&lt;5000,"Low", HR_Data[[#This Row],[Monthly Income]]&lt;10000,"Medium",TRUE,"High")</f>
        <v>Medium</v>
      </c>
      <c r="T1290" s="1" t="str" cm="1">
        <f t="array" ref="T1290">_xlfn.IFS(HR_Data[[#This Row],[Total Working Years]]&lt;=5,"Junior", HR_Data[[#This Row],[Total Working Years]]&lt;=15,"Mid-Level", TRUE, "Senior")</f>
        <v>Mid-Level</v>
      </c>
    </row>
    <row r="1291" spans="1:20" x14ac:dyDescent="0.25">
      <c r="A1291" s="1">
        <v>1805</v>
      </c>
      <c r="B1291" s="1">
        <v>38</v>
      </c>
      <c r="C1291" t="s">
        <v>9</v>
      </c>
      <c r="D1291" t="s">
        <v>23</v>
      </c>
      <c r="E1291" t="s">
        <v>23</v>
      </c>
      <c r="F1291" t="s">
        <v>11</v>
      </c>
      <c r="G1291" t="s">
        <v>23</v>
      </c>
      <c r="H1291" s="1">
        <v>2</v>
      </c>
      <c r="I1291" s="1">
        <v>2592</v>
      </c>
      <c r="J1291" t="s">
        <v>9</v>
      </c>
      <c r="K1291" s="1">
        <v>13</v>
      </c>
      <c r="L1291" s="1">
        <v>3</v>
      </c>
      <c r="M1291" s="1">
        <v>13</v>
      </c>
      <c r="N1291" s="1">
        <v>3</v>
      </c>
      <c r="O1291" s="1">
        <v>11</v>
      </c>
      <c r="P1291" s="1">
        <f>COUNTIF(HR_Data[Employee Number],HR_Data[[#This Row],[Employee Number]])</f>
        <v>1</v>
      </c>
      <c r="Q1291" s="1" t="str">
        <f>IF(HR_Data[[#This Row],[Years At Company]]&lt;=HR_Data[[#This Row],[Total Working Years]],"Valid","error")</f>
        <v>Valid</v>
      </c>
      <c r="R1291" s="1" t="str" cm="1">
        <f t="array" ref="R1291">_xlfn.IFS(HR_Data[[#This Row],[Age]]&lt;=30,"Young", HR_Data[[#This Row],[Age]]&lt;=45,"Mid-Age",HR_Data[[#This Row],[Age]]&gt;45,"Senior")</f>
        <v>Mid-Age</v>
      </c>
      <c r="S1291" s="1" t="str" cm="1">
        <f t="array" ref="S1291">_xlfn.IFS(HR_Data[[#This Row],[Monthly Income]]&lt;5000,"Low", HR_Data[[#This Row],[Monthly Income]]&lt;10000,"Medium",TRUE,"High")</f>
        <v>Low</v>
      </c>
      <c r="T1291" s="1" t="str" cm="1">
        <f t="array" ref="T1291">_xlfn.IFS(HR_Data[[#This Row],[Total Working Years]]&lt;=5,"Junior", HR_Data[[#This Row],[Total Working Years]]&lt;=15,"Mid-Level", TRUE, "Senior")</f>
        <v>Mid-Level</v>
      </c>
    </row>
    <row r="1292" spans="1:20" x14ac:dyDescent="0.25">
      <c r="A1292" s="1">
        <v>1807</v>
      </c>
      <c r="B1292" s="1">
        <v>34</v>
      </c>
      <c r="C1292" t="s">
        <v>4</v>
      </c>
      <c r="D1292" t="s">
        <v>10</v>
      </c>
      <c r="E1292" t="s">
        <v>6</v>
      </c>
      <c r="F1292" t="s">
        <v>11</v>
      </c>
      <c r="G1292" t="s">
        <v>14</v>
      </c>
      <c r="H1292" s="1">
        <v>1</v>
      </c>
      <c r="I1292" s="1">
        <v>5346</v>
      </c>
      <c r="J1292" t="s">
        <v>9</v>
      </c>
      <c r="K1292" s="1">
        <v>17</v>
      </c>
      <c r="L1292" s="1">
        <v>3</v>
      </c>
      <c r="M1292" s="1">
        <v>11</v>
      </c>
      <c r="N1292" s="1">
        <v>2</v>
      </c>
      <c r="O1292" s="1">
        <v>7</v>
      </c>
      <c r="P1292" s="1">
        <f>COUNTIF(HR_Data[Employee Number],HR_Data[[#This Row],[Employee Number]])</f>
        <v>1</v>
      </c>
      <c r="Q1292" s="1" t="str">
        <f>IF(HR_Data[[#This Row],[Years At Company]]&lt;=HR_Data[[#This Row],[Total Working Years]],"Valid","error")</f>
        <v>Valid</v>
      </c>
      <c r="R1292" s="1" t="str" cm="1">
        <f t="array" ref="R1292">_xlfn.IFS(HR_Data[[#This Row],[Age]]&lt;=30,"Young", HR_Data[[#This Row],[Age]]&lt;=45,"Mid-Age",HR_Data[[#This Row],[Age]]&gt;45,"Senior")</f>
        <v>Mid-Age</v>
      </c>
      <c r="S1292" s="1" t="str" cm="1">
        <f t="array" ref="S1292">_xlfn.IFS(HR_Data[[#This Row],[Monthly Income]]&lt;5000,"Low", HR_Data[[#This Row],[Monthly Income]]&lt;10000,"Medium",TRUE,"High")</f>
        <v>Medium</v>
      </c>
      <c r="T1292" s="1" t="str" cm="1">
        <f t="array" ref="T1292">_xlfn.IFS(HR_Data[[#This Row],[Total Working Years]]&lt;=5,"Junior", HR_Data[[#This Row],[Total Working Years]]&lt;=15,"Mid-Level", TRUE, "Senior")</f>
        <v>Mid-Level</v>
      </c>
    </row>
    <row r="1293" spans="1:20" x14ac:dyDescent="0.25">
      <c r="A1293" s="1">
        <v>1809</v>
      </c>
      <c r="B1293" s="1">
        <v>37</v>
      </c>
      <c r="C1293" t="s">
        <v>4</v>
      </c>
      <c r="D1293" t="s">
        <v>10</v>
      </c>
      <c r="E1293" t="s">
        <v>15</v>
      </c>
      <c r="F1293" t="s">
        <v>11</v>
      </c>
      <c r="G1293" t="s">
        <v>16</v>
      </c>
      <c r="H1293" s="1">
        <v>1</v>
      </c>
      <c r="I1293" s="1">
        <v>4213</v>
      </c>
      <c r="J1293" t="s">
        <v>9</v>
      </c>
      <c r="K1293" s="1">
        <v>15</v>
      </c>
      <c r="L1293" s="1">
        <v>3</v>
      </c>
      <c r="M1293" s="1">
        <v>10</v>
      </c>
      <c r="N1293" s="1">
        <v>1</v>
      </c>
      <c r="O1293" s="1">
        <v>10</v>
      </c>
      <c r="P1293" s="1">
        <f>COUNTIF(HR_Data[Employee Number],HR_Data[[#This Row],[Employee Number]])</f>
        <v>1</v>
      </c>
      <c r="Q1293" s="1" t="str">
        <f>IF(HR_Data[[#This Row],[Years At Company]]&lt;=HR_Data[[#This Row],[Total Working Years]],"Valid","error")</f>
        <v>Valid</v>
      </c>
      <c r="R1293" s="1" t="str" cm="1">
        <f t="array" ref="R1293">_xlfn.IFS(HR_Data[[#This Row],[Age]]&lt;=30,"Young", HR_Data[[#This Row],[Age]]&lt;=45,"Mid-Age",HR_Data[[#This Row],[Age]]&gt;45,"Senior")</f>
        <v>Mid-Age</v>
      </c>
      <c r="S1293" s="1" t="str" cm="1">
        <f t="array" ref="S1293">_xlfn.IFS(HR_Data[[#This Row],[Monthly Income]]&lt;5000,"Low", HR_Data[[#This Row],[Monthly Income]]&lt;10000,"Medium",TRUE,"High")</f>
        <v>Low</v>
      </c>
      <c r="T1293" s="1" t="str" cm="1">
        <f t="array" ref="T1293">_xlfn.IFS(HR_Data[[#This Row],[Total Working Years]]&lt;=5,"Junior", HR_Data[[#This Row],[Total Working Years]]&lt;=15,"Mid-Level", TRUE, "Senior")</f>
        <v>Mid-Level</v>
      </c>
    </row>
    <row r="1294" spans="1:20" x14ac:dyDescent="0.25">
      <c r="A1294" s="1">
        <v>1812</v>
      </c>
      <c r="B1294" s="1">
        <v>39</v>
      </c>
      <c r="C1294" t="s">
        <v>9</v>
      </c>
      <c r="D1294" t="s">
        <v>5</v>
      </c>
      <c r="E1294" t="s">
        <v>6</v>
      </c>
      <c r="F1294" t="s">
        <v>11</v>
      </c>
      <c r="G1294" t="s">
        <v>8</v>
      </c>
      <c r="H1294" s="1">
        <v>4</v>
      </c>
      <c r="I1294" s="1">
        <v>4127</v>
      </c>
      <c r="J1294" t="s">
        <v>9</v>
      </c>
      <c r="K1294" s="1">
        <v>18</v>
      </c>
      <c r="L1294" s="1">
        <v>3</v>
      </c>
      <c r="M1294" s="1">
        <v>7</v>
      </c>
      <c r="N1294" s="1">
        <v>3</v>
      </c>
      <c r="O1294" s="1">
        <v>2</v>
      </c>
      <c r="P1294" s="1">
        <f>COUNTIF(HR_Data[Employee Number],HR_Data[[#This Row],[Employee Number]])</f>
        <v>1</v>
      </c>
      <c r="Q1294" s="1" t="str">
        <f>IF(HR_Data[[#This Row],[Years At Company]]&lt;=HR_Data[[#This Row],[Total Working Years]],"Valid","error")</f>
        <v>Valid</v>
      </c>
      <c r="R1294" s="1" t="str" cm="1">
        <f t="array" ref="R1294">_xlfn.IFS(HR_Data[[#This Row],[Age]]&lt;=30,"Young", HR_Data[[#This Row],[Age]]&lt;=45,"Mid-Age",HR_Data[[#This Row],[Age]]&gt;45,"Senior")</f>
        <v>Mid-Age</v>
      </c>
      <c r="S1294" s="1" t="str" cm="1">
        <f t="array" ref="S1294">_xlfn.IFS(HR_Data[[#This Row],[Monthly Income]]&lt;5000,"Low", HR_Data[[#This Row],[Monthly Income]]&lt;10000,"Medium",TRUE,"High")</f>
        <v>Low</v>
      </c>
      <c r="T1294" s="1" t="str" cm="1">
        <f t="array" ref="T1294">_xlfn.IFS(HR_Data[[#This Row],[Total Working Years]]&lt;=5,"Junior", HR_Data[[#This Row],[Total Working Years]]&lt;=15,"Mid-Level", TRUE, "Senior")</f>
        <v>Mid-Level</v>
      </c>
    </row>
    <row r="1295" spans="1:20" x14ac:dyDescent="0.25">
      <c r="A1295" s="1">
        <v>1813</v>
      </c>
      <c r="B1295" s="1">
        <v>43</v>
      </c>
      <c r="C1295" t="s">
        <v>9</v>
      </c>
      <c r="D1295" t="s">
        <v>10</v>
      </c>
      <c r="E1295" t="s">
        <v>6</v>
      </c>
      <c r="F1295" t="s">
        <v>11</v>
      </c>
      <c r="G1295" t="s">
        <v>12</v>
      </c>
      <c r="H1295" s="1">
        <v>3</v>
      </c>
      <c r="I1295" s="1">
        <v>2438</v>
      </c>
      <c r="J1295" t="s">
        <v>9</v>
      </c>
      <c r="K1295" s="1">
        <v>13</v>
      </c>
      <c r="L1295" s="1">
        <v>3</v>
      </c>
      <c r="M1295" s="1">
        <v>7</v>
      </c>
      <c r="N1295" s="1">
        <v>2</v>
      </c>
      <c r="O1295" s="1">
        <v>3</v>
      </c>
      <c r="P1295" s="1">
        <f>COUNTIF(HR_Data[Employee Number],HR_Data[[#This Row],[Employee Number]])</f>
        <v>1</v>
      </c>
      <c r="Q1295" s="1" t="str">
        <f>IF(HR_Data[[#This Row],[Years At Company]]&lt;=HR_Data[[#This Row],[Total Working Years]],"Valid","error")</f>
        <v>Valid</v>
      </c>
      <c r="R1295" s="1" t="str" cm="1">
        <f t="array" ref="R1295">_xlfn.IFS(HR_Data[[#This Row],[Age]]&lt;=30,"Young", HR_Data[[#This Row],[Age]]&lt;=45,"Mid-Age",HR_Data[[#This Row],[Age]]&gt;45,"Senior")</f>
        <v>Mid-Age</v>
      </c>
      <c r="S1295" s="1" t="str" cm="1">
        <f t="array" ref="S1295">_xlfn.IFS(HR_Data[[#This Row],[Monthly Income]]&lt;5000,"Low", HR_Data[[#This Row],[Monthly Income]]&lt;10000,"Medium",TRUE,"High")</f>
        <v>Low</v>
      </c>
      <c r="T1295" s="1" t="str" cm="1">
        <f t="array" ref="T1295">_xlfn.IFS(HR_Data[[#This Row],[Total Working Years]]&lt;=5,"Junior", HR_Data[[#This Row],[Total Working Years]]&lt;=15,"Mid-Level", TRUE, "Senior")</f>
        <v>Mid-Level</v>
      </c>
    </row>
    <row r="1296" spans="1:20" x14ac:dyDescent="0.25">
      <c r="A1296" s="1">
        <v>1814</v>
      </c>
      <c r="B1296" s="1">
        <v>41</v>
      </c>
      <c r="C1296" t="s">
        <v>9</v>
      </c>
      <c r="D1296" t="s">
        <v>10</v>
      </c>
      <c r="E1296" t="s">
        <v>6</v>
      </c>
      <c r="F1296" t="s">
        <v>11</v>
      </c>
      <c r="G1296" t="s">
        <v>17</v>
      </c>
      <c r="H1296" s="1">
        <v>2</v>
      </c>
      <c r="I1296" s="1">
        <v>6870</v>
      </c>
      <c r="J1296" t="s">
        <v>9</v>
      </c>
      <c r="K1296" s="1">
        <v>12</v>
      </c>
      <c r="L1296" s="1">
        <v>3</v>
      </c>
      <c r="M1296" s="1">
        <v>11</v>
      </c>
      <c r="N1296" s="1">
        <v>1</v>
      </c>
      <c r="O1296" s="1">
        <v>3</v>
      </c>
      <c r="P1296" s="1">
        <f>COUNTIF(HR_Data[Employee Number],HR_Data[[#This Row],[Employee Number]])</f>
        <v>1</v>
      </c>
      <c r="Q1296" s="1" t="str">
        <f>IF(HR_Data[[#This Row],[Years At Company]]&lt;=HR_Data[[#This Row],[Total Working Years]],"Valid","error")</f>
        <v>Valid</v>
      </c>
      <c r="R1296" s="1" t="str" cm="1">
        <f t="array" ref="R1296">_xlfn.IFS(HR_Data[[#This Row],[Age]]&lt;=30,"Young", HR_Data[[#This Row],[Age]]&lt;=45,"Mid-Age",HR_Data[[#This Row],[Age]]&gt;45,"Senior")</f>
        <v>Mid-Age</v>
      </c>
      <c r="S1296" s="1" t="str" cm="1">
        <f t="array" ref="S1296">_xlfn.IFS(HR_Data[[#This Row],[Monthly Income]]&lt;5000,"Low", HR_Data[[#This Row],[Monthly Income]]&lt;10000,"Medium",TRUE,"High")</f>
        <v>Medium</v>
      </c>
      <c r="T1296" s="1" t="str" cm="1">
        <f t="array" ref="T1296">_xlfn.IFS(HR_Data[[#This Row],[Total Working Years]]&lt;=5,"Junior", HR_Data[[#This Row],[Total Working Years]]&lt;=15,"Mid-Level", TRUE, "Senior")</f>
        <v>Mid-Level</v>
      </c>
    </row>
    <row r="1297" spans="1:20" x14ac:dyDescent="0.25">
      <c r="A1297" s="1">
        <v>1815</v>
      </c>
      <c r="B1297" s="1">
        <v>41</v>
      </c>
      <c r="C1297" t="s">
        <v>9</v>
      </c>
      <c r="D1297" t="s">
        <v>5</v>
      </c>
      <c r="E1297" t="s">
        <v>21</v>
      </c>
      <c r="F1297" t="s">
        <v>7</v>
      </c>
      <c r="G1297" t="s">
        <v>8</v>
      </c>
      <c r="H1297" s="1">
        <v>3</v>
      </c>
      <c r="I1297" s="1">
        <v>10447</v>
      </c>
      <c r="J1297" t="s">
        <v>4</v>
      </c>
      <c r="K1297" s="1">
        <v>13</v>
      </c>
      <c r="L1297" s="1">
        <v>3</v>
      </c>
      <c r="M1297" s="1">
        <v>23</v>
      </c>
      <c r="N1297" s="1">
        <v>4</v>
      </c>
      <c r="O1297" s="1">
        <v>22</v>
      </c>
      <c r="P1297" s="1">
        <f>COUNTIF(HR_Data[Employee Number],HR_Data[[#This Row],[Employee Number]])</f>
        <v>1</v>
      </c>
      <c r="Q1297" s="1" t="str">
        <f>IF(HR_Data[[#This Row],[Years At Company]]&lt;=HR_Data[[#This Row],[Total Working Years]],"Valid","error")</f>
        <v>Valid</v>
      </c>
      <c r="R1297" s="1" t="str" cm="1">
        <f t="array" ref="R1297">_xlfn.IFS(HR_Data[[#This Row],[Age]]&lt;=30,"Young", HR_Data[[#This Row],[Age]]&lt;=45,"Mid-Age",HR_Data[[#This Row],[Age]]&gt;45,"Senior")</f>
        <v>Mid-Age</v>
      </c>
      <c r="S1297" s="1" t="str" cm="1">
        <f t="array" ref="S1297">_xlfn.IFS(HR_Data[[#This Row],[Monthly Income]]&lt;5000,"Low", HR_Data[[#This Row],[Monthly Income]]&lt;10000,"Medium",TRUE,"High")</f>
        <v>High</v>
      </c>
      <c r="T1297" s="1" t="str" cm="1">
        <f t="array" ref="T1297">_xlfn.IFS(HR_Data[[#This Row],[Total Working Years]]&lt;=5,"Junior", HR_Data[[#This Row],[Total Working Years]]&lt;=15,"Mid-Level", TRUE, "Senior")</f>
        <v>Senior</v>
      </c>
    </row>
    <row r="1298" spans="1:20" x14ac:dyDescent="0.25">
      <c r="A1298" s="1">
        <v>1816</v>
      </c>
      <c r="B1298" s="1">
        <v>30</v>
      </c>
      <c r="C1298" t="s">
        <v>9</v>
      </c>
      <c r="D1298" t="s">
        <v>10</v>
      </c>
      <c r="E1298" t="s">
        <v>15</v>
      </c>
      <c r="F1298" t="s">
        <v>7</v>
      </c>
      <c r="G1298" t="s">
        <v>16</v>
      </c>
      <c r="H1298" s="1">
        <v>3</v>
      </c>
      <c r="I1298" s="1">
        <v>9667</v>
      </c>
      <c r="J1298" t="s">
        <v>9</v>
      </c>
      <c r="K1298" s="1">
        <v>14</v>
      </c>
      <c r="L1298" s="1">
        <v>3</v>
      </c>
      <c r="M1298" s="1">
        <v>9</v>
      </c>
      <c r="N1298" s="1">
        <v>3</v>
      </c>
      <c r="O1298" s="1">
        <v>7</v>
      </c>
      <c r="P1298" s="1">
        <f>COUNTIF(HR_Data[Employee Number],HR_Data[[#This Row],[Employee Number]])</f>
        <v>1</v>
      </c>
      <c r="Q1298" s="1" t="str">
        <f>IF(HR_Data[[#This Row],[Years At Company]]&lt;=HR_Data[[#This Row],[Total Working Years]],"Valid","error")</f>
        <v>Valid</v>
      </c>
      <c r="R1298" s="1" t="str" cm="1">
        <f t="array" ref="R1298">_xlfn.IFS(HR_Data[[#This Row],[Age]]&lt;=30,"Young", HR_Data[[#This Row],[Age]]&lt;=45,"Mid-Age",HR_Data[[#This Row],[Age]]&gt;45,"Senior")</f>
        <v>Young</v>
      </c>
      <c r="S1298" s="1" t="str" cm="1">
        <f t="array" ref="S1298">_xlfn.IFS(HR_Data[[#This Row],[Monthly Income]]&lt;5000,"Low", HR_Data[[#This Row],[Monthly Income]]&lt;10000,"Medium",TRUE,"High")</f>
        <v>Medium</v>
      </c>
      <c r="T1298" s="1" t="str" cm="1">
        <f t="array" ref="T1298">_xlfn.IFS(HR_Data[[#This Row],[Total Working Years]]&lt;=5,"Junior", HR_Data[[#This Row],[Total Working Years]]&lt;=15,"Mid-Level", TRUE, "Senior")</f>
        <v>Mid-Level</v>
      </c>
    </row>
    <row r="1299" spans="1:20" x14ac:dyDescent="0.25">
      <c r="A1299" s="1">
        <v>1818</v>
      </c>
      <c r="B1299" s="1">
        <v>26</v>
      </c>
      <c r="C1299" t="s">
        <v>4</v>
      </c>
      <c r="D1299" t="s">
        <v>23</v>
      </c>
      <c r="E1299" t="s">
        <v>15</v>
      </c>
      <c r="F1299" t="s">
        <v>7</v>
      </c>
      <c r="G1299" t="s">
        <v>23</v>
      </c>
      <c r="H1299" s="1">
        <v>2</v>
      </c>
      <c r="I1299" s="1">
        <v>2148</v>
      </c>
      <c r="J1299" t="s">
        <v>4</v>
      </c>
      <c r="K1299" s="1">
        <v>11</v>
      </c>
      <c r="L1299" s="1">
        <v>3</v>
      </c>
      <c r="M1299" s="1">
        <v>6</v>
      </c>
      <c r="N1299" s="1">
        <v>3</v>
      </c>
      <c r="O1299" s="1">
        <v>5</v>
      </c>
      <c r="P1299" s="1">
        <f>COUNTIF(HR_Data[Employee Number],HR_Data[[#This Row],[Employee Number]])</f>
        <v>1</v>
      </c>
      <c r="Q1299" s="1" t="str">
        <f>IF(HR_Data[[#This Row],[Years At Company]]&lt;=HR_Data[[#This Row],[Total Working Years]],"Valid","error")</f>
        <v>Valid</v>
      </c>
      <c r="R1299" s="1" t="str" cm="1">
        <f t="array" ref="R1299">_xlfn.IFS(HR_Data[[#This Row],[Age]]&lt;=30,"Young", HR_Data[[#This Row],[Age]]&lt;=45,"Mid-Age",HR_Data[[#This Row],[Age]]&gt;45,"Senior")</f>
        <v>Young</v>
      </c>
      <c r="S1299" s="1" t="str" cm="1">
        <f t="array" ref="S1299">_xlfn.IFS(HR_Data[[#This Row],[Monthly Income]]&lt;5000,"Low", HR_Data[[#This Row],[Monthly Income]]&lt;10000,"Medium",TRUE,"High")</f>
        <v>Low</v>
      </c>
      <c r="T1299" s="1" t="str" cm="1">
        <f t="array" ref="T1299">_xlfn.IFS(HR_Data[[#This Row],[Total Working Years]]&lt;=5,"Junior", HR_Data[[#This Row],[Total Working Years]]&lt;=15,"Mid-Level", TRUE, "Senior")</f>
        <v>Mid-Level</v>
      </c>
    </row>
    <row r="1300" spans="1:20" x14ac:dyDescent="0.25">
      <c r="A1300" s="1">
        <v>1821</v>
      </c>
      <c r="B1300" s="1">
        <v>46</v>
      </c>
      <c r="C1300" t="s">
        <v>4</v>
      </c>
      <c r="D1300" t="s">
        <v>10</v>
      </c>
      <c r="E1300" t="s">
        <v>15</v>
      </c>
      <c r="F1300" t="s">
        <v>7</v>
      </c>
      <c r="G1300" t="s">
        <v>17</v>
      </c>
      <c r="H1300" s="1">
        <v>2</v>
      </c>
      <c r="I1300" s="1">
        <v>8926</v>
      </c>
      <c r="J1300" t="s">
        <v>9</v>
      </c>
      <c r="K1300" s="1">
        <v>22</v>
      </c>
      <c r="L1300" s="1">
        <v>4</v>
      </c>
      <c r="M1300" s="1">
        <v>13</v>
      </c>
      <c r="N1300" s="1">
        <v>4</v>
      </c>
      <c r="O1300" s="1">
        <v>9</v>
      </c>
      <c r="P1300" s="1">
        <f>COUNTIF(HR_Data[Employee Number],HR_Data[[#This Row],[Employee Number]])</f>
        <v>1</v>
      </c>
      <c r="Q1300" s="1" t="str">
        <f>IF(HR_Data[[#This Row],[Years At Company]]&lt;=HR_Data[[#This Row],[Total Working Years]],"Valid","error")</f>
        <v>Valid</v>
      </c>
      <c r="R1300" s="1" t="str" cm="1">
        <f t="array" ref="R1300">_xlfn.IFS(HR_Data[[#This Row],[Age]]&lt;=30,"Young", HR_Data[[#This Row],[Age]]&lt;=45,"Mid-Age",HR_Data[[#This Row],[Age]]&gt;45,"Senior")</f>
        <v>Senior</v>
      </c>
      <c r="S1300" s="1" t="str" cm="1">
        <f t="array" ref="S1300">_xlfn.IFS(HR_Data[[#This Row],[Monthly Income]]&lt;5000,"Low", HR_Data[[#This Row],[Monthly Income]]&lt;10000,"Medium",TRUE,"High")</f>
        <v>Medium</v>
      </c>
      <c r="T1300" s="1" t="str" cm="1">
        <f t="array" ref="T1300">_xlfn.IFS(HR_Data[[#This Row],[Total Working Years]]&lt;=5,"Junior", HR_Data[[#This Row],[Total Working Years]]&lt;=15,"Mid-Level", TRUE, "Senior")</f>
        <v>Mid-Level</v>
      </c>
    </row>
    <row r="1301" spans="1:20" x14ac:dyDescent="0.25">
      <c r="A1301" s="1">
        <v>1822</v>
      </c>
      <c r="B1301" s="1">
        <v>40</v>
      </c>
      <c r="C1301" t="s">
        <v>9</v>
      </c>
      <c r="D1301" t="s">
        <v>10</v>
      </c>
      <c r="E1301" t="s">
        <v>6</v>
      </c>
      <c r="F1301" t="s">
        <v>7</v>
      </c>
      <c r="G1301" t="s">
        <v>17</v>
      </c>
      <c r="H1301" s="1">
        <v>4</v>
      </c>
      <c r="I1301" s="1">
        <v>6513</v>
      </c>
      <c r="J1301" t="s">
        <v>9</v>
      </c>
      <c r="K1301" s="1">
        <v>17</v>
      </c>
      <c r="L1301" s="1">
        <v>3</v>
      </c>
      <c r="M1301" s="1">
        <v>12</v>
      </c>
      <c r="N1301" s="1">
        <v>3</v>
      </c>
      <c r="O1301" s="1">
        <v>5</v>
      </c>
      <c r="P1301" s="1">
        <f>COUNTIF(HR_Data[Employee Number],HR_Data[[#This Row],[Employee Number]])</f>
        <v>1</v>
      </c>
      <c r="Q1301" s="1" t="str">
        <f>IF(HR_Data[[#This Row],[Years At Company]]&lt;=HR_Data[[#This Row],[Total Working Years]],"Valid","error")</f>
        <v>Valid</v>
      </c>
      <c r="R1301" s="1" t="str" cm="1">
        <f t="array" ref="R1301">_xlfn.IFS(HR_Data[[#This Row],[Age]]&lt;=30,"Young", HR_Data[[#This Row],[Age]]&lt;=45,"Mid-Age",HR_Data[[#This Row],[Age]]&gt;45,"Senior")</f>
        <v>Mid-Age</v>
      </c>
      <c r="S1301" s="1" t="str" cm="1">
        <f t="array" ref="S1301">_xlfn.IFS(HR_Data[[#This Row],[Monthly Income]]&lt;5000,"Low", HR_Data[[#This Row],[Monthly Income]]&lt;10000,"Medium",TRUE,"High")</f>
        <v>Medium</v>
      </c>
      <c r="T1301" s="1" t="str" cm="1">
        <f t="array" ref="T1301">_xlfn.IFS(HR_Data[[#This Row],[Total Working Years]]&lt;=5,"Junior", HR_Data[[#This Row],[Total Working Years]]&lt;=15,"Mid-Level", TRUE, "Senior")</f>
        <v>Mid-Level</v>
      </c>
    </row>
    <row r="1302" spans="1:20" x14ac:dyDescent="0.25">
      <c r="A1302" s="1">
        <v>1823</v>
      </c>
      <c r="B1302" s="1">
        <v>34</v>
      </c>
      <c r="C1302" t="s">
        <v>9</v>
      </c>
      <c r="D1302" t="s">
        <v>5</v>
      </c>
      <c r="E1302" t="s">
        <v>22</v>
      </c>
      <c r="F1302" t="s">
        <v>11</v>
      </c>
      <c r="G1302" t="s">
        <v>8</v>
      </c>
      <c r="H1302" s="1">
        <v>3</v>
      </c>
      <c r="I1302" s="1">
        <v>6799</v>
      </c>
      <c r="J1302" t="s">
        <v>9</v>
      </c>
      <c r="K1302" s="1">
        <v>21</v>
      </c>
      <c r="L1302" s="1">
        <v>4</v>
      </c>
      <c r="M1302" s="1">
        <v>10</v>
      </c>
      <c r="N1302" s="1">
        <v>3</v>
      </c>
      <c r="O1302" s="1">
        <v>10</v>
      </c>
      <c r="P1302" s="1">
        <f>COUNTIF(HR_Data[Employee Number],HR_Data[[#This Row],[Employee Number]])</f>
        <v>1</v>
      </c>
      <c r="Q1302" s="1" t="str">
        <f>IF(HR_Data[[#This Row],[Years At Company]]&lt;=HR_Data[[#This Row],[Total Working Years]],"Valid","error")</f>
        <v>Valid</v>
      </c>
      <c r="R1302" s="1" t="str" cm="1">
        <f t="array" ref="R1302">_xlfn.IFS(HR_Data[[#This Row],[Age]]&lt;=30,"Young", HR_Data[[#This Row],[Age]]&lt;=45,"Mid-Age",HR_Data[[#This Row],[Age]]&gt;45,"Senior")</f>
        <v>Mid-Age</v>
      </c>
      <c r="S1302" s="1" t="str" cm="1">
        <f t="array" ref="S1302">_xlfn.IFS(HR_Data[[#This Row],[Monthly Income]]&lt;5000,"Low", HR_Data[[#This Row],[Monthly Income]]&lt;10000,"Medium",TRUE,"High")</f>
        <v>Medium</v>
      </c>
      <c r="T1302" s="1" t="str" cm="1">
        <f t="array" ref="T1302">_xlfn.IFS(HR_Data[[#This Row],[Total Working Years]]&lt;=5,"Junior", HR_Data[[#This Row],[Total Working Years]]&lt;=15,"Mid-Level", TRUE, "Senior")</f>
        <v>Mid-Level</v>
      </c>
    </row>
    <row r="1303" spans="1:20" x14ac:dyDescent="0.25">
      <c r="A1303" s="1">
        <v>1824</v>
      </c>
      <c r="B1303" s="1">
        <v>58</v>
      </c>
      <c r="C1303" t="s">
        <v>9</v>
      </c>
      <c r="D1303" t="s">
        <v>5</v>
      </c>
      <c r="E1303" t="s">
        <v>15</v>
      </c>
      <c r="F1303" t="s">
        <v>11</v>
      </c>
      <c r="G1303" t="s">
        <v>18</v>
      </c>
      <c r="H1303" s="1">
        <v>2</v>
      </c>
      <c r="I1303" s="1">
        <v>16291</v>
      </c>
      <c r="J1303" t="s">
        <v>9</v>
      </c>
      <c r="K1303" s="1">
        <v>22</v>
      </c>
      <c r="L1303" s="1">
        <v>4</v>
      </c>
      <c r="M1303" s="1">
        <v>37</v>
      </c>
      <c r="N1303" s="1">
        <v>2</v>
      </c>
      <c r="O1303" s="1">
        <v>16</v>
      </c>
      <c r="P1303" s="1">
        <f>COUNTIF(HR_Data[Employee Number],HR_Data[[#This Row],[Employee Number]])</f>
        <v>1</v>
      </c>
      <c r="Q1303" s="1" t="str">
        <f>IF(HR_Data[[#This Row],[Years At Company]]&lt;=HR_Data[[#This Row],[Total Working Years]],"Valid","error")</f>
        <v>Valid</v>
      </c>
      <c r="R1303" s="1" t="str" cm="1">
        <f t="array" ref="R1303">_xlfn.IFS(HR_Data[[#This Row],[Age]]&lt;=30,"Young", HR_Data[[#This Row],[Age]]&lt;=45,"Mid-Age",HR_Data[[#This Row],[Age]]&gt;45,"Senior")</f>
        <v>Senior</v>
      </c>
      <c r="S1303" s="1" t="str" cm="1">
        <f t="array" ref="S1303">_xlfn.IFS(HR_Data[[#This Row],[Monthly Income]]&lt;5000,"Low", HR_Data[[#This Row],[Monthly Income]]&lt;10000,"Medium",TRUE,"High")</f>
        <v>High</v>
      </c>
      <c r="T1303" s="1" t="str" cm="1">
        <f t="array" ref="T1303">_xlfn.IFS(HR_Data[[#This Row],[Total Working Years]]&lt;=5,"Junior", HR_Data[[#This Row],[Total Working Years]]&lt;=15,"Mid-Level", TRUE, "Senior")</f>
        <v>Senior</v>
      </c>
    </row>
    <row r="1304" spans="1:20" x14ac:dyDescent="0.25">
      <c r="A1304" s="1">
        <v>1826</v>
      </c>
      <c r="B1304" s="1">
        <v>35</v>
      </c>
      <c r="C1304" t="s">
        <v>9</v>
      </c>
      <c r="D1304" t="s">
        <v>10</v>
      </c>
      <c r="E1304" t="s">
        <v>15</v>
      </c>
      <c r="F1304" t="s">
        <v>11</v>
      </c>
      <c r="G1304" t="s">
        <v>14</v>
      </c>
      <c r="H1304" s="1">
        <v>3</v>
      </c>
      <c r="I1304" s="1">
        <v>2705</v>
      </c>
      <c r="J1304" t="s">
        <v>9</v>
      </c>
      <c r="K1304" s="1">
        <v>16</v>
      </c>
      <c r="L1304" s="1">
        <v>3</v>
      </c>
      <c r="M1304" s="1">
        <v>6</v>
      </c>
      <c r="N1304" s="1">
        <v>4</v>
      </c>
      <c r="O1304" s="1">
        <v>5</v>
      </c>
      <c r="P1304" s="1">
        <f>COUNTIF(HR_Data[Employee Number],HR_Data[[#This Row],[Employee Number]])</f>
        <v>1</v>
      </c>
      <c r="Q1304" s="1" t="str">
        <f>IF(HR_Data[[#This Row],[Years At Company]]&lt;=HR_Data[[#This Row],[Total Working Years]],"Valid","error")</f>
        <v>Valid</v>
      </c>
      <c r="R1304" s="1" t="str" cm="1">
        <f t="array" ref="R1304">_xlfn.IFS(HR_Data[[#This Row],[Age]]&lt;=30,"Young", HR_Data[[#This Row],[Age]]&lt;=45,"Mid-Age",HR_Data[[#This Row],[Age]]&gt;45,"Senior")</f>
        <v>Mid-Age</v>
      </c>
      <c r="S1304" s="1" t="str" cm="1">
        <f t="array" ref="S1304">_xlfn.IFS(HR_Data[[#This Row],[Monthly Income]]&lt;5000,"Low", HR_Data[[#This Row],[Monthly Income]]&lt;10000,"Medium",TRUE,"High")</f>
        <v>Low</v>
      </c>
      <c r="T1304" s="1" t="str" cm="1">
        <f t="array" ref="T1304">_xlfn.IFS(HR_Data[[#This Row],[Total Working Years]]&lt;=5,"Junior", HR_Data[[#This Row],[Total Working Years]]&lt;=15,"Mid-Level", TRUE, "Senior")</f>
        <v>Mid-Level</v>
      </c>
    </row>
    <row r="1305" spans="1:20" x14ac:dyDescent="0.25">
      <c r="A1305" s="1">
        <v>1827</v>
      </c>
      <c r="B1305" s="1">
        <v>47</v>
      </c>
      <c r="C1305" t="s">
        <v>9</v>
      </c>
      <c r="D1305" t="s">
        <v>10</v>
      </c>
      <c r="E1305" t="s">
        <v>6</v>
      </c>
      <c r="F1305" t="s">
        <v>7</v>
      </c>
      <c r="G1305" t="s">
        <v>16</v>
      </c>
      <c r="H1305" s="1">
        <v>2</v>
      </c>
      <c r="I1305" s="1">
        <v>10333</v>
      </c>
      <c r="J1305" t="s">
        <v>4</v>
      </c>
      <c r="K1305" s="1">
        <v>12</v>
      </c>
      <c r="L1305" s="1">
        <v>3</v>
      </c>
      <c r="M1305" s="1">
        <v>28</v>
      </c>
      <c r="N1305" s="1">
        <v>3</v>
      </c>
      <c r="O1305" s="1">
        <v>22</v>
      </c>
      <c r="P1305" s="1">
        <f>COUNTIF(HR_Data[Employee Number],HR_Data[[#This Row],[Employee Number]])</f>
        <v>1</v>
      </c>
      <c r="Q1305" s="1" t="str">
        <f>IF(HR_Data[[#This Row],[Years At Company]]&lt;=HR_Data[[#This Row],[Total Working Years]],"Valid","error")</f>
        <v>Valid</v>
      </c>
      <c r="R1305" s="1" t="str" cm="1">
        <f t="array" ref="R1305">_xlfn.IFS(HR_Data[[#This Row],[Age]]&lt;=30,"Young", HR_Data[[#This Row],[Age]]&lt;=45,"Mid-Age",HR_Data[[#This Row],[Age]]&gt;45,"Senior")</f>
        <v>Senior</v>
      </c>
      <c r="S1305" s="1" t="str" cm="1">
        <f t="array" ref="S1305">_xlfn.IFS(HR_Data[[#This Row],[Monthly Income]]&lt;5000,"Low", HR_Data[[#This Row],[Monthly Income]]&lt;10000,"Medium",TRUE,"High")</f>
        <v>High</v>
      </c>
      <c r="T1305" s="1" t="str" cm="1">
        <f t="array" ref="T1305">_xlfn.IFS(HR_Data[[#This Row],[Total Working Years]]&lt;=5,"Junior", HR_Data[[#This Row],[Total Working Years]]&lt;=15,"Mid-Level", TRUE, "Senior")</f>
        <v>Senior</v>
      </c>
    </row>
    <row r="1306" spans="1:20" x14ac:dyDescent="0.25">
      <c r="A1306" s="1">
        <v>1829</v>
      </c>
      <c r="B1306" s="1">
        <v>40</v>
      </c>
      <c r="C1306" t="s">
        <v>9</v>
      </c>
      <c r="D1306" t="s">
        <v>10</v>
      </c>
      <c r="E1306" t="s">
        <v>6</v>
      </c>
      <c r="F1306" t="s">
        <v>7</v>
      </c>
      <c r="G1306" t="s">
        <v>17</v>
      </c>
      <c r="H1306" s="1">
        <v>1</v>
      </c>
      <c r="I1306" s="1">
        <v>4448</v>
      </c>
      <c r="J1306" t="s">
        <v>9</v>
      </c>
      <c r="K1306" s="1">
        <v>12</v>
      </c>
      <c r="L1306" s="1">
        <v>3</v>
      </c>
      <c r="M1306" s="1">
        <v>15</v>
      </c>
      <c r="N1306" s="1">
        <v>3</v>
      </c>
      <c r="O1306" s="1">
        <v>7</v>
      </c>
      <c r="P1306" s="1">
        <f>COUNTIF(HR_Data[Employee Number],HR_Data[[#This Row],[Employee Number]])</f>
        <v>1</v>
      </c>
      <c r="Q1306" s="1" t="str">
        <f>IF(HR_Data[[#This Row],[Years At Company]]&lt;=HR_Data[[#This Row],[Total Working Years]],"Valid","error")</f>
        <v>Valid</v>
      </c>
      <c r="R1306" s="1" t="str" cm="1">
        <f t="array" ref="R1306">_xlfn.IFS(HR_Data[[#This Row],[Age]]&lt;=30,"Young", HR_Data[[#This Row],[Age]]&lt;=45,"Mid-Age",HR_Data[[#This Row],[Age]]&gt;45,"Senior")</f>
        <v>Mid-Age</v>
      </c>
      <c r="S1306" s="1" t="str" cm="1">
        <f t="array" ref="S1306">_xlfn.IFS(HR_Data[[#This Row],[Monthly Income]]&lt;5000,"Low", HR_Data[[#This Row],[Monthly Income]]&lt;10000,"Medium",TRUE,"High")</f>
        <v>Low</v>
      </c>
      <c r="T1306" s="1" t="str" cm="1">
        <f t="array" ref="T1306">_xlfn.IFS(HR_Data[[#This Row],[Total Working Years]]&lt;=5,"Junior", HR_Data[[#This Row],[Total Working Years]]&lt;=15,"Mid-Level", TRUE, "Senior")</f>
        <v>Mid-Level</v>
      </c>
    </row>
    <row r="1307" spans="1:20" x14ac:dyDescent="0.25">
      <c r="A1307" s="1">
        <v>1830</v>
      </c>
      <c r="B1307" s="1">
        <v>54</v>
      </c>
      <c r="C1307" t="s">
        <v>9</v>
      </c>
      <c r="D1307" t="s">
        <v>10</v>
      </c>
      <c r="E1307" t="s">
        <v>15</v>
      </c>
      <c r="F1307" t="s">
        <v>7</v>
      </c>
      <c r="G1307" t="s">
        <v>12</v>
      </c>
      <c r="H1307" s="1">
        <v>4</v>
      </c>
      <c r="I1307" s="1">
        <v>6854</v>
      </c>
      <c r="J1307" t="s">
        <v>9</v>
      </c>
      <c r="K1307" s="1">
        <v>15</v>
      </c>
      <c r="L1307" s="1">
        <v>3</v>
      </c>
      <c r="M1307" s="1">
        <v>14</v>
      </c>
      <c r="N1307" s="1">
        <v>2</v>
      </c>
      <c r="O1307" s="1">
        <v>7</v>
      </c>
      <c r="P1307" s="1">
        <f>COUNTIF(HR_Data[Employee Number],HR_Data[[#This Row],[Employee Number]])</f>
        <v>1</v>
      </c>
      <c r="Q1307" s="1" t="str">
        <f>IF(HR_Data[[#This Row],[Years At Company]]&lt;=HR_Data[[#This Row],[Total Working Years]],"Valid","error")</f>
        <v>Valid</v>
      </c>
      <c r="R1307" s="1" t="str" cm="1">
        <f t="array" ref="R1307">_xlfn.IFS(HR_Data[[#This Row],[Age]]&lt;=30,"Young", HR_Data[[#This Row],[Age]]&lt;=45,"Mid-Age",HR_Data[[#This Row],[Age]]&gt;45,"Senior")</f>
        <v>Senior</v>
      </c>
      <c r="S1307" s="1" t="str" cm="1">
        <f t="array" ref="S1307">_xlfn.IFS(HR_Data[[#This Row],[Monthly Income]]&lt;5000,"Low", HR_Data[[#This Row],[Monthly Income]]&lt;10000,"Medium",TRUE,"High")</f>
        <v>Medium</v>
      </c>
      <c r="T1307" s="1" t="str" cm="1">
        <f t="array" ref="T1307">_xlfn.IFS(HR_Data[[#This Row],[Total Working Years]]&lt;=5,"Junior", HR_Data[[#This Row],[Total Working Years]]&lt;=15,"Mid-Level", TRUE, "Senior")</f>
        <v>Mid-Level</v>
      </c>
    </row>
    <row r="1308" spans="1:20" x14ac:dyDescent="0.25">
      <c r="A1308" s="1">
        <v>1833</v>
      </c>
      <c r="B1308" s="1">
        <v>31</v>
      </c>
      <c r="C1308" t="s">
        <v>9</v>
      </c>
      <c r="D1308" t="s">
        <v>5</v>
      </c>
      <c r="E1308" t="s">
        <v>21</v>
      </c>
      <c r="F1308" t="s">
        <v>7</v>
      </c>
      <c r="G1308" t="s">
        <v>8</v>
      </c>
      <c r="H1308" s="1">
        <v>1</v>
      </c>
      <c r="I1308" s="1">
        <v>9637</v>
      </c>
      <c r="J1308" t="s">
        <v>9</v>
      </c>
      <c r="K1308" s="1">
        <v>14</v>
      </c>
      <c r="L1308" s="1">
        <v>3</v>
      </c>
      <c r="M1308" s="1">
        <v>9</v>
      </c>
      <c r="N1308" s="1">
        <v>3</v>
      </c>
      <c r="O1308" s="1">
        <v>3</v>
      </c>
      <c r="P1308" s="1">
        <f>COUNTIF(HR_Data[Employee Number],HR_Data[[#This Row],[Employee Number]])</f>
        <v>1</v>
      </c>
      <c r="Q1308" s="1" t="str">
        <f>IF(HR_Data[[#This Row],[Years At Company]]&lt;=HR_Data[[#This Row],[Total Working Years]],"Valid","error")</f>
        <v>Valid</v>
      </c>
      <c r="R1308" s="1" t="str" cm="1">
        <f t="array" ref="R1308">_xlfn.IFS(HR_Data[[#This Row],[Age]]&lt;=30,"Young", HR_Data[[#This Row],[Age]]&lt;=45,"Mid-Age",HR_Data[[#This Row],[Age]]&gt;45,"Senior")</f>
        <v>Mid-Age</v>
      </c>
      <c r="S1308" s="1" t="str" cm="1">
        <f t="array" ref="S1308">_xlfn.IFS(HR_Data[[#This Row],[Monthly Income]]&lt;5000,"Low", HR_Data[[#This Row],[Monthly Income]]&lt;10000,"Medium",TRUE,"High")</f>
        <v>Medium</v>
      </c>
      <c r="T1308" s="1" t="str" cm="1">
        <f t="array" ref="T1308">_xlfn.IFS(HR_Data[[#This Row],[Total Working Years]]&lt;=5,"Junior", HR_Data[[#This Row],[Total Working Years]]&lt;=15,"Mid-Level", TRUE, "Senior")</f>
        <v>Mid-Level</v>
      </c>
    </row>
    <row r="1309" spans="1:20" x14ac:dyDescent="0.25">
      <c r="A1309" s="1">
        <v>1834</v>
      </c>
      <c r="B1309" s="1">
        <v>28</v>
      </c>
      <c r="C1309" t="s">
        <v>9</v>
      </c>
      <c r="D1309" t="s">
        <v>10</v>
      </c>
      <c r="E1309" t="s">
        <v>15</v>
      </c>
      <c r="F1309" t="s">
        <v>7</v>
      </c>
      <c r="G1309" t="s">
        <v>12</v>
      </c>
      <c r="H1309" s="1">
        <v>1</v>
      </c>
      <c r="I1309" s="1">
        <v>3591</v>
      </c>
      <c r="J1309" t="s">
        <v>9</v>
      </c>
      <c r="K1309" s="1">
        <v>25</v>
      </c>
      <c r="L1309" s="1">
        <v>4</v>
      </c>
      <c r="M1309" s="1">
        <v>3</v>
      </c>
      <c r="N1309" s="1">
        <v>3</v>
      </c>
      <c r="O1309" s="1">
        <v>3</v>
      </c>
      <c r="P1309" s="1">
        <f>COUNTIF(HR_Data[Employee Number],HR_Data[[#This Row],[Employee Number]])</f>
        <v>1</v>
      </c>
      <c r="Q1309" s="1" t="str">
        <f>IF(HR_Data[[#This Row],[Years At Company]]&lt;=HR_Data[[#This Row],[Total Working Years]],"Valid","error")</f>
        <v>Valid</v>
      </c>
      <c r="R1309" s="1" t="str" cm="1">
        <f t="array" ref="R1309">_xlfn.IFS(HR_Data[[#This Row],[Age]]&lt;=30,"Young", HR_Data[[#This Row],[Age]]&lt;=45,"Mid-Age",HR_Data[[#This Row],[Age]]&gt;45,"Senior")</f>
        <v>Young</v>
      </c>
      <c r="S1309" s="1" t="str" cm="1">
        <f t="array" ref="S1309">_xlfn.IFS(HR_Data[[#This Row],[Monthly Income]]&lt;5000,"Low", HR_Data[[#This Row],[Monthly Income]]&lt;10000,"Medium",TRUE,"High")</f>
        <v>Low</v>
      </c>
      <c r="T1309" s="1" t="str" cm="1">
        <f t="array" ref="T1309">_xlfn.IFS(HR_Data[[#This Row],[Total Working Years]]&lt;=5,"Junior", HR_Data[[#This Row],[Total Working Years]]&lt;=15,"Mid-Level", TRUE, "Senior")</f>
        <v>Junior</v>
      </c>
    </row>
    <row r="1310" spans="1:20" x14ac:dyDescent="0.25">
      <c r="A1310" s="1">
        <v>1835</v>
      </c>
      <c r="B1310" s="1">
        <v>38</v>
      </c>
      <c r="C1310" t="s">
        <v>9</v>
      </c>
      <c r="D1310" t="s">
        <v>5</v>
      </c>
      <c r="E1310" t="s">
        <v>21</v>
      </c>
      <c r="F1310" t="s">
        <v>7</v>
      </c>
      <c r="G1310" t="s">
        <v>19</v>
      </c>
      <c r="H1310" s="1">
        <v>4</v>
      </c>
      <c r="I1310" s="1">
        <v>5405</v>
      </c>
      <c r="J1310" t="s">
        <v>4</v>
      </c>
      <c r="K1310" s="1">
        <v>20</v>
      </c>
      <c r="L1310" s="1">
        <v>4</v>
      </c>
      <c r="M1310" s="1">
        <v>20</v>
      </c>
      <c r="N1310" s="1">
        <v>2</v>
      </c>
      <c r="O1310" s="1">
        <v>4</v>
      </c>
      <c r="P1310" s="1">
        <f>COUNTIF(HR_Data[Employee Number],HR_Data[[#This Row],[Employee Number]])</f>
        <v>1</v>
      </c>
      <c r="Q1310" s="1" t="str">
        <f>IF(HR_Data[[#This Row],[Years At Company]]&lt;=HR_Data[[#This Row],[Total Working Years]],"Valid","error")</f>
        <v>Valid</v>
      </c>
      <c r="R1310" s="1" t="str" cm="1">
        <f t="array" ref="R1310">_xlfn.IFS(HR_Data[[#This Row],[Age]]&lt;=30,"Young", HR_Data[[#This Row],[Age]]&lt;=45,"Mid-Age",HR_Data[[#This Row],[Age]]&gt;45,"Senior")</f>
        <v>Mid-Age</v>
      </c>
      <c r="S1310" s="1" t="str" cm="1">
        <f t="array" ref="S1310">_xlfn.IFS(HR_Data[[#This Row],[Monthly Income]]&lt;5000,"Low", HR_Data[[#This Row],[Monthly Income]]&lt;10000,"Medium",TRUE,"High")</f>
        <v>Medium</v>
      </c>
      <c r="T1310" s="1" t="str" cm="1">
        <f t="array" ref="T1310">_xlfn.IFS(HR_Data[[#This Row],[Total Working Years]]&lt;=5,"Junior", HR_Data[[#This Row],[Total Working Years]]&lt;=15,"Mid-Level", TRUE, "Senior")</f>
        <v>Senior</v>
      </c>
    </row>
    <row r="1311" spans="1:20" x14ac:dyDescent="0.25">
      <c r="A1311" s="1">
        <v>1836</v>
      </c>
      <c r="B1311" s="1">
        <v>26</v>
      </c>
      <c r="C1311" t="s">
        <v>9</v>
      </c>
      <c r="D1311" t="s">
        <v>5</v>
      </c>
      <c r="E1311" t="s">
        <v>15</v>
      </c>
      <c r="F1311" t="s">
        <v>11</v>
      </c>
      <c r="G1311" t="s">
        <v>8</v>
      </c>
      <c r="H1311" s="1">
        <v>4</v>
      </c>
      <c r="I1311" s="1">
        <v>4684</v>
      </c>
      <c r="J1311" t="s">
        <v>9</v>
      </c>
      <c r="K1311" s="1">
        <v>13</v>
      </c>
      <c r="L1311" s="1">
        <v>3</v>
      </c>
      <c r="M1311" s="1">
        <v>5</v>
      </c>
      <c r="N1311" s="1">
        <v>3</v>
      </c>
      <c r="O1311" s="1">
        <v>5</v>
      </c>
      <c r="P1311" s="1">
        <f>COUNTIF(HR_Data[Employee Number],HR_Data[[#This Row],[Employee Number]])</f>
        <v>1</v>
      </c>
      <c r="Q1311" s="1" t="str">
        <f>IF(HR_Data[[#This Row],[Years At Company]]&lt;=HR_Data[[#This Row],[Total Working Years]],"Valid","error")</f>
        <v>Valid</v>
      </c>
      <c r="R1311" s="1" t="str" cm="1">
        <f t="array" ref="R1311">_xlfn.IFS(HR_Data[[#This Row],[Age]]&lt;=30,"Young", HR_Data[[#This Row],[Age]]&lt;=45,"Mid-Age",HR_Data[[#This Row],[Age]]&gt;45,"Senior")</f>
        <v>Young</v>
      </c>
      <c r="S1311" s="1" t="str" cm="1">
        <f t="array" ref="S1311">_xlfn.IFS(HR_Data[[#This Row],[Monthly Income]]&lt;5000,"Low", HR_Data[[#This Row],[Monthly Income]]&lt;10000,"Medium",TRUE,"High")</f>
        <v>Low</v>
      </c>
      <c r="T1311" s="1" t="str" cm="1">
        <f t="array" ref="T1311">_xlfn.IFS(HR_Data[[#This Row],[Total Working Years]]&lt;=5,"Junior", HR_Data[[#This Row],[Total Working Years]]&lt;=15,"Mid-Level", TRUE, "Senior")</f>
        <v>Junior</v>
      </c>
    </row>
    <row r="1312" spans="1:20" x14ac:dyDescent="0.25">
      <c r="A1312" s="1">
        <v>1837</v>
      </c>
      <c r="B1312" s="1">
        <v>58</v>
      </c>
      <c r="C1312" t="s">
        <v>9</v>
      </c>
      <c r="D1312" t="s">
        <v>10</v>
      </c>
      <c r="E1312" t="s">
        <v>6</v>
      </c>
      <c r="F1312" t="s">
        <v>11</v>
      </c>
      <c r="G1312" t="s">
        <v>20</v>
      </c>
      <c r="H1312" s="1">
        <v>3</v>
      </c>
      <c r="I1312" s="1">
        <v>15787</v>
      </c>
      <c r="J1312" t="s">
        <v>4</v>
      </c>
      <c r="K1312" s="1">
        <v>14</v>
      </c>
      <c r="L1312" s="1">
        <v>3</v>
      </c>
      <c r="M1312" s="1">
        <v>23</v>
      </c>
      <c r="N1312" s="1">
        <v>3</v>
      </c>
      <c r="O1312" s="1">
        <v>2</v>
      </c>
      <c r="P1312" s="1">
        <f>COUNTIF(HR_Data[Employee Number],HR_Data[[#This Row],[Employee Number]])</f>
        <v>1</v>
      </c>
      <c r="Q1312" s="1" t="str">
        <f>IF(HR_Data[[#This Row],[Years At Company]]&lt;=HR_Data[[#This Row],[Total Working Years]],"Valid","error")</f>
        <v>Valid</v>
      </c>
      <c r="R1312" s="1" t="str" cm="1">
        <f t="array" ref="R1312">_xlfn.IFS(HR_Data[[#This Row],[Age]]&lt;=30,"Young", HR_Data[[#This Row],[Age]]&lt;=45,"Mid-Age",HR_Data[[#This Row],[Age]]&gt;45,"Senior")</f>
        <v>Senior</v>
      </c>
      <c r="S1312" s="1" t="str" cm="1">
        <f t="array" ref="S1312">_xlfn.IFS(HR_Data[[#This Row],[Monthly Income]]&lt;5000,"Low", HR_Data[[#This Row],[Monthly Income]]&lt;10000,"Medium",TRUE,"High")</f>
        <v>High</v>
      </c>
      <c r="T1312" s="1" t="str" cm="1">
        <f t="array" ref="T1312">_xlfn.IFS(HR_Data[[#This Row],[Total Working Years]]&lt;=5,"Junior", HR_Data[[#This Row],[Total Working Years]]&lt;=15,"Mid-Level", TRUE, "Senior")</f>
        <v>Senior</v>
      </c>
    </row>
    <row r="1313" spans="1:20" x14ac:dyDescent="0.25">
      <c r="A1313" s="1">
        <v>1839</v>
      </c>
      <c r="B1313" s="1">
        <v>18</v>
      </c>
      <c r="C1313" t="s">
        <v>9</v>
      </c>
      <c r="D1313" t="s">
        <v>10</v>
      </c>
      <c r="E1313" t="s">
        <v>15</v>
      </c>
      <c r="F1313" t="s">
        <v>7</v>
      </c>
      <c r="G1313" t="s">
        <v>12</v>
      </c>
      <c r="H1313" s="1">
        <v>3</v>
      </c>
      <c r="I1313" s="1">
        <v>1514</v>
      </c>
      <c r="J1313" t="s">
        <v>9</v>
      </c>
      <c r="K1313" s="1">
        <v>16</v>
      </c>
      <c r="L1313" s="1">
        <v>3</v>
      </c>
      <c r="M1313" s="1">
        <v>0</v>
      </c>
      <c r="N1313" s="1">
        <v>1</v>
      </c>
      <c r="O1313" s="1">
        <v>0</v>
      </c>
      <c r="P1313" s="1">
        <f>COUNTIF(HR_Data[Employee Number],HR_Data[[#This Row],[Employee Number]])</f>
        <v>1</v>
      </c>
      <c r="Q1313" s="1" t="str">
        <f>IF(HR_Data[[#This Row],[Years At Company]]&lt;=HR_Data[[#This Row],[Total Working Years]],"Valid","error")</f>
        <v>Valid</v>
      </c>
      <c r="R1313" s="1" t="str" cm="1">
        <f t="array" ref="R1313">_xlfn.IFS(HR_Data[[#This Row],[Age]]&lt;=30,"Young", HR_Data[[#This Row],[Age]]&lt;=45,"Mid-Age",HR_Data[[#This Row],[Age]]&gt;45,"Senior")</f>
        <v>Young</v>
      </c>
      <c r="S1313" s="1" t="str" cm="1">
        <f t="array" ref="S1313">_xlfn.IFS(HR_Data[[#This Row],[Monthly Income]]&lt;5000,"Low", HR_Data[[#This Row],[Monthly Income]]&lt;10000,"Medium",TRUE,"High")</f>
        <v>Low</v>
      </c>
      <c r="T1313" s="1" t="str" cm="1">
        <f t="array" ref="T1313">_xlfn.IFS(HR_Data[[#This Row],[Total Working Years]]&lt;=5,"Junior", HR_Data[[#This Row],[Total Working Years]]&lt;=15,"Mid-Level", TRUE, "Senior")</f>
        <v>Junior</v>
      </c>
    </row>
    <row r="1314" spans="1:20" x14ac:dyDescent="0.25">
      <c r="A1314" s="1">
        <v>1842</v>
      </c>
      <c r="B1314" s="1">
        <v>31</v>
      </c>
      <c r="C1314" t="s">
        <v>4</v>
      </c>
      <c r="D1314" t="s">
        <v>23</v>
      </c>
      <c r="E1314" t="s">
        <v>23</v>
      </c>
      <c r="F1314" t="s">
        <v>11</v>
      </c>
      <c r="G1314" t="s">
        <v>23</v>
      </c>
      <c r="H1314" s="1">
        <v>1</v>
      </c>
      <c r="I1314" s="1">
        <v>2956</v>
      </c>
      <c r="J1314" t="s">
        <v>9</v>
      </c>
      <c r="K1314" s="1">
        <v>17</v>
      </c>
      <c r="L1314" s="1">
        <v>3</v>
      </c>
      <c r="M1314" s="1">
        <v>2</v>
      </c>
      <c r="N1314" s="1">
        <v>3</v>
      </c>
      <c r="O1314" s="1">
        <v>1</v>
      </c>
      <c r="P1314" s="1">
        <f>COUNTIF(HR_Data[Employee Number],HR_Data[[#This Row],[Employee Number]])</f>
        <v>1</v>
      </c>
      <c r="Q1314" s="1" t="str">
        <f>IF(HR_Data[[#This Row],[Years At Company]]&lt;=HR_Data[[#This Row],[Total Working Years]],"Valid","error")</f>
        <v>Valid</v>
      </c>
      <c r="R1314" s="1" t="str" cm="1">
        <f t="array" ref="R1314">_xlfn.IFS(HR_Data[[#This Row],[Age]]&lt;=30,"Young", HR_Data[[#This Row],[Age]]&lt;=45,"Mid-Age",HR_Data[[#This Row],[Age]]&gt;45,"Senior")</f>
        <v>Mid-Age</v>
      </c>
      <c r="S1314" s="1" t="str" cm="1">
        <f t="array" ref="S1314">_xlfn.IFS(HR_Data[[#This Row],[Monthly Income]]&lt;5000,"Low", HR_Data[[#This Row],[Monthly Income]]&lt;10000,"Medium",TRUE,"High")</f>
        <v>Low</v>
      </c>
      <c r="T1314" s="1" t="str" cm="1">
        <f t="array" ref="T1314">_xlfn.IFS(HR_Data[[#This Row],[Total Working Years]]&lt;=5,"Junior", HR_Data[[#This Row],[Total Working Years]]&lt;=15,"Mid-Level", TRUE, "Senior")</f>
        <v>Junior</v>
      </c>
    </row>
    <row r="1315" spans="1:20" x14ac:dyDescent="0.25">
      <c r="A1315" s="1">
        <v>1844</v>
      </c>
      <c r="B1315" s="1">
        <v>29</v>
      </c>
      <c r="C1315" t="s">
        <v>4</v>
      </c>
      <c r="D1315" t="s">
        <v>23</v>
      </c>
      <c r="E1315" t="s">
        <v>23</v>
      </c>
      <c r="F1315" t="s">
        <v>11</v>
      </c>
      <c r="G1315" t="s">
        <v>23</v>
      </c>
      <c r="H1315" s="1">
        <v>1</v>
      </c>
      <c r="I1315" s="1">
        <v>2335</v>
      </c>
      <c r="J1315" t="s">
        <v>4</v>
      </c>
      <c r="K1315" s="1">
        <v>15</v>
      </c>
      <c r="L1315" s="1">
        <v>3</v>
      </c>
      <c r="M1315" s="1">
        <v>4</v>
      </c>
      <c r="N1315" s="1">
        <v>3</v>
      </c>
      <c r="O1315" s="1">
        <v>2</v>
      </c>
      <c r="P1315" s="1">
        <f>COUNTIF(HR_Data[Employee Number],HR_Data[[#This Row],[Employee Number]])</f>
        <v>1</v>
      </c>
      <c r="Q1315" s="1" t="str">
        <f>IF(HR_Data[[#This Row],[Years At Company]]&lt;=HR_Data[[#This Row],[Total Working Years]],"Valid","error")</f>
        <v>Valid</v>
      </c>
      <c r="R1315" s="1" t="str" cm="1">
        <f t="array" ref="R1315">_xlfn.IFS(HR_Data[[#This Row],[Age]]&lt;=30,"Young", HR_Data[[#This Row],[Age]]&lt;=45,"Mid-Age",HR_Data[[#This Row],[Age]]&gt;45,"Senior")</f>
        <v>Young</v>
      </c>
      <c r="S1315" s="1" t="str" cm="1">
        <f t="array" ref="S1315">_xlfn.IFS(HR_Data[[#This Row],[Monthly Income]]&lt;5000,"Low", HR_Data[[#This Row],[Monthly Income]]&lt;10000,"Medium",TRUE,"High")</f>
        <v>Low</v>
      </c>
      <c r="T1315" s="1" t="str" cm="1">
        <f t="array" ref="T1315">_xlfn.IFS(HR_Data[[#This Row],[Total Working Years]]&lt;=5,"Junior", HR_Data[[#This Row],[Total Working Years]]&lt;=15,"Mid-Level", TRUE, "Senior")</f>
        <v>Junior</v>
      </c>
    </row>
    <row r="1316" spans="1:20" x14ac:dyDescent="0.25">
      <c r="A1316" s="1">
        <v>1845</v>
      </c>
      <c r="B1316" s="1">
        <v>45</v>
      </c>
      <c r="C1316" t="s">
        <v>9</v>
      </c>
      <c r="D1316" t="s">
        <v>5</v>
      </c>
      <c r="E1316" t="s">
        <v>6</v>
      </c>
      <c r="F1316" t="s">
        <v>7</v>
      </c>
      <c r="G1316" t="s">
        <v>8</v>
      </c>
      <c r="H1316" s="1">
        <v>3</v>
      </c>
      <c r="I1316" s="1">
        <v>5154</v>
      </c>
      <c r="J1316" t="s">
        <v>9</v>
      </c>
      <c r="K1316" s="1">
        <v>22</v>
      </c>
      <c r="L1316" s="1">
        <v>4</v>
      </c>
      <c r="M1316" s="1">
        <v>10</v>
      </c>
      <c r="N1316" s="1">
        <v>4</v>
      </c>
      <c r="O1316" s="1">
        <v>8</v>
      </c>
      <c r="P1316" s="1">
        <f>COUNTIF(HR_Data[Employee Number],HR_Data[[#This Row],[Employee Number]])</f>
        <v>1</v>
      </c>
      <c r="Q1316" s="1" t="str">
        <f>IF(HR_Data[[#This Row],[Years At Company]]&lt;=HR_Data[[#This Row],[Total Working Years]],"Valid","error")</f>
        <v>Valid</v>
      </c>
      <c r="R1316" s="1" t="str" cm="1">
        <f t="array" ref="R1316">_xlfn.IFS(HR_Data[[#This Row],[Age]]&lt;=30,"Young", HR_Data[[#This Row],[Age]]&lt;=45,"Mid-Age",HR_Data[[#This Row],[Age]]&gt;45,"Senior")</f>
        <v>Mid-Age</v>
      </c>
      <c r="S1316" s="1" t="str" cm="1">
        <f t="array" ref="S1316">_xlfn.IFS(HR_Data[[#This Row],[Monthly Income]]&lt;5000,"Low", HR_Data[[#This Row],[Monthly Income]]&lt;10000,"Medium",TRUE,"High")</f>
        <v>Medium</v>
      </c>
      <c r="T1316" s="1" t="str" cm="1">
        <f t="array" ref="T1316">_xlfn.IFS(HR_Data[[#This Row],[Total Working Years]]&lt;=5,"Junior", HR_Data[[#This Row],[Total Working Years]]&lt;=15,"Mid-Level", TRUE, "Senior")</f>
        <v>Mid-Level</v>
      </c>
    </row>
    <row r="1317" spans="1:20" x14ac:dyDescent="0.25">
      <c r="A1317" s="1">
        <v>1847</v>
      </c>
      <c r="B1317" s="1">
        <v>36</v>
      </c>
      <c r="C1317" t="s">
        <v>9</v>
      </c>
      <c r="D1317" t="s">
        <v>10</v>
      </c>
      <c r="E1317" t="s">
        <v>13</v>
      </c>
      <c r="F1317" t="s">
        <v>7</v>
      </c>
      <c r="G1317" t="s">
        <v>12</v>
      </c>
      <c r="H1317" s="1">
        <v>2</v>
      </c>
      <c r="I1317" s="1">
        <v>6962</v>
      </c>
      <c r="J1317" t="s">
        <v>4</v>
      </c>
      <c r="K1317" s="1">
        <v>22</v>
      </c>
      <c r="L1317" s="1">
        <v>4</v>
      </c>
      <c r="M1317" s="1">
        <v>15</v>
      </c>
      <c r="N1317" s="1">
        <v>3</v>
      </c>
      <c r="O1317" s="1">
        <v>1</v>
      </c>
      <c r="P1317" s="1">
        <f>COUNTIF(HR_Data[Employee Number],HR_Data[[#This Row],[Employee Number]])</f>
        <v>1</v>
      </c>
      <c r="Q1317" s="1" t="str">
        <f>IF(HR_Data[[#This Row],[Years At Company]]&lt;=HR_Data[[#This Row],[Total Working Years]],"Valid","error")</f>
        <v>Valid</v>
      </c>
      <c r="R1317" s="1" t="str" cm="1">
        <f t="array" ref="R1317">_xlfn.IFS(HR_Data[[#This Row],[Age]]&lt;=30,"Young", HR_Data[[#This Row],[Age]]&lt;=45,"Mid-Age",HR_Data[[#This Row],[Age]]&gt;45,"Senior")</f>
        <v>Mid-Age</v>
      </c>
      <c r="S1317" s="1" t="str" cm="1">
        <f t="array" ref="S1317">_xlfn.IFS(HR_Data[[#This Row],[Monthly Income]]&lt;5000,"Low", HR_Data[[#This Row],[Monthly Income]]&lt;10000,"Medium",TRUE,"High")</f>
        <v>Medium</v>
      </c>
      <c r="T1317" s="1" t="str" cm="1">
        <f t="array" ref="T1317">_xlfn.IFS(HR_Data[[#This Row],[Total Working Years]]&lt;=5,"Junior", HR_Data[[#This Row],[Total Working Years]]&lt;=15,"Mid-Level", TRUE, "Senior")</f>
        <v>Mid-Level</v>
      </c>
    </row>
    <row r="1318" spans="1:20" x14ac:dyDescent="0.25">
      <c r="A1318" s="1">
        <v>1849</v>
      </c>
      <c r="B1318" s="1">
        <v>43</v>
      </c>
      <c r="C1318" t="s">
        <v>9</v>
      </c>
      <c r="D1318" t="s">
        <v>5</v>
      </c>
      <c r="E1318" t="s">
        <v>6</v>
      </c>
      <c r="F1318" t="s">
        <v>11</v>
      </c>
      <c r="G1318" t="s">
        <v>8</v>
      </c>
      <c r="H1318" s="1">
        <v>4</v>
      </c>
      <c r="I1318" s="1">
        <v>5675</v>
      </c>
      <c r="J1318" t="s">
        <v>9</v>
      </c>
      <c r="K1318" s="1">
        <v>20</v>
      </c>
      <c r="L1318" s="1">
        <v>4</v>
      </c>
      <c r="M1318" s="1">
        <v>7</v>
      </c>
      <c r="N1318" s="1">
        <v>3</v>
      </c>
      <c r="O1318" s="1">
        <v>7</v>
      </c>
      <c r="P1318" s="1">
        <f>COUNTIF(HR_Data[Employee Number],HR_Data[[#This Row],[Employee Number]])</f>
        <v>1</v>
      </c>
      <c r="Q1318" s="1" t="str">
        <f>IF(HR_Data[[#This Row],[Years At Company]]&lt;=HR_Data[[#This Row],[Total Working Years]],"Valid","error")</f>
        <v>Valid</v>
      </c>
      <c r="R1318" s="1" t="str" cm="1">
        <f t="array" ref="R1318">_xlfn.IFS(HR_Data[[#This Row],[Age]]&lt;=30,"Young", HR_Data[[#This Row],[Age]]&lt;=45,"Mid-Age",HR_Data[[#This Row],[Age]]&gt;45,"Senior")</f>
        <v>Mid-Age</v>
      </c>
      <c r="S1318" s="1" t="str" cm="1">
        <f t="array" ref="S1318">_xlfn.IFS(HR_Data[[#This Row],[Monthly Income]]&lt;5000,"Low", HR_Data[[#This Row],[Monthly Income]]&lt;10000,"Medium",TRUE,"High")</f>
        <v>Medium</v>
      </c>
      <c r="T1318" s="1" t="str" cm="1">
        <f t="array" ref="T1318">_xlfn.IFS(HR_Data[[#This Row],[Total Working Years]]&lt;=5,"Junior", HR_Data[[#This Row],[Total Working Years]]&lt;=15,"Mid-Level", TRUE, "Senior")</f>
        <v>Mid-Level</v>
      </c>
    </row>
    <row r="1319" spans="1:20" x14ac:dyDescent="0.25">
      <c r="A1319" s="1">
        <v>1850</v>
      </c>
      <c r="B1319" s="1">
        <v>27</v>
      </c>
      <c r="C1319" t="s">
        <v>9</v>
      </c>
      <c r="D1319" t="s">
        <v>10</v>
      </c>
      <c r="E1319" t="s">
        <v>6</v>
      </c>
      <c r="F1319" t="s">
        <v>7</v>
      </c>
      <c r="G1319" t="s">
        <v>14</v>
      </c>
      <c r="H1319" s="1">
        <v>4</v>
      </c>
      <c r="I1319" s="1">
        <v>2379</v>
      </c>
      <c r="J1319" t="s">
        <v>4</v>
      </c>
      <c r="K1319" s="1">
        <v>14</v>
      </c>
      <c r="L1319" s="1">
        <v>3</v>
      </c>
      <c r="M1319" s="1">
        <v>6</v>
      </c>
      <c r="N1319" s="1">
        <v>2</v>
      </c>
      <c r="O1319" s="1">
        <v>5</v>
      </c>
      <c r="P1319" s="1">
        <f>COUNTIF(HR_Data[Employee Number],HR_Data[[#This Row],[Employee Number]])</f>
        <v>1</v>
      </c>
      <c r="Q1319" s="1" t="str">
        <f>IF(HR_Data[[#This Row],[Years At Company]]&lt;=HR_Data[[#This Row],[Total Working Years]],"Valid","error")</f>
        <v>Valid</v>
      </c>
      <c r="R1319" s="1" t="str" cm="1">
        <f t="array" ref="R1319">_xlfn.IFS(HR_Data[[#This Row],[Age]]&lt;=30,"Young", HR_Data[[#This Row],[Age]]&lt;=45,"Mid-Age",HR_Data[[#This Row],[Age]]&gt;45,"Senior")</f>
        <v>Young</v>
      </c>
      <c r="S1319" s="1" t="str" cm="1">
        <f t="array" ref="S1319">_xlfn.IFS(HR_Data[[#This Row],[Monthly Income]]&lt;5000,"Low", HR_Data[[#This Row],[Monthly Income]]&lt;10000,"Medium",TRUE,"High")</f>
        <v>Low</v>
      </c>
      <c r="T1319" s="1" t="str" cm="1">
        <f t="array" ref="T1319">_xlfn.IFS(HR_Data[[#This Row],[Total Working Years]]&lt;=5,"Junior", HR_Data[[#This Row],[Total Working Years]]&lt;=15,"Mid-Level", TRUE, "Senior")</f>
        <v>Mid-Level</v>
      </c>
    </row>
    <row r="1320" spans="1:20" x14ac:dyDescent="0.25">
      <c r="A1320" s="1">
        <v>1852</v>
      </c>
      <c r="B1320" s="1">
        <v>29</v>
      </c>
      <c r="C1320" t="s">
        <v>9</v>
      </c>
      <c r="D1320" t="s">
        <v>10</v>
      </c>
      <c r="E1320" t="s">
        <v>15</v>
      </c>
      <c r="F1320" t="s">
        <v>11</v>
      </c>
      <c r="G1320" t="s">
        <v>14</v>
      </c>
      <c r="H1320" s="1">
        <v>4</v>
      </c>
      <c r="I1320" s="1">
        <v>3812</v>
      </c>
      <c r="J1320" t="s">
        <v>9</v>
      </c>
      <c r="K1320" s="1">
        <v>13</v>
      </c>
      <c r="L1320" s="1">
        <v>3</v>
      </c>
      <c r="M1320" s="1">
        <v>11</v>
      </c>
      <c r="N1320" s="1">
        <v>4</v>
      </c>
      <c r="O1320" s="1">
        <v>11</v>
      </c>
      <c r="P1320" s="1">
        <f>COUNTIF(HR_Data[Employee Number],HR_Data[[#This Row],[Employee Number]])</f>
        <v>1</v>
      </c>
      <c r="Q1320" s="1" t="str">
        <f>IF(HR_Data[[#This Row],[Years At Company]]&lt;=HR_Data[[#This Row],[Total Working Years]],"Valid","error")</f>
        <v>Valid</v>
      </c>
      <c r="R1320" s="1" t="str" cm="1">
        <f t="array" ref="R1320">_xlfn.IFS(HR_Data[[#This Row],[Age]]&lt;=30,"Young", HR_Data[[#This Row],[Age]]&lt;=45,"Mid-Age",HR_Data[[#This Row],[Age]]&gt;45,"Senior")</f>
        <v>Young</v>
      </c>
      <c r="S1320" s="1" t="str" cm="1">
        <f t="array" ref="S1320">_xlfn.IFS(HR_Data[[#This Row],[Monthly Income]]&lt;5000,"Low", HR_Data[[#This Row],[Monthly Income]]&lt;10000,"Medium",TRUE,"High")</f>
        <v>Low</v>
      </c>
      <c r="T1320" s="1" t="str" cm="1">
        <f t="array" ref="T1320">_xlfn.IFS(HR_Data[[#This Row],[Total Working Years]]&lt;=5,"Junior", HR_Data[[#This Row],[Total Working Years]]&lt;=15,"Mid-Level", TRUE, "Senior")</f>
        <v>Mid-Level</v>
      </c>
    </row>
    <row r="1321" spans="1:20" x14ac:dyDescent="0.25">
      <c r="A1321" s="1">
        <v>1853</v>
      </c>
      <c r="B1321" s="1">
        <v>32</v>
      </c>
      <c r="C1321" t="s">
        <v>9</v>
      </c>
      <c r="D1321" t="s">
        <v>5</v>
      </c>
      <c r="E1321" t="s">
        <v>21</v>
      </c>
      <c r="F1321" t="s">
        <v>11</v>
      </c>
      <c r="G1321" t="s">
        <v>8</v>
      </c>
      <c r="H1321" s="1">
        <v>4</v>
      </c>
      <c r="I1321" s="1">
        <v>4648</v>
      </c>
      <c r="J1321" t="s">
        <v>9</v>
      </c>
      <c r="K1321" s="1">
        <v>13</v>
      </c>
      <c r="L1321" s="1">
        <v>3</v>
      </c>
      <c r="M1321" s="1">
        <v>4</v>
      </c>
      <c r="N1321" s="1">
        <v>4</v>
      </c>
      <c r="O1321" s="1">
        <v>0</v>
      </c>
      <c r="P1321" s="1">
        <f>COUNTIF(HR_Data[Employee Number],HR_Data[[#This Row],[Employee Number]])</f>
        <v>1</v>
      </c>
      <c r="Q1321" s="1" t="str">
        <f>IF(HR_Data[[#This Row],[Years At Company]]&lt;=HR_Data[[#This Row],[Total Working Years]],"Valid","error")</f>
        <v>Valid</v>
      </c>
      <c r="R1321" s="1" t="str" cm="1">
        <f t="array" ref="R1321">_xlfn.IFS(HR_Data[[#This Row],[Age]]&lt;=30,"Young", HR_Data[[#This Row],[Age]]&lt;=45,"Mid-Age",HR_Data[[#This Row],[Age]]&gt;45,"Senior")</f>
        <v>Mid-Age</v>
      </c>
      <c r="S1321" s="1" t="str" cm="1">
        <f t="array" ref="S1321">_xlfn.IFS(HR_Data[[#This Row],[Monthly Income]]&lt;5000,"Low", HR_Data[[#This Row],[Monthly Income]]&lt;10000,"Medium",TRUE,"High")</f>
        <v>Low</v>
      </c>
      <c r="T1321" s="1" t="str" cm="1">
        <f t="array" ref="T1321">_xlfn.IFS(HR_Data[[#This Row],[Total Working Years]]&lt;=5,"Junior", HR_Data[[#This Row],[Total Working Years]]&lt;=15,"Mid-Level", TRUE, "Senior")</f>
        <v>Junior</v>
      </c>
    </row>
    <row r="1322" spans="1:20" x14ac:dyDescent="0.25">
      <c r="A1322" s="1">
        <v>1854</v>
      </c>
      <c r="B1322" s="1">
        <v>42</v>
      </c>
      <c r="C1322" t="s">
        <v>9</v>
      </c>
      <c r="D1322" t="s">
        <v>10</v>
      </c>
      <c r="E1322" t="s">
        <v>22</v>
      </c>
      <c r="F1322" t="s">
        <v>11</v>
      </c>
      <c r="G1322" t="s">
        <v>12</v>
      </c>
      <c r="H1322" s="1">
        <v>3</v>
      </c>
      <c r="I1322" s="1">
        <v>2936</v>
      </c>
      <c r="J1322" t="s">
        <v>9</v>
      </c>
      <c r="K1322" s="1">
        <v>22</v>
      </c>
      <c r="L1322" s="1">
        <v>4</v>
      </c>
      <c r="M1322" s="1">
        <v>10</v>
      </c>
      <c r="N1322" s="1">
        <v>2</v>
      </c>
      <c r="O1322" s="1">
        <v>6</v>
      </c>
      <c r="P1322" s="1">
        <f>COUNTIF(HR_Data[Employee Number],HR_Data[[#This Row],[Employee Number]])</f>
        <v>1</v>
      </c>
      <c r="Q1322" s="1" t="str">
        <f>IF(HR_Data[[#This Row],[Years At Company]]&lt;=HR_Data[[#This Row],[Total Working Years]],"Valid","error")</f>
        <v>Valid</v>
      </c>
      <c r="R1322" s="1" t="str" cm="1">
        <f t="array" ref="R1322">_xlfn.IFS(HR_Data[[#This Row],[Age]]&lt;=30,"Young", HR_Data[[#This Row],[Age]]&lt;=45,"Mid-Age",HR_Data[[#This Row],[Age]]&gt;45,"Senior")</f>
        <v>Mid-Age</v>
      </c>
      <c r="S1322" s="1" t="str" cm="1">
        <f t="array" ref="S1322">_xlfn.IFS(HR_Data[[#This Row],[Monthly Income]]&lt;5000,"Low", HR_Data[[#This Row],[Monthly Income]]&lt;10000,"Medium",TRUE,"High")</f>
        <v>Low</v>
      </c>
      <c r="T1322" s="1" t="str" cm="1">
        <f t="array" ref="T1322">_xlfn.IFS(HR_Data[[#This Row],[Total Working Years]]&lt;=5,"Junior", HR_Data[[#This Row],[Total Working Years]]&lt;=15,"Mid-Level", TRUE, "Senior")</f>
        <v>Mid-Level</v>
      </c>
    </row>
    <row r="1323" spans="1:20" x14ac:dyDescent="0.25">
      <c r="A1323" s="1">
        <v>1856</v>
      </c>
      <c r="B1323" s="1">
        <v>47</v>
      </c>
      <c r="C1323" t="s">
        <v>9</v>
      </c>
      <c r="D1323" t="s">
        <v>10</v>
      </c>
      <c r="E1323" t="s">
        <v>6</v>
      </c>
      <c r="F1323" t="s">
        <v>7</v>
      </c>
      <c r="G1323" t="s">
        <v>14</v>
      </c>
      <c r="H1323" s="1">
        <v>3</v>
      </c>
      <c r="I1323" s="1">
        <v>2105</v>
      </c>
      <c r="J1323" t="s">
        <v>9</v>
      </c>
      <c r="K1323" s="1">
        <v>12</v>
      </c>
      <c r="L1323" s="1">
        <v>3</v>
      </c>
      <c r="M1323" s="1">
        <v>7</v>
      </c>
      <c r="N1323" s="1">
        <v>3</v>
      </c>
      <c r="O1323" s="1">
        <v>2</v>
      </c>
      <c r="P1323" s="1">
        <f>COUNTIF(HR_Data[Employee Number],HR_Data[[#This Row],[Employee Number]])</f>
        <v>1</v>
      </c>
      <c r="Q1323" s="1" t="str">
        <f>IF(HR_Data[[#This Row],[Years At Company]]&lt;=HR_Data[[#This Row],[Total Working Years]],"Valid","error")</f>
        <v>Valid</v>
      </c>
      <c r="R1323" s="1" t="str" cm="1">
        <f t="array" ref="R1323">_xlfn.IFS(HR_Data[[#This Row],[Age]]&lt;=30,"Young", HR_Data[[#This Row],[Age]]&lt;=45,"Mid-Age",HR_Data[[#This Row],[Age]]&gt;45,"Senior")</f>
        <v>Senior</v>
      </c>
      <c r="S1323" s="1" t="str" cm="1">
        <f t="array" ref="S1323">_xlfn.IFS(HR_Data[[#This Row],[Monthly Income]]&lt;5000,"Low", HR_Data[[#This Row],[Monthly Income]]&lt;10000,"Medium",TRUE,"High")</f>
        <v>Low</v>
      </c>
      <c r="T1323" s="1" t="str" cm="1">
        <f t="array" ref="T1323">_xlfn.IFS(HR_Data[[#This Row],[Total Working Years]]&lt;=5,"Junior", HR_Data[[#This Row],[Total Working Years]]&lt;=15,"Mid-Level", TRUE, "Senior")</f>
        <v>Mid-Level</v>
      </c>
    </row>
    <row r="1324" spans="1:20" x14ac:dyDescent="0.25">
      <c r="A1324" s="1">
        <v>1857</v>
      </c>
      <c r="B1324" s="1">
        <v>46</v>
      </c>
      <c r="C1324" t="s">
        <v>9</v>
      </c>
      <c r="D1324" t="s">
        <v>10</v>
      </c>
      <c r="E1324" t="s">
        <v>6</v>
      </c>
      <c r="F1324" t="s">
        <v>11</v>
      </c>
      <c r="G1324" t="s">
        <v>16</v>
      </c>
      <c r="H1324" s="1">
        <v>4</v>
      </c>
      <c r="I1324" s="1">
        <v>8578</v>
      </c>
      <c r="J1324" t="s">
        <v>9</v>
      </c>
      <c r="K1324" s="1">
        <v>14</v>
      </c>
      <c r="L1324" s="1">
        <v>3</v>
      </c>
      <c r="M1324" s="1">
        <v>12</v>
      </c>
      <c r="N1324" s="1">
        <v>2</v>
      </c>
      <c r="O1324" s="1">
        <v>9</v>
      </c>
      <c r="P1324" s="1">
        <f>COUNTIF(HR_Data[Employee Number],HR_Data[[#This Row],[Employee Number]])</f>
        <v>1</v>
      </c>
      <c r="Q1324" s="1" t="str">
        <f>IF(HR_Data[[#This Row],[Years At Company]]&lt;=HR_Data[[#This Row],[Total Working Years]],"Valid","error")</f>
        <v>Valid</v>
      </c>
      <c r="R1324" s="1" t="str" cm="1">
        <f t="array" ref="R1324">_xlfn.IFS(HR_Data[[#This Row],[Age]]&lt;=30,"Young", HR_Data[[#This Row],[Age]]&lt;=45,"Mid-Age",HR_Data[[#This Row],[Age]]&gt;45,"Senior")</f>
        <v>Senior</v>
      </c>
      <c r="S1324" s="1" t="str" cm="1">
        <f t="array" ref="S1324">_xlfn.IFS(HR_Data[[#This Row],[Monthly Income]]&lt;5000,"Low", HR_Data[[#This Row],[Monthly Income]]&lt;10000,"Medium",TRUE,"High")</f>
        <v>Medium</v>
      </c>
      <c r="T1324" s="1" t="str" cm="1">
        <f t="array" ref="T1324">_xlfn.IFS(HR_Data[[#This Row],[Total Working Years]]&lt;=5,"Junior", HR_Data[[#This Row],[Total Working Years]]&lt;=15,"Mid-Level", TRUE, "Senior")</f>
        <v>Mid-Level</v>
      </c>
    </row>
    <row r="1325" spans="1:20" x14ac:dyDescent="0.25">
      <c r="A1325" s="1">
        <v>1858</v>
      </c>
      <c r="B1325" s="1">
        <v>28</v>
      </c>
      <c r="C1325" t="s">
        <v>9</v>
      </c>
      <c r="D1325" t="s">
        <v>23</v>
      </c>
      <c r="E1325" t="s">
        <v>6</v>
      </c>
      <c r="F1325" t="s">
        <v>11</v>
      </c>
      <c r="G1325" t="s">
        <v>23</v>
      </c>
      <c r="H1325" s="1">
        <v>4</v>
      </c>
      <c r="I1325" s="1">
        <v>2706</v>
      </c>
      <c r="J1325" t="s">
        <v>9</v>
      </c>
      <c r="K1325" s="1">
        <v>15</v>
      </c>
      <c r="L1325" s="1">
        <v>3</v>
      </c>
      <c r="M1325" s="1">
        <v>3</v>
      </c>
      <c r="N1325" s="1">
        <v>3</v>
      </c>
      <c r="O1325" s="1">
        <v>3</v>
      </c>
      <c r="P1325" s="1">
        <f>COUNTIF(HR_Data[Employee Number],HR_Data[[#This Row],[Employee Number]])</f>
        <v>1</v>
      </c>
      <c r="Q1325" s="1" t="str">
        <f>IF(HR_Data[[#This Row],[Years At Company]]&lt;=HR_Data[[#This Row],[Total Working Years]],"Valid","error")</f>
        <v>Valid</v>
      </c>
      <c r="R1325" s="1" t="str" cm="1">
        <f t="array" ref="R1325">_xlfn.IFS(HR_Data[[#This Row],[Age]]&lt;=30,"Young", HR_Data[[#This Row],[Age]]&lt;=45,"Mid-Age",HR_Data[[#This Row],[Age]]&gt;45,"Senior")</f>
        <v>Young</v>
      </c>
      <c r="S1325" s="1" t="str" cm="1">
        <f t="array" ref="S1325">_xlfn.IFS(HR_Data[[#This Row],[Monthly Income]]&lt;5000,"Low", HR_Data[[#This Row],[Monthly Income]]&lt;10000,"Medium",TRUE,"High")</f>
        <v>Low</v>
      </c>
      <c r="T1325" s="1" t="str" cm="1">
        <f t="array" ref="T1325">_xlfn.IFS(HR_Data[[#This Row],[Total Working Years]]&lt;=5,"Junior", HR_Data[[#This Row],[Total Working Years]]&lt;=15,"Mid-Level", TRUE, "Senior")</f>
        <v>Junior</v>
      </c>
    </row>
    <row r="1326" spans="1:20" x14ac:dyDescent="0.25">
      <c r="A1326" s="1">
        <v>1859</v>
      </c>
      <c r="B1326" s="1">
        <v>29</v>
      </c>
      <c r="C1326" t="s">
        <v>9</v>
      </c>
      <c r="D1326" t="s">
        <v>10</v>
      </c>
      <c r="E1326" t="s">
        <v>6</v>
      </c>
      <c r="F1326" t="s">
        <v>11</v>
      </c>
      <c r="G1326" t="s">
        <v>17</v>
      </c>
      <c r="H1326" s="1">
        <v>3</v>
      </c>
      <c r="I1326" s="1">
        <v>6384</v>
      </c>
      <c r="J1326" t="s">
        <v>9</v>
      </c>
      <c r="K1326" s="1">
        <v>17</v>
      </c>
      <c r="L1326" s="1">
        <v>3</v>
      </c>
      <c r="M1326" s="1">
        <v>11</v>
      </c>
      <c r="N1326" s="1">
        <v>3</v>
      </c>
      <c r="O1326" s="1">
        <v>7</v>
      </c>
      <c r="P1326" s="1">
        <f>COUNTIF(HR_Data[Employee Number],HR_Data[[#This Row],[Employee Number]])</f>
        <v>1</v>
      </c>
      <c r="Q1326" s="1" t="str">
        <f>IF(HR_Data[[#This Row],[Years At Company]]&lt;=HR_Data[[#This Row],[Total Working Years]],"Valid","error")</f>
        <v>Valid</v>
      </c>
      <c r="R1326" s="1" t="str" cm="1">
        <f t="array" ref="R1326">_xlfn.IFS(HR_Data[[#This Row],[Age]]&lt;=30,"Young", HR_Data[[#This Row],[Age]]&lt;=45,"Mid-Age",HR_Data[[#This Row],[Age]]&gt;45,"Senior")</f>
        <v>Young</v>
      </c>
      <c r="S1326" s="1" t="str" cm="1">
        <f t="array" ref="S1326">_xlfn.IFS(HR_Data[[#This Row],[Monthly Income]]&lt;5000,"Low", HR_Data[[#This Row],[Monthly Income]]&lt;10000,"Medium",TRUE,"High")</f>
        <v>Medium</v>
      </c>
      <c r="T1326" s="1" t="str" cm="1">
        <f t="array" ref="T1326">_xlfn.IFS(HR_Data[[#This Row],[Total Working Years]]&lt;=5,"Junior", HR_Data[[#This Row],[Total Working Years]]&lt;=15,"Mid-Level", TRUE, "Senior")</f>
        <v>Mid-Level</v>
      </c>
    </row>
    <row r="1327" spans="1:20" x14ac:dyDescent="0.25">
      <c r="A1327" s="1">
        <v>1860</v>
      </c>
      <c r="B1327" s="1">
        <v>42</v>
      </c>
      <c r="C1327" t="s">
        <v>9</v>
      </c>
      <c r="D1327" t="s">
        <v>10</v>
      </c>
      <c r="E1327" t="s">
        <v>6</v>
      </c>
      <c r="F1327" t="s">
        <v>11</v>
      </c>
      <c r="G1327" t="s">
        <v>14</v>
      </c>
      <c r="H1327" s="1">
        <v>3</v>
      </c>
      <c r="I1327" s="1">
        <v>3968</v>
      </c>
      <c r="J1327" t="s">
        <v>9</v>
      </c>
      <c r="K1327" s="1">
        <v>13</v>
      </c>
      <c r="L1327" s="1">
        <v>3</v>
      </c>
      <c r="M1327" s="1">
        <v>8</v>
      </c>
      <c r="N1327" s="1">
        <v>3</v>
      </c>
      <c r="O1327" s="1">
        <v>0</v>
      </c>
      <c r="P1327" s="1">
        <f>COUNTIF(HR_Data[Employee Number],HR_Data[[#This Row],[Employee Number]])</f>
        <v>1</v>
      </c>
      <c r="Q1327" s="1" t="str">
        <f>IF(HR_Data[[#This Row],[Years At Company]]&lt;=HR_Data[[#This Row],[Total Working Years]],"Valid","error")</f>
        <v>Valid</v>
      </c>
      <c r="R1327" s="1" t="str" cm="1">
        <f t="array" ref="R1327">_xlfn.IFS(HR_Data[[#This Row],[Age]]&lt;=30,"Young", HR_Data[[#This Row],[Age]]&lt;=45,"Mid-Age",HR_Data[[#This Row],[Age]]&gt;45,"Senior")</f>
        <v>Mid-Age</v>
      </c>
      <c r="S1327" s="1" t="str" cm="1">
        <f t="array" ref="S1327">_xlfn.IFS(HR_Data[[#This Row],[Monthly Income]]&lt;5000,"Low", HR_Data[[#This Row],[Monthly Income]]&lt;10000,"Medium",TRUE,"High")</f>
        <v>Low</v>
      </c>
      <c r="T1327" s="1" t="str" cm="1">
        <f t="array" ref="T1327">_xlfn.IFS(HR_Data[[#This Row],[Total Working Years]]&lt;=5,"Junior", HR_Data[[#This Row],[Total Working Years]]&lt;=15,"Mid-Level", TRUE, "Senior")</f>
        <v>Mid-Level</v>
      </c>
    </row>
    <row r="1328" spans="1:20" x14ac:dyDescent="0.25">
      <c r="A1328" s="1">
        <v>1862</v>
      </c>
      <c r="B1328" s="1">
        <v>32</v>
      </c>
      <c r="C1328" t="s">
        <v>4</v>
      </c>
      <c r="D1328" t="s">
        <v>5</v>
      </c>
      <c r="E1328" t="s">
        <v>21</v>
      </c>
      <c r="F1328" t="s">
        <v>11</v>
      </c>
      <c r="G1328" t="s">
        <v>8</v>
      </c>
      <c r="H1328" s="1">
        <v>2</v>
      </c>
      <c r="I1328" s="1">
        <v>9907</v>
      </c>
      <c r="J1328" t="s">
        <v>4</v>
      </c>
      <c r="K1328" s="1">
        <v>12</v>
      </c>
      <c r="L1328" s="1">
        <v>3</v>
      </c>
      <c r="M1328" s="1">
        <v>7</v>
      </c>
      <c r="N1328" s="1">
        <v>2</v>
      </c>
      <c r="O1328" s="1">
        <v>2</v>
      </c>
      <c r="P1328" s="1">
        <f>COUNTIF(HR_Data[Employee Number],HR_Data[[#This Row],[Employee Number]])</f>
        <v>1</v>
      </c>
      <c r="Q1328" s="1" t="str">
        <f>IF(HR_Data[[#This Row],[Years At Company]]&lt;=HR_Data[[#This Row],[Total Working Years]],"Valid","error")</f>
        <v>Valid</v>
      </c>
      <c r="R1328" s="1" t="str" cm="1">
        <f t="array" ref="R1328">_xlfn.IFS(HR_Data[[#This Row],[Age]]&lt;=30,"Young", HR_Data[[#This Row],[Age]]&lt;=45,"Mid-Age",HR_Data[[#This Row],[Age]]&gt;45,"Senior")</f>
        <v>Mid-Age</v>
      </c>
      <c r="S1328" s="1" t="str" cm="1">
        <f t="array" ref="S1328">_xlfn.IFS(HR_Data[[#This Row],[Monthly Income]]&lt;5000,"Low", HR_Data[[#This Row],[Monthly Income]]&lt;10000,"Medium",TRUE,"High")</f>
        <v>Medium</v>
      </c>
      <c r="T1328" s="1" t="str" cm="1">
        <f t="array" ref="T1328">_xlfn.IFS(HR_Data[[#This Row],[Total Working Years]]&lt;=5,"Junior", HR_Data[[#This Row],[Total Working Years]]&lt;=15,"Mid-Level", TRUE, "Senior")</f>
        <v>Mid-Level</v>
      </c>
    </row>
    <row r="1329" spans="1:20" x14ac:dyDescent="0.25">
      <c r="A1329" s="1">
        <v>1863</v>
      </c>
      <c r="B1329" s="1">
        <v>46</v>
      </c>
      <c r="C1329" t="s">
        <v>9</v>
      </c>
      <c r="D1329" t="s">
        <v>5</v>
      </c>
      <c r="E1329" t="s">
        <v>22</v>
      </c>
      <c r="F1329" t="s">
        <v>7</v>
      </c>
      <c r="G1329" t="s">
        <v>8</v>
      </c>
      <c r="H1329" s="1">
        <v>1</v>
      </c>
      <c r="I1329" s="1">
        <v>13225</v>
      </c>
      <c r="J1329" t="s">
        <v>9</v>
      </c>
      <c r="K1329" s="1">
        <v>12</v>
      </c>
      <c r="L1329" s="1">
        <v>3</v>
      </c>
      <c r="M1329" s="1">
        <v>25</v>
      </c>
      <c r="N1329" s="1">
        <v>3</v>
      </c>
      <c r="O1329" s="1">
        <v>19</v>
      </c>
      <c r="P1329" s="1">
        <f>COUNTIF(HR_Data[Employee Number],HR_Data[[#This Row],[Employee Number]])</f>
        <v>1</v>
      </c>
      <c r="Q1329" s="1" t="str">
        <f>IF(HR_Data[[#This Row],[Years At Company]]&lt;=HR_Data[[#This Row],[Total Working Years]],"Valid","error")</f>
        <v>Valid</v>
      </c>
      <c r="R1329" s="1" t="str" cm="1">
        <f t="array" ref="R1329">_xlfn.IFS(HR_Data[[#This Row],[Age]]&lt;=30,"Young", HR_Data[[#This Row],[Age]]&lt;=45,"Mid-Age",HR_Data[[#This Row],[Age]]&gt;45,"Senior")</f>
        <v>Senior</v>
      </c>
      <c r="S1329" s="1" t="str" cm="1">
        <f t="array" ref="S1329">_xlfn.IFS(HR_Data[[#This Row],[Monthly Income]]&lt;5000,"Low", HR_Data[[#This Row],[Monthly Income]]&lt;10000,"Medium",TRUE,"High")</f>
        <v>High</v>
      </c>
      <c r="T1329" s="1" t="str" cm="1">
        <f t="array" ref="T1329">_xlfn.IFS(HR_Data[[#This Row],[Total Working Years]]&lt;=5,"Junior", HR_Data[[#This Row],[Total Working Years]]&lt;=15,"Mid-Level", TRUE, "Senior")</f>
        <v>Senior</v>
      </c>
    </row>
    <row r="1330" spans="1:20" x14ac:dyDescent="0.25">
      <c r="A1330" s="1">
        <v>1864</v>
      </c>
      <c r="B1330" s="1">
        <v>27</v>
      </c>
      <c r="C1330" t="s">
        <v>9</v>
      </c>
      <c r="D1330" t="s">
        <v>5</v>
      </c>
      <c r="E1330" t="s">
        <v>15</v>
      </c>
      <c r="F1330" t="s">
        <v>7</v>
      </c>
      <c r="G1330" t="s">
        <v>19</v>
      </c>
      <c r="H1330" s="1">
        <v>3</v>
      </c>
      <c r="I1330" s="1">
        <v>3540</v>
      </c>
      <c r="J1330" t="s">
        <v>9</v>
      </c>
      <c r="K1330" s="1">
        <v>21</v>
      </c>
      <c r="L1330" s="1">
        <v>4</v>
      </c>
      <c r="M1330" s="1">
        <v>9</v>
      </c>
      <c r="N1330" s="1">
        <v>3</v>
      </c>
      <c r="O1330" s="1">
        <v>9</v>
      </c>
      <c r="P1330" s="1">
        <f>COUNTIF(HR_Data[Employee Number],HR_Data[[#This Row],[Employee Number]])</f>
        <v>1</v>
      </c>
      <c r="Q1330" s="1" t="str">
        <f>IF(HR_Data[[#This Row],[Years At Company]]&lt;=HR_Data[[#This Row],[Total Working Years]],"Valid","error")</f>
        <v>Valid</v>
      </c>
      <c r="R1330" s="1" t="str" cm="1">
        <f t="array" ref="R1330">_xlfn.IFS(HR_Data[[#This Row],[Age]]&lt;=30,"Young", HR_Data[[#This Row],[Age]]&lt;=45,"Mid-Age",HR_Data[[#This Row],[Age]]&gt;45,"Senior")</f>
        <v>Young</v>
      </c>
      <c r="S1330" s="1" t="str" cm="1">
        <f t="array" ref="S1330">_xlfn.IFS(HR_Data[[#This Row],[Monthly Income]]&lt;5000,"Low", HR_Data[[#This Row],[Monthly Income]]&lt;10000,"Medium",TRUE,"High")</f>
        <v>Low</v>
      </c>
      <c r="T1330" s="1" t="str" cm="1">
        <f t="array" ref="T1330">_xlfn.IFS(HR_Data[[#This Row],[Total Working Years]]&lt;=5,"Junior", HR_Data[[#This Row],[Total Working Years]]&lt;=15,"Mid-Level", TRUE, "Senior")</f>
        <v>Mid-Level</v>
      </c>
    </row>
    <row r="1331" spans="1:20" x14ac:dyDescent="0.25">
      <c r="A1331" s="1">
        <v>1865</v>
      </c>
      <c r="B1331" s="1">
        <v>29</v>
      </c>
      <c r="C1331" t="s">
        <v>9</v>
      </c>
      <c r="D1331" t="s">
        <v>23</v>
      </c>
      <c r="E1331" t="s">
        <v>15</v>
      </c>
      <c r="F1331" t="s">
        <v>11</v>
      </c>
      <c r="G1331" t="s">
        <v>23</v>
      </c>
      <c r="H1331" s="1">
        <v>2</v>
      </c>
      <c r="I1331" s="1">
        <v>2804</v>
      </c>
      <c r="J1331" t="s">
        <v>9</v>
      </c>
      <c r="K1331" s="1">
        <v>11</v>
      </c>
      <c r="L1331" s="1">
        <v>3</v>
      </c>
      <c r="M1331" s="1">
        <v>1</v>
      </c>
      <c r="N1331" s="1">
        <v>3</v>
      </c>
      <c r="O1331" s="1">
        <v>1</v>
      </c>
      <c r="P1331" s="1">
        <f>COUNTIF(HR_Data[Employee Number],HR_Data[[#This Row],[Employee Number]])</f>
        <v>1</v>
      </c>
      <c r="Q1331" s="1" t="str">
        <f>IF(HR_Data[[#This Row],[Years At Company]]&lt;=HR_Data[[#This Row],[Total Working Years]],"Valid","error")</f>
        <v>Valid</v>
      </c>
      <c r="R1331" s="1" t="str" cm="1">
        <f t="array" ref="R1331">_xlfn.IFS(HR_Data[[#This Row],[Age]]&lt;=30,"Young", HR_Data[[#This Row],[Age]]&lt;=45,"Mid-Age",HR_Data[[#This Row],[Age]]&gt;45,"Senior")</f>
        <v>Young</v>
      </c>
      <c r="S1331" s="1" t="str" cm="1">
        <f t="array" ref="S1331">_xlfn.IFS(HR_Data[[#This Row],[Monthly Income]]&lt;5000,"Low", HR_Data[[#This Row],[Monthly Income]]&lt;10000,"Medium",TRUE,"High")</f>
        <v>Low</v>
      </c>
      <c r="T1331" s="1" t="str" cm="1">
        <f t="array" ref="T1331">_xlfn.IFS(HR_Data[[#This Row],[Total Working Years]]&lt;=5,"Junior", HR_Data[[#This Row],[Total Working Years]]&lt;=15,"Mid-Level", TRUE, "Senior")</f>
        <v>Junior</v>
      </c>
    </row>
    <row r="1332" spans="1:20" x14ac:dyDescent="0.25">
      <c r="A1332" s="1">
        <v>1866</v>
      </c>
      <c r="B1332" s="1">
        <v>43</v>
      </c>
      <c r="C1332" t="s">
        <v>9</v>
      </c>
      <c r="D1332" t="s">
        <v>10</v>
      </c>
      <c r="E1332" t="s">
        <v>15</v>
      </c>
      <c r="F1332" t="s">
        <v>7</v>
      </c>
      <c r="G1332" t="s">
        <v>18</v>
      </c>
      <c r="H1332" s="1">
        <v>3</v>
      </c>
      <c r="I1332" s="1">
        <v>19392</v>
      </c>
      <c r="J1332" t="s">
        <v>9</v>
      </c>
      <c r="K1332" s="1">
        <v>13</v>
      </c>
      <c r="L1332" s="1">
        <v>3</v>
      </c>
      <c r="M1332" s="1">
        <v>21</v>
      </c>
      <c r="N1332" s="1">
        <v>3</v>
      </c>
      <c r="O1332" s="1">
        <v>16</v>
      </c>
      <c r="P1332" s="1">
        <f>COUNTIF(HR_Data[Employee Number],HR_Data[[#This Row],[Employee Number]])</f>
        <v>1</v>
      </c>
      <c r="Q1332" s="1" t="str">
        <f>IF(HR_Data[[#This Row],[Years At Company]]&lt;=HR_Data[[#This Row],[Total Working Years]],"Valid","error")</f>
        <v>Valid</v>
      </c>
      <c r="R1332" s="1" t="str" cm="1">
        <f t="array" ref="R1332">_xlfn.IFS(HR_Data[[#This Row],[Age]]&lt;=30,"Young", HR_Data[[#This Row],[Age]]&lt;=45,"Mid-Age",HR_Data[[#This Row],[Age]]&gt;45,"Senior")</f>
        <v>Mid-Age</v>
      </c>
      <c r="S1332" s="1" t="str" cm="1">
        <f t="array" ref="S1332">_xlfn.IFS(HR_Data[[#This Row],[Monthly Income]]&lt;5000,"Low", HR_Data[[#This Row],[Monthly Income]]&lt;10000,"Medium",TRUE,"High")</f>
        <v>High</v>
      </c>
      <c r="T1332" s="1" t="str" cm="1">
        <f t="array" ref="T1332">_xlfn.IFS(HR_Data[[#This Row],[Total Working Years]]&lt;=5,"Junior", HR_Data[[#This Row],[Total Working Years]]&lt;=15,"Mid-Level", TRUE, "Senior")</f>
        <v>Senior</v>
      </c>
    </row>
    <row r="1333" spans="1:20" x14ac:dyDescent="0.25">
      <c r="A1333" s="1">
        <v>1867</v>
      </c>
      <c r="B1333" s="1">
        <v>48</v>
      </c>
      <c r="C1333" t="s">
        <v>9</v>
      </c>
      <c r="D1333" t="s">
        <v>10</v>
      </c>
      <c r="E1333" t="s">
        <v>6</v>
      </c>
      <c r="F1333" t="s">
        <v>11</v>
      </c>
      <c r="G1333" t="s">
        <v>20</v>
      </c>
      <c r="H1333" s="1">
        <v>2</v>
      </c>
      <c r="I1333" s="1">
        <v>19665</v>
      </c>
      <c r="J1333" t="s">
        <v>9</v>
      </c>
      <c r="K1333" s="1">
        <v>12</v>
      </c>
      <c r="L1333" s="1">
        <v>3</v>
      </c>
      <c r="M1333" s="1">
        <v>29</v>
      </c>
      <c r="N1333" s="1">
        <v>3</v>
      </c>
      <c r="O1333" s="1">
        <v>22</v>
      </c>
      <c r="P1333" s="1">
        <f>COUNTIF(HR_Data[Employee Number],HR_Data[[#This Row],[Employee Number]])</f>
        <v>1</v>
      </c>
      <c r="Q1333" s="1" t="str">
        <f>IF(HR_Data[[#This Row],[Years At Company]]&lt;=HR_Data[[#This Row],[Total Working Years]],"Valid","error")</f>
        <v>Valid</v>
      </c>
      <c r="R1333" s="1" t="str" cm="1">
        <f t="array" ref="R1333">_xlfn.IFS(HR_Data[[#This Row],[Age]]&lt;=30,"Young", HR_Data[[#This Row],[Age]]&lt;=45,"Mid-Age",HR_Data[[#This Row],[Age]]&gt;45,"Senior")</f>
        <v>Senior</v>
      </c>
      <c r="S1333" s="1" t="str" cm="1">
        <f t="array" ref="S1333">_xlfn.IFS(HR_Data[[#This Row],[Monthly Income]]&lt;5000,"Low", HR_Data[[#This Row],[Monthly Income]]&lt;10000,"Medium",TRUE,"High")</f>
        <v>High</v>
      </c>
      <c r="T1333" s="1" t="str" cm="1">
        <f t="array" ref="T1333">_xlfn.IFS(HR_Data[[#This Row],[Total Working Years]]&lt;=5,"Junior", HR_Data[[#This Row],[Total Working Years]]&lt;=15,"Mid-Level", TRUE, "Senior")</f>
        <v>Senior</v>
      </c>
    </row>
    <row r="1334" spans="1:20" x14ac:dyDescent="0.25">
      <c r="A1334" s="1">
        <v>1868</v>
      </c>
      <c r="B1334" s="1">
        <v>29</v>
      </c>
      <c r="C1334" t="s">
        <v>4</v>
      </c>
      <c r="D1334" t="s">
        <v>10</v>
      </c>
      <c r="E1334" t="s">
        <v>6</v>
      </c>
      <c r="F1334" t="s">
        <v>11</v>
      </c>
      <c r="G1334" t="s">
        <v>12</v>
      </c>
      <c r="H1334" s="1">
        <v>4</v>
      </c>
      <c r="I1334" s="1">
        <v>2439</v>
      </c>
      <c r="J1334" t="s">
        <v>4</v>
      </c>
      <c r="K1334" s="1">
        <v>24</v>
      </c>
      <c r="L1334" s="1">
        <v>4</v>
      </c>
      <c r="M1334" s="1">
        <v>1</v>
      </c>
      <c r="N1334" s="1">
        <v>2</v>
      </c>
      <c r="O1334" s="1">
        <v>1</v>
      </c>
      <c r="P1334" s="1">
        <f>COUNTIF(HR_Data[Employee Number],HR_Data[[#This Row],[Employee Number]])</f>
        <v>1</v>
      </c>
      <c r="Q1334" s="1" t="str">
        <f>IF(HR_Data[[#This Row],[Years At Company]]&lt;=HR_Data[[#This Row],[Total Working Years]],"Valid","error")</f>
        <v>Valid</v>
      </c>
      <c r="R1334" s="1" t="str" cm="1">
        <f t="array" ref="R1334">_xlfn.IFS(HR_Data[[#This Row],[Age]]&lt;=30,"Young", HR_Data[[#This Row],[Age]]&lt;=45,"Mid-Age",HR_Data[[#This Row],[Age]]&gt;45,"Senior")</f>
        <v>Young</v>
      </c>
      <c r="S1334" s="1" t="str" cm="1">
        <f t="array" ref="S1334">_xlfn.IFS(HR_Data[[#This Row],[Monthly Income]]&lt;5000,"Low", HR_Data[[#This Row],[Monthly Income]]&lt;10000,"Medium",TRUE,"High")</f>
        <v>Low</v>
      </c>
      <c r="T1334" s="1" t="str" cm="1">
        <f t="array" ref="T1334">_xlfn.IFS(HR_Data[[#This Row],[Total Working Years]]&lt;=5,"Junior", HR_Data[[#This Row],[Total Working Years]]&lt;=15,"Mid-Level", TRUE, "Senior")</f>
        <v>Junior</v>
      </c>
    </row>
    <row r="1335" spans="1:20" x14ac:dyDescent="0.25">
      <c r="A1335" s="1">
        <v>1869</v>
      </c>
      <c r="B1335" s="1">
        <v>46</v>
      </c>
      <c r="C1335" t="s">
        <v>4</v>
      </c>
      <c r="D1335" t="s">
        <v>5</v>
      </c>
      <c r="E1335" t="s">
        <v>6</v>
      </c>
      <c r="F1335" t="s">
        <v>7</v>
      </c>
      <c r="G1335" t="s">
        <v>8</v>
      </c>
      <c r="H1335" s="1">
        <v>2</v>
      </c>
      <c r="I1335" s="1">
        <v>7314</v>
      </c>
      <c r="J1335" t="s">
        <v>9</v>
      </c>
      <c r="K1335" s="1">
        <v>21</v>
      </c>
      <c r="L1335" s="1">
        <v>4</v>
      </c>
      <c r="M1335" s="1">
        <v>14</v>
      </c>
      <c r="N1335" s="1">
        <v>3</v>
      </c>
      <c r="O1335" s="1">
        <v>8</v>
      </c>
      <c r="P1335" s="1">
        <f>COUNTIF(HR_Data[Employee Number],HR_Data[[#This Row],[Employee Number]])</f>
        <v>1</v>
      </c>
      <c r="Q1335" s="1" t="str">
        <f>IF(HR_Data[[#This Row],[Years At Company]]&lt;=HR_Data[[#This Row],[Total Working Years]],"Valid","error")</f>
        <v>Valid</v>
      </c>
      <c r="R1335" s="1" t="str" cm="1">
        <f t="array" ref="R1335">_xlfn.IFS(HR_Data[[#This Row],[Age]]&lt;=30,"Young", HR_Data[[#This Row],[Age]]&lt;=45,"Mid-Age",HR_Data[[#This Row],[Age]]&gt;45,"Senior")</f>
        <v>Senior</v>
      </c>
      <c r="S1335" s="1" t="str" cm="1">
        <f t="array" ref="S1335">_xlfn.IFS(HR_Data[[#This Row],[Monthly Income]]&lt;5000,"Low", HR_Data[[#This Row],[Monthly Income]]&lt;10000,"Medium",TRUE,"High")</f>
        <v>Medium</v>
      </c>
      <c r="T1335" s="1" t="str" cm="1">
        <f t="array" ref="T1335">_xlfn.IFS(HR_Data[[#This Row],[Total Working Years]]&lt;=5,"Junior", HR_Data[[#This Row],[Total Working Years]]&lt;=15,"Mid-Level", TRUE, "Senior")</f>
        <v>Mid-Level</v>
      </c>
    </row>
    <row r="1336" spans="1:20" x14ac:dyDescent="0.25">
      <c r="A1336" s="1">
        <v>1870</v>
      </c>
      <c r="B1336" s="1">
        <v>27</v>
      </c>
      <c r="C1336" t="s">
        <v>9</v>
      </c>
      <c r="D1336" t="s">
        <v>10</v>
      </c>
      <c r="E1336" t="s">
        <v>6</v>
      </c>
      <c r="F1336" t="s">
        <v>7</v>
      </c>
      <c r="G1336" t="s">
        <v>12</v>
      </c>
      <c r="H1336" s="1">
        <v>1</v>
      </c>
      <c r="I1336" s="1">
        <v>4774</v>
      </c>
      <c r="J1336" t="s">
        <v>9</v>
      </c>
      <c r="K1336" s="1">
        <v>19</v>
      </c>
      <c r="L1336" s="1">
        <v>3</v>
      </c>
      <c r="M1336" s="1">
        <v>8</v>
      </c>
      <c r="N1336" s="1">
        <v>2</v>
      </c>
      <c r="O1336" s="1">
        <v>7</v>
      </c>
      <c r="P1336" s="1">
        <f>COUNTIF(HR_Data[Employee Number],HR_Data[[#This Row],[Employee Number]])</f>
        <v>1</v>
      </c>
      <c r="Q1336" s="1" t="str">
        <f>IF(HR_Data[[#This Row],[Years At Company]]&lt;=HR_Data[[#This Row],[Total Working Years]],"Valid","error")</f>
        <v>Valid</v>
      </c>
      <c r="R1336" s="1" t="str" cm="1">
        <f t="array" ref="R1336">_xlfn.IFS(HR_Data[[#This Row],[Age]]&lt;=30,"Young", HR_Data[[#This Row],[Age]]&lt;=45,"Mid-Age",HR_Data[[#This Row],[Age]]&gt;45,"Senior")</f>
        <v>Young</v>
      </c>
      <c r="S1336" s="1" t="str" cm="1">
        <f t="array" ref="S1336">_xlfn.IFS(HR_Data[[#This Row],[Monthly Income]]&lt;5000,"Low", HR_Data[[#This Row],[Monthly Income]]&lt;10000,"Medium",TRUE,"High")</f>
        <v>Low</v>
      </c>
      <c r="T1336" s="1" t="str" cm="1">
        <f t="array" ref="T1336">_xlfn.IFS(HR_Data[[#This Row],[Total Working Years]]&lt;=5,"Junior", HR_Data[[#This Row],[Total Working Years]]&lt;=15,"Mid-Level", TRUE, "Senior")</f>
        <v>Mid-Level</v>
      </c>
    </row>
    <row r="1337" spans="1:20" x14ac:dyDescent="0.25">
      <c r="A1337" s="1">
        <v>1871</v>
      </c>
      <c r="B1337" s="1">
        <v>39</v>
      </c>
      <c r="C1337" t="s">
        <v>9</v>
      </c>
      <c r="D1337" t="s">
        <v>10</v>
      </c>
      <c r="E1337" t="s">
        <v>13</v>
      </c>
      <c r="F1337" t="s">
        <v>11</v>
      </c>
      <c r="G1337" t="s">
        <v>12</v>
      </c>
      <c r="H1337" s="1">
        <v>4</v>
      </c>
      <c r="I1337" s="1">
        <v>3902</v>
      </c>
      <c r="J1337" t="s">
        <v>9</v>
      </c>
      <c r="K1337" s="1">
        <v>14</v>
      </c>
      <c r="L1337" s="1">
        <v>3</v>
      </c>
      <c r="M1337" s="1">
        <v>7</v>
      </c>
      <c r="N1337" s="1">
        <v>3</v>
      </c>
      <c r="O1337" s="1">
        <v>2</v>
      </c>
      <c r="P1337" s="1">
        <f>COUNTIF(HR_Data[Employee Number],HR_Data[[#This Row],[Employee Number]])</f>
        <v>1</v>
      </c>
      <c r="Q1337" s="1" t="str">
        <f>IF(HR_Data[[#This Row],[Years At Company]]&lt;=HR_Data[[#This Row],[Total Working Years]],"Valid","error")</f>
        <v>Valid</v>
      </c>
      <c r="R1337" s="1" t="str" cm="1">
        <f t="array" ref="R1337">_xlfn.IFS(HR_Data[[#This Row],[Age]]&lt;=30,"Young", HR_Data[[#This Row],[Age]]&lt;=45,"Mid-Age",HR_Data[[#This Row],[Age]]&gt;45,"Senior")</f>
        <v>Mid-Age</v>
      </c>
      <c r="S1337" s="1" t="str" cm="1">
        <f t="array" ref="S1337">_xlfn.IFS(HR_Data[[#This Row],[Monthly Income]]&lt;5000,"Low", HR_Data[[#This Row],[Monthly Income]]&lt;10000,"Medium",TRUE,"High")</f>
        <v>Low</v>
      </c>
      <c r="T1337" s="1" t="str" cm="1">
        <f t="array" ref="T1337">_xlfn.IFS(HR_Data[[#This Row],[Total Working Years]]&lt;=5,"Junior", HR_Data[[#This Row],[Total Working Years]]&lt;=15,"Mid-Level", TRUE, "Senior")</f>
        <v>Mid-Level</v>
      </c>
    </row>
    <row r="1338" spans="1:20" x14ac:dyDescent="0.25">
      <c r="A1338" s="1">
        <v>1873</v>
      </c>
      <c r="B1338" s="1">
        <v>55</v>
      </c>
      <c r="C1338" t="s">
        <v>9</v>
      </c>
      <c r="D1338" t="s">
        <v>10</v>
      </c>
      <c r="E1338" t="s">
        <v>22</v>
      </c>
      <c r="F1338" t="s">
        <v>11</v>
      </c>
      <c r="G1338" t="s">
        <v>12</v>
      </c>
      <c r="H1338" s="1">
        <v>4</v>
      </c>
      <c r="I1338" s="1">
        <v>2662</v>
      </c>
      <c r="J1338" t="s">
        <v>9</v>
      </c>
      <c r="K1338" s="1">
        <v>20</v>
      </c>
      <c r="L1338" s="1">
        <v>4</v>
      </c>
      <c r="M1338" s="1">
        <v>19</v>
      </c>
      <c r="N1338" s="1">
        <v>4</v>
      </c>
      <c r="O1338" s="1">
        <v>5</v>
      </c>
      <c r="P1338" s="1">
        <f>COUNTIF(HR_Data[Employee Number],HR_Data[[#This Row],[Employee Number]])</f>
        <v>1</v>
      </c>
      <c r="Q1338" s="1" t="str">
        <f>IF(HR_Data[[#This Row],[Years At Company]]&lt;=HR_Data[[#This Row],[Total Working Years]],"Valid","error")</f>
        <v>Valid</v>
      </c>
      <c r="R1338" s="1" t="str" cm="1">
        <f t="array" ref="R1338">_xlfn.IFS(HR_Data[[#This Row],[Age]]&lt;=30,"Young", HR_Data[[#This Row],[Age]]&lt;=45,"Mid-Age",HR_Data[[#This Row],[Age]]&gt;45,"Senior")</f>
        <v>Senior</v>
      </c>
      <c r="S1338" s="1" t="str" cm="1">
        <f t="array" ref="S1338">_xlfn.IFS(HR_Data[[#This Row],[Monthly Income]]&lt;5000,"Low", HR_Data[[#This Row],[Monthly Income]]&lt;10000,"Medium",TRUE,"High")</f>
        <v>Low</v>
      </c>
      <c r="T1338" s="1" t="str" cm="1">
        <f t="array" ref="T1338">_xlfn.IFS(HR_Data[[#This Row],[Total Working Years]]&lt;=5,"Junior", HR_Data[[#This Row],[Total Working Years]]&lt;=15,"Mid-Level", TRUE, "Senior")</f>
        <v>Senior</v>
      </c>
    </row>
    <row r="1339" spans="1:20" x14ac:dyDescent="0.25">
      <c r="A1339" s="1">
        <v>1875</v>
      </c>
      <c r="B1339" s="1">
        <v>28</v>
      </c>
      <c r="C1339" t="s">
        <v>9</v>
      </c>
      <c r="D1339" t="s">
        <v>5</v>
      </c>
      <c r="E1339" t="s">
        <v>15</v>
      </c>
      <c r="F1339" t="s">
        <v>7</v>
      </c>
      <c r="G1339" t="s">
        <v>19</v>
      </c>
      <c r="H1339" s="1">
        <v>2</v>
      </c>
      <c r="I1339" s="1">
        <v>2856</v>
      </c>
      <c r="J1339" t="s">
        <v>9</v>
      </c>
      <c r="K1339" s="1">
        <v>19</v>
      </c>
      <c r="L1339" s="1">
        <v>3</v>
      </c>
      <c r="M1339" s="1">
        <v>1</v>
      </c>
      <c r="N1339" s="1">
        <v>3</v>
      </c>
      <c r="O1339" s="1">
        <v>1</v>
      </c>
      <c r="P1339" s="1">
        <f>COUNTIF(HR_Data[Employee Number],HR_Data[[#This Row],[Employee Number]])</f>
        <v>1</v>
      </c>
      <c r="Q1339" s="1" t="str">
        <f>IF(HR_Data[[#This Row],[Years At Company]]&lt;=HR_Data[[#This Row],[Total Working Years]],"Valid","error")</f>
        <v>Valid</v>
      </c>
      <c r="R1339" s="1" t="str" cm="1">
        <f t="array" ref="R1339">_xlfn.IFS(HR_Data[[#This Row],[Age]]&lt;=30,"Young", HR_Data[[#This Row],[Age]]&lt;=45,"Mid-Age",HR_Data[[#This Row],[Age]]&gt;45,"Senior")</f>
        <v>Young</v>
      </c>
      <c r="S1339" s="1" t="str" cm="1">
        <f t="array" ref="S1339">_xlfn.IFS(HR_Data[[#This Row],[Monthly Income]]&lt;5000,"Low", HR_Data[[#This Row],[Monthly Income]]&lt;10000,"Medium",TRUE,"High")</f>
        <v>Low</v>
      </c>
      <c r="T1339" s="1" t="str" cm="1">
        <f t="array" ref="T1339">_xlfn.IFS(HR_Data[[#This Row],[Total Working Years]]&lt;=5,"Junior", HR_Data[[#This Row],[Total Working Years]]&lt;=15,"Mid-Level", TRUE, "Senior")</f>
        <v>Junior</v>
      </c>
    </row>
    <row r="1340" spans="1:20" x14ac:dyDescent="0.25">
      <c r="A1340" s="1">
        <v>1876</v>
      </c>
      <c r="B1340" s="1">
        <v>30</v>
      </c>
      <c r="C1340" t="s">
        <v>4</v>
      </c>
      <c r="D1340" t="s">
        <v>5</v>
      </c>
      <c r="E1340" t="s">
        <v>15</v>
      </c>
      <c r="F1340" t="s">
        <v>11</v>
      </c>
      <c r="G1340" t="s">
        <v>19</v>
      </c>
      <c r="H1340" s="1">
        <v>4</v>
      </c>
      <c r="I1340" s="1">
        <v>1081</v>
      </c>
      <c r="J1340" t="s">
        <v>9</v>
      </c>
      <c r="K1340" s="1">
        <v>13</v>
      </c>
      <c r="L1340" s="1">
        <v>3</v>
      </c>
      <c r="M1340" s="1">
        <v>1</v>
      </c>
      <c r="N1340" s="1">
        <v>2</v>
      </c>
      <c r="O1340" s="1">
        <v>1</v>
      </c>
      <c r="P1340" s="1">
        <f>COUNTIF(HR_Data[Employee Number],HR_Data[[#This Row],[Employee Number]])</f>
        <v>1</v>
      </c>
      <c r="Q1340" s="1" t="str">
        <f>IF(HR_Data[[#This Row],[Years At Company]]&lt;=HR_Data[[#This Row],[Total Working Years]],"Valid","error")</f>
        <v>Valid</v>
      </c>
      <c r="R1340" s="1" t="str" cm="1">
        <f t="array" ref="R1340">_xlfn.IFS(HR_Data[[#This Row],[Age]]&lt;=30,"Young", HR_Data[[#This Row],[Age]]&lt;=45,"Mid-Age",HR_Data[[#This Row],[Age]]&gt;45,"Senior")</f>
        <v>Young</v>
      </c>
      <c r="S1340" s="1" t="str" cm="1">
        <f t="array" ref="S1340">_xlfn.IFS(HR_Data[[#This Row],[Monthly Income]]&lt;5000,"Low", HR_Data[[#This Row],[Monthly Income]]&lt;10000,"Medium",TRUE,"High")</f>
        <v>Low</v>
      </c>
      <c r="T1340" s="1" t="str" cm="1">
        <f t="array" ref="T1340">_xlfn.IFS(HR_Data[[#This Row],[Total Working Years]]&lt;=5,"Junior", HR_Data[[#This Row],[Total Working Years]]&lt;=15,"Mid-Level", TRUE, "Senior")</f>
        <v>Junior</v>
      </c>
    </row>
    <row r="1341" spans="1:20" x14ac:dyDescent="0.25">
      <c r="A1341" s="1">
        <v>1878</v>
      </c>
      <c r="B1341" s="1">
        <v>22</v>
      </c>
      <c r="C1341" t="s">
        <v>4</v>
      </c>
      <c r="D1341" t="s">
        <v>10</v>
      </c>
      <c r="E1341" t="s">
        <v>6</v>
      </c>
      <c r="F1341" t="s">
        <v>11</v>
      </c>
      <c r="G1341" t="s">
        <v>12</v>
      </c>
      <c r="H1341" s="1">
        <v>2</v>
      </c>
      <c r="I1341" s="1">
        <v>2472</v>
      </c>
      <c r="J1341" t="s">
        <v>4</v>
      </c>
      <c r="K1341" s="1">
        <v>23</v>
      </c>
      <c r="L1341" s="1">
        <v>4</v>
      </c>
      <c r="M1341" s="1">
        <v>1</v>
      </c>
      <c r="N1341" s="1">
        <v>3</v>
      </c>
      <c r="O1341" s="1">
        <v>1</v>
      </c>
      <c r="P1341" s="1">
        <f>COUNTIF(HR_Data[Employee Number],HR_Data[[#This Row],[Employee Number]])</f>
        <v>1</v>
      </c>
      <c r="Q1341" s="1" t="str">
        <f>IF(HR_Data[[#This Row],[Years At Company]]&lt;=HR_Data[[#This Row],[Total Working Years]],"Valid","error")</f>
        <v>Valid</v>
      </c>
      <c r="R1341" s="1" t="str" cm="1">
        <f t="array" ref="R1341">_xlfn.IFS(HR_Data[[#This Row],[Age]]&lt;=30,"Young", HR_Data[[#This Row],[Age]]&lt;=45,"Mid-Age",HR_Data[[#This Row],[Age]]&gt;45,"Senior")</f>
        <v>Young</v>
      </c>
      <c r="S1341" s="1" t="str" cm="1">
        <f t="array" ref="S1341">_xlfn.IFS(HR_Data[[#This Row],[Monthly Income]]&lt;5000,"Low", HR_Data[[#This Row],[Monthly Income]]&lt;10000,"Medium",TRUE,"High")</f>
        <v>Low</v>
      </c>
      <c r="T1341" s="1" t="str" cm="1">
        <f t="array" ref="T1341">_xlfn.IFS(HR_Data[[#This Row],[Total Working Years]]&lt;=5,"Junior", HR_Data[[#This Row],[Total Working Years]]&lt;=15,"Mid-Level", TRUE, "Senior")</f>
        <v>Junior</v>
      </c>
    </row>
    <row r="1342" spans="1:20" x14ac:dyDescent="0.25">
      <c r="A1342" s="1">
        <v>1880</v>
      </c>
      <c r="B1342" s="1">
        <v>36</v>
      </c>
      <c r="C1342" t="s">
        <v>9</v>
      </c>
      <c r="D1342" t="s">
        <v>5</v>
      </c>
      <c r="E1342" t="s">
        <v>22</v>
      </c>
      <c r="F1342" t="s">
        <v>7</v>
      </c>
      <c r="G1342" t="s">
        <v>8</v>
      </c>
      <c r="H1342" s="1">
        <v>3</v>
      </c>
      <c r="I1342" s="1">
        <v>5673</v>
      </c>
      <c r="J1342" t="s">
        <v>4</v>
      </c>
      <c r="K1342" s="1">
        <v>13</v>
      </c>
      <c r="L1342" s="1">
        <v>3</v>
      </c>
      <c r="M1342" s="1">
        <v>10</v>
      </c>
      <c r="N1342" s="1">
        <v>3</v>
      </c>
      <c r="O1342" s="1">
        <v>10</v>
      </c>
      <c r="P1342" s="1">
        <f>COUNTIF(HR_Data[Employee Number],HR_Data[[#This Row],[Employee Number]])</f>
        <v>1</v>
      </c>
      <c r="Q1342" s="1" t="str">
        <f>IF(HR_Data[[#This Row],[Years At Company]]&lt;=HR_Data[[#This Row],[Total Working Years]],"Valid","error")</f>
        <v>Valid</v>
      </c>
      <c r="R1342" s="1" t="str" cm="1">
        <f t="array" ref="R1342">_xlfn.IFS(HR_Data[[#This Row],[Age]]&lt;=30,"Young", HR_Data[[#This Row],[Age]]&lt;=45,"Mid-Age",HR_Data[[#This Row],[Age]]&gt;45,"Senior")</f>
        <v>Mid-Age</v>
      </c>
      <c r="S1342" s="1" t="str" cm="1">
        <f t="array" ref="S1342">_xlfn.IFS(HR_Data[[#This Row],[Monthly Income]]&lt;5000,"Low", HR_Data[[#This Row],[Monthly Income]]&lt;10000,"Medium",TRUE,"High")</f>
        <v>Medium</v>
      </c>
      <c r="T1342" s="1" t="str" cm="1">
        <f t="array" ref="T1342">_xlfn.IFS(HR_Data[[#This Row],[Total Working Years]]&lt;=5,"Junior", HR_Data[[#This Row],[Total Working Years]]&lt;=15,"Mid-Level", TRUE, "Senior")</f>
        <v>Mid-Level</v>
      </c>
    </row>
    <row r="1343" spans="1:20" x14ac:dyDescent="0.25">
      <c r="A1343" s="1">
        <v>1881</v>
      </c>
      <c r="B1343" s="1">
        <v>31</v>
      </c>
      <c r="C1343" t="s">
        <v>9</v>
      </c>
      <c r="D1343" t="s">
        <v>10</v>
      </c>
      <c r="E1343" t="s">
        <v>6</v>
      </c>
      <c r="F1343" t="s">
        <v>11</v>
      </c>
      <c r="G1343" t="s">
        <v>14</v>
      </c>
      <c r="H1343" s="1">
        <v>3</v>
      </c>
      <c r="I1343" s="1">
        <v>4197</v>
      </c>
      <c r="J1343" t="s">
        <v>9</v>
      </c>
      <c r="K1343" s="1">
        <v>11</v>
      </c>
      <c r="L1343" s="1">
        <v>3</v>
      </c>
      <c r="M1343" s="1">
        <v>10</v>
      </c>
      <c r="N1343" s="1">
        <v>3</v>
      </c>
      <c r="O1343" s="1">
        <v>10</v>
      </c>
      <c r="P1343" s="1">
        <f>COUNTIF(HR_Data[Employee Number],HR_Data[[#This Row],[Employee Number]])</f>
        <v>1</v>
      </c>
      <c r="Q1343" s="1" t="str">
        <f>IF(HR_Data[[#This Row],[Years At Company]]&lt;=HR_Data[[#This Row],[Total Working Years]],"Valid","error")</f>
        <v>Valid</v>
      </c>
      <c r="R1343" s="1" t="str" cm="1">
        <f t="array" ref="R1343">_xlfn.IFS(HR_Data[[#This Row],[Age]]&lt;=30,"Young", HR_Data[[#This Row],[Age]]&lt;=45,"Mid-Age",HR_Data[[#This Row],[Age]]&gt;45,"Senior")</f>
        <v>Mid-Age</v>
      </c>
      <c r="S1343" s="1" t="str" cm="1">
        <f t="array" ref="S1343">_xlfn.IFS(HR_Data[[#This Row],[Monthly Income]]&lt;5000,"Low", HR_Data[[#This Row],[Monthly Income]]&lt;10000,"Medium",TRUE,"High")</f>
        <v>Low</v>
      </c>
      <c r="T1343" s="1" t="str" cm="1">
        <f t="array" ref="T1343">_xlfn.IFS(HR_Data[[#This Row],[Total Working Years]]&lt;=5,"Junior", HR_Data[[#This Row],[Total Working Years]]&lt;=15,"Mid-Level", TRUE, "Senior")</f>
        <v>Mid-Level</v>
      </c>
    </row>
    <row r="1344" spans="1:20" x14ac:dyDescent="0.25">
      <c r="A1344" s="1">
        <v>1882</v>
      </c>
      <c r="B1344" s="1">
        <v>34</v>
      </c>
      <c r="C1344" t="s">
        <v>9</v>
      </c>
      <c r="D1344" t="s">
        <v>5</v>
      </c>
      <c r="E1344" t="s">
        <v>6</v>
      </c>
      <c r="F1344" t="s">
        <v>11</v>
      </c>
      <c r="G1344" t="s">
        <v>8</v>
      </c>
      <c r="H1344" s="1">
        <v>4</v>
      </c>
      <c r="I1344" s="1">
        <v>9713</v>
      </c>
      <c r="J1344" t="s">
        <v>4</v>
      </c>
      <c r="K1344" s="1">
        <v>13</v>
      </c>
      <c r="L1344" s="1">
        <v>3</v>
      </c>
      <c r="M1344" s="1">
        <v>9</v>
      </c>
      <c r="N1344" s="1">
        <v>3</v>
      </c>
      <c r="O1344" s="1">
        <v>5</v>
      </c>
      <c r="P1344" s="1">
        <f>COUNTIF(HR_Data[Employee Number],HR_Data[[#This Row],[Employee Number]])</f>
        <v>1</v>
      </c>
      <c r="Q1344" s="1" t="str">
        <f>IF(HR_Data[[#This Row],[Years At Company]]&lt;=HR_Data[[#This Row],[Total Working Years]],"Valid","error")</f>
        <v>Valid</v>
      </c>
      <c r="R1344" s="1" t="str" cm="1">
        <f t="array" ref="R1344">_xlfn.IFS(HR_Data[[#This Row],[Age]]&lt;=30,"Young", HR_Data[[#This Row],[Age]]&lt;=45,"Mid-Age",HR_Data[[#This Row],[Age]]&gt;45,"Senior")</f>
        <v>Mid-Age</v>
      </c>
      <c r="S1344" s="1" t="str" cm="1">
        <f t="array" ref="S1344">_xlfn.IFS(HR_Data[[#This Row],[Monthly Income]]&lt;5000,"Low", HR_Data[[#This Row],[Monthly Income]]&lt;10000,"Medium",TRUE,"High")</f>
        <v>Medium</v>
      </c>
      <c r="T1344" s="1" t="str" cm="1">
        <f t="array" ref="T1344">_xlfn.IFS(HR_Data[[#This Row],[Total Working Years]]&lt;=5,"Junior", HR_Data[[#This Row],[Total Working Years]]&lt;=15,"Mid-Level", TRUE, "Senior")</f>
        <v>Mid-Level</v>
      </c>
    </row>
    <row r="1345" spans="1:20" x14ac:dyDescent="0.25">
      <c r="A1345" s="1">
        <v>1883</v>
      </c>
      <c r="B1345" s="1">
        <v>29</v>
      </c>
      <c r="C1345" t="s">
        <v>9</v>
      </c>
      <c r="D1345" t="s">
        <v>10</v>
      </c>
      <c r="E1345" t="s">
        <v>6</v>
      </c>
      <c r="F1345" t="s">
        <v>11</v>
      </c>
      <c r="G1345" t="s">
        <v>14</v>
      </c>
      <c r="H1345" s="1">
        <v>1</v>
      </c>
      <c r="I1345" s="1">
        <v>2062</v>
      </c>
      <c r="J1345" t="s">
        <v>9</v>
      </c>
      <c r="K1345" s="1">
        <v>14</v>
      </c>
      <c r="L1345" s="1">
        <v>3</v>
      </c>
      <c r="M1345" s="1">
        <v>11</v>
      </c>
      <c r="N1345" s="1">
        <v>3</v>
      </c>
      <c r="O1345" s="1">
        <v>3</v>
      </c>
      <c r="P1345" s="1">
        <f>COUNTIF(HR_Data[Employee Number],HR_Data[[#This Row],[Employee Number]])</f>
        <v>1</v>
      </c>
      <c r="Q1345" s="1" t="str">
        <f>IF(HR_Data[[#This Row],[Years At Company]]&lt;=HR_Data[[#This Row],[Total Working Years]],"Valid","error")</f>
        <v>Valid</v>
      </c>
      <c r="R1345" s="1" t="str" cm="1">
        <f t="array" ref="R1345">_xlfn.IFS(HR_Data[[#This Row],[Age]]&lt;=30,"Young", HR_Data[[#This Row],[Age]]&lt;=45,"Mid-Age",HR_Data[[#This Row],[Age]]&gt;45,"Senior")</f>
        <v>Young</v>
      </c>
      <c r="S1345" s="1" t="str" cm="1">
        <f t="array" ref="S1345">_xlfn.IFS(HR_Data[[#This Row],[Monthly Income]]&lt;5000,"Low", HR_Data[[#This Row],[Monthly Income]]&lt;10000,"Medium",TRUE,"High")</f>
        <v>Low</v>
      </c>
      <c r="T1345" s="1" t="str" cm="1">
        <f t="array" ref="T1345">_xlfn.IFS(HR_Data[[#This Row],[Total Working Years]]&lt;=5,"Junior", HR_Data[[#This Row],[Total Working Years]]&lt;=15,"Mid-Level", TRUE, "Senior")</f>
        <v>Mid-Level</v>
      </c>
    </row>
    <row r="1346" spans="1:20" x14ac:dyDescent="0.25">
      <c r="A1346" s="1">
        <v>1885</v>
      </c>
      <c r="B1346" s="1">
        <v>37</v>
      </c>
      <c r="C1346" t="s">
        <v>9</v>
      </c>
      <c r="D1346" t="s">
        <v>10</v>
      </c>
      <c r="E1346" t="s">
        <v>15</v>
      </c>
      <c r="F1346" t="s">
        <v>11</v>
      </c>
      <c r="G1346" t="s">
        <v>12</v>
      </c>
      <c r="H1346" s="1">
        <v>1</v>
      </c>
      <c r="I1346" s="1">
        <v>4284</v>
      </c>
      <c r="J1346" t="s">
        <v>4</v>
      </c>
      <c r="K1346" s="1">
        <v>22</v>
      </c>
      <c r="L1346" s="1">
        <v>4</v>
      </c>
      <c r="M1346" s="1">
        <v>16</v>
      </c>
      <c r="N1346" s="1">
        <v>3</v>
      </c>
      <c r="O1346" s="1">
        <v>5</v>
      </c>
      <c r="P1346" s="1">
        <f>COUNTIF(HR_Data[Employee Number],HR_Data[[#This Row],[Employee Number]])</f>
        <v>1</v>
      </c>
      <c r="Q1346" s="1" t="str">
        <f>IF(HR_Data[[#This Row],[Years At Company]]&lt;=HR_Data[[#This Row],[Total Working Years]],"Valid","error")</f>
        <v>Valid</v>
      </c>
      <c r="R1346" s="1" t="str" cm="1">
        <f t="array" ref="R1346">_xlfn.IFS(HR_Data[[#This Row],[Age]]&lt;=30,"Young", HR_Data[[#This Row],[Age]]&lt;=45,"Mid-Age",HR_Data[[#This Row],[Age]]&gt;45,"Senior")</f>
        <v>Mid-Age</v>
      </c>
      <c r="S1346" s="1" t="str" cm="1">
        <f t="array" ref="S1346">_xlfn.IFS(HR_Data[[#This Row],[Monthly Income]]&lt;5000,"Low", HR_Data[[#This Row],[Monthly Income]]&lt;10000,"Medium",TRUE,"High")</f>
        <v>Low</v>
      </c>
      <c r="T1346" s="1" t="str" cm="1">
        <f t="array" ref="T1346">_xlfn.IFS(HR_Data[[#This Row],[Total Working Years]]&lt;=5,"Junior", HR_Data[[#This Row],[Total Working Years]]&lt;=15,"Mid-Level", TRUE, "Senior")</f>
        <v>Senior</v>
      </c>
    </row>
    <row r="1347" spans="1:20" x14ac:dyDescent="0.25">
      <c r="A1347" s="1">
        <v>1886</v>
      </c>
      <c r="B1347" s="1">
        <v>35</v>
      </c>
      <c r="C1347" t="s">
        <v>9</v>
      </c>
      <c r="D1347" t="s">
        <v>10</v>
      </c>
      <c r="E1347" t="s">
        <v>13</v>
      </c>
      <c r="F1347" t="s">
        <v>7</v>
      </c>
      <c r="G1347" t="s">
        <v>16</v>
      </c>
      <c r="H1347" s="1">
        <v>2</v>
      </c>
      <c r="I1347" s="1">
        <v>4788</v>
      </c>
      <c r="J1347" t="s">
        <v>4</v>
      </c>
      <c r="K1347" s="1">
        <v>11</v>
      </c>
      <c r="L1347" s="1">
        <v>3</v>
      </c>
      <c r="M1347" s="1">
        <v>4</v>
      </c>
      <c r="N1347" s="1">
        <v>3</v>
      </c>
      <c r="O1347" s="1">
        <v>3</v>
      </c>
      <c r="P1347" s="1">
        <f>COUNTIF(HR_Data[Employee Number],HR_Data[[#This Row],[Employee Number]])</f>
        <v>1</v>
      </c>
      <c r="Q1347" s="1" t="str">
        <f>IF(HR_Data[[#This Row],[Years At Company]]&lt;=HR_Data[[#This Row],[Total Working Years]],"Valid","error")</f>
        <v>Valid</v>
      </c>
      <c r="R1347" s="1" t="str" cm="1">
        <f t="array" ref="R1347">_xlfn.IFS(HR_Data[[#This Row],[Age]]&lt;=30,"Young", HR_Data[[#This Row],[Age]]&lt;=45,"Mid-Age",HR_Data[[#This Row],[Age]]&gt;45,"Senior")</f>
        <v>Mid-Age</v>
      </c>
      <c r="S1347" s="1" t="str" cm="1">
        <f t="array" ref="S1347">_xlfn.IFS(HR_Data[[#This Row],[Monthly Income]]&lt;5000,"Low", HR_Data[[#This Row],[Monthly Income]]&lt;10000,"Medium",TRUE,"High")</f>
        <v>Low</v>
      </c>
      <c r="T1347" s="1" t="str" cm="1">
        <f t="array" ref="T1347">_xlfn.IFS(HR_Data[[#This Row],[Total Working Years]]&lt;=5,"Junior", HR_Data[[#This Row],[Total Working Years]]&lt;=15,"Mid-Level", TRUE, "Senior")</f>
        <v>Junior</v>
      </c>
    </row>
    <row r="1348" spans="1:20" x14ac:dyDescent="0.25">
      <c r="A1348" s="1">
        <v>1888</v>
      </c>
      <c r="B1348" s="1">
        <v>45</v>
      </c>
      <c r="C1348" t="s">
        <v>9</v>
      </c>
      <c r="D1348" t="s">
        <v>10</v>
      </c>
      <c r="E1348" t="s">
        <v>6</v>
      </c>
      <c r="F1348" t="s">
        <v>7</v>
      </c>
      <c r="G1348" t="s">
        <v>16</v>
      </c>
      <c r="H1348" s="1">
        <v>4</v>
      </c>
      <c r="I1348" s="1">
        <v>5906</v>
      </c>
      <c r="J1348" t="s">
        <v>9</v>
      </c>
      <c r="K1348" s="1">
        <v>13</v>
      </c>
      <c r="L1348" s="1">
        <v>3</v>
      </c>
      <c r="M1348" s="1">
        <v>10</v>
      </c>
      <c r="N1348" s="1">
        <v>2</v>
      </c>
      <c r="O1348" s="1">
        <v>9</v>
      </c>
      <c r="P1348" s="1">
        <f>COUNTIF(HR_Data[Employee Number],HR_Data[[#This Row],[Employee Number]])</f>
        <v>1</v>
      </c>
      <c r="Q1348" s="1" t="str">
        <f>IF(HR_Data[[#This Row],[Years At Company]]&lt;=HR_Data[[#This Row],[Total Working Years]],"Valid","error")</f>
        <v>Valid</v>
      </c>
      <c r="R1348" s="1" t="str" cm="1">
        <f t="array" ref="R1348">_xlfn.IFS(HR_Data[[#This Row],[Age]]&lt;=30,"Young", HR_Data[[#This Row],[Age]]&lt;=45,"Mid-Age",HR_Data[[#This Row],[Age]]&gt;45,"Senior")</f>
        <v>Mid-Age</v>
      </c>
      <c r="S1348" s="1" t="str" cm="1">
        <f t="array" ref="S1348">_xlfn.IFS(HR_Data[[#This Row],[Monthly Income]]&lt;5000,"Low", HR_Data[[#This Row],[Monthly Income]]&lt;10000,"Medium",TRUE,"High")</f>
        <v>Medium</v>
      </c>
      <c r="T1348" s="1" t="str" cm="1">
        <f t="array" ref="T1348">_xlfn.IFS(HR_Data[[#This Row],[Total Working Years]]&lt;=5,"Junior", HR_Data[[#This Row],[Total Working Years]]&lt;=15,"Mid-Level", TRUE, "Senior")</f>
        <v>Mid-Level</v>
      </c>
    </row>
    <row r="1349" spans="1:20" x14ac:dyDescent="0.25">
      <c r="A1349" s="1">
        <v>1890</v>
      </c>
      <c r="B1349" s="1">
        <v>36</v>
      </c>
      <c r="C1349" t="s">
        <v>9</v>
      </c>
      <c r="D1349" t="s">
        <v>23</v>
      </c>
      <c r="E1349" t="s">
        <v>23</v>
      </c>
      <c r="F1349" t="s">
        <v>11</v>
      </c>
      <c r="G1349" t="s">
        <v>23</v>
      </c>
      <c r="H1349" s="1">
        <v>4</v>
      </c>
      <c r="I1349" s="1">
        <v>3886</v>
      </c>
      <c r="J1349" t="s">
        <v>9</v>
      </c>
      <c r="K1349" s="1">
        <v>21</v>
      </c>
      <c r="L1349" s="1">
        <v>4</v>
      </c>
      <c r="M1349" s="1">
        <v>10</v>
      </c>
      <c r="N1349" s="1">
        <v>2</v>
      </c>
      <c r="O1349" s="1">
        <v>10</v>
      </c>
      <c r="P1349" s="1">
        <f>COUNTIF(HR_Data[Employee Number],HR_Data[[#This Row],[Employee Number]])</f>
        <v>1</v>
      </c>
      <c r="Q1349" s="1" t="str">
        <f>IF(HR_Data[[#This Row],[Years At Company]]&lt;=HR_Data[[#This Row],[Total Working Years]],"Valid","error")</f>
        <v>Valid</v>
      </c>
      <c r="R1349" s="1" t="str" cm="1">
        <f t="array" ref="R1349">_xlfn.IFS(HR_Data[[#This Row],[Age]]&lt;=30,"Young", HR_Data[[#This Row],[Age]]&lt;=45,"Mid-Age",HR_Data[[#This Row],[Age]]&gt;45,"Senior")</f>
        <v>Mid-Age</v>
      </c>
      <c r="S1349" s="1" t="str" cm="1">
        <f t="array" ref="S1349">_xlfn.IFS(HR_Data[[#This Row],[Monthly Income]]&lt;5000,"Low", HR_Data[[#This Row],[Monthly Income]]&lt;10000,"Medium",TRUE,"High")</f>
        <v>Low</v>
      </c>
      <c r="T1349" s="1" t="str" cm="1">
        <f t="array" ref="T1349">_xlfn.IFS(HR_Data[[#This Row],[Total Working Years]]&lt;=5,"Junior", HR_Data[[#This Row],[Total Working Years]]&lt;=15,"Mid-Level", TRUE, "Senior")</f>
        <v>Mid-Level</v>
      </c>
    </row>
    <row r="1350" spans="1:20" x14ac:dyDescent="0.25">
      <c r="A1350" s="1">
        <v>1892</v>
      </c>
      <c r="B1350" s="1">
        <v>40</v>
      </c>
      <c r="C1350" t="s">
        <v>9</v>
      </c>
      <c r="D1350" t="s">
        <v>10</v>
      </c>
      <c r="E1350" t="s">
        <v>6</v>
      </c>
      <c r="F1350" t="s">
        <v>11</v>
      </c>
      <c r="G1350" t="s">
        <v>18</v>
      </c>
      <c r="H1350" s="1">
        <v>1</v>
      </c>
      <c r="I1350" s="1">
        <v>16823</v>
      </c>
      <c r="J1350" t="s">
        <v>9</v>
      </c>
      <c r="K1350" s="1">
        <v>11</v>
      </c>
      <c r="L1350" s="1">
        <v>3</v>
      </c>
      <c r="M1350" s="1">
        <v>22</v>
      </c>
      <c r="N1350" s="1">
        <v>3</v>
      </c>
      <c r="O1350" s="1">
        <v>19</v>
      </c>
      <c r="P1350" s="1">
        <f>COUNTIF(HR_Data[Employee Number],HR_Data[[#This Row],[Employee Number]])</f>
        <v>1</v>
      </c>
      <c r="Q1350" s="1" t="str">
        <f>IF(HR_Data[[#This Row],[Years At Company]]&lt;=HR_Data[[#This Row],[Total Working Years]],"Valid","error")</f>
        <v>Valid</v>
      </c>
      <c r="R1350" s="1" t="str" cm="1">
        <f t="array" ref="R1350">_xlfn.IFS(HR_Data[[#This Row],[Age]]&lt;=30,"Young", HR_Data[[#This Row],[Age]]&lt;=45,"Mid-Age",HR_Data[[#This Row],[Age]]&gt;45,"Senior")</f>
        <v>Mid-Age</v>
      </c>
      <c r="S1350" s="1" t="str" cm="1">
        <f t="array" ref="S1350">_xlfn.IFS(HR_Data[[#This Row],[Monthly Income]]&lt;5000,"Low", HR_Data[[#This Row],[Monthly Income]]&lt;10000,"Medium",TRUE,"High")</f>
        <v>High</v>
      </c>
      <c r="T1350" s="1" t="str" cm="1">
        <f t="array" ref="T1350">_xlfn.IFS(HR_Data[[#This Row],[Total Working Years]]&lt;=5,"Junior", HR_Data[[#This Row],[Total Working Years]]&lt;=15,"Mid-Level", TRUE, "Senior")</f>
        <v>Senior</v>
      </c>
    </row>
    <row r="1351" spans="1:20" x14ac:dyDescent="0.25">
      <c r="A1351" s="1">
        <v>1893</v>
      </c>
      <c r="B1351" s="1">
        <v>26</v>
      </c>
      <c r="C1351" t="s">
        <v>9</v>
      </c>
      <c r="D1351" t="s">
        <v>10</v>
      </c>
      <c r="E1351" t="s">
        <v>6</v>
      </c>
      <c r="F1351" t="s">
        <v>7</v>
      </c>
      <c r="G1351" t="s">
        <v>12</v>
      </c>
      <c r="H1351" s="1">
        <v>3</v>
      </c>
      <c r="I1351" s="1">
        <v>2933</v>
      </c>
      <c r="J1351" t="s">
        <v>4</v>
      </c>
      <c r="K1351" s="1">
        <v>13</v>
      </c>
      <c r="L1351" s="1">
        <v>3</v>
      </c>
      <c r="M1351" s="1">
        <v>1</v>
      </c>
      <c r="N1351" s="1">
        <v>2</v>
      </c>
      <c r="O1351" s="1">
        <v>1</v>
      </c>
      <c r="P1351" s="1">
        <f>COUNTIF(HR_Data[Employee Number],HR_Data[[#This Row],[Employee Number]])</f>
        <v>1</v>
      </c>
      <c r="Q1351" s="1" t="str">
        <f>IF(HR_Data[[#This Row],[Years At Company]]&lt;=HR_Data[[#This Row],[Total Working Years]],"Valid","error")</f>
        <v>Valid</v>
      </c>
      <c r="R1351" s="1" t="str" cm="1">
        <f t="array" ref="R1351">_xlfn.IFS(HR_Data[[#This Row],[Age]]&lt;=30,"Young", HR_Data[[#This Row],[Age]]&lt;=45,"Mid-Age",HR_Data[[#This Row],[Age]]&gt;45,"Senior")</f>
        <v>Young</v>
      </c>
      <c r="S1351" s="1" t="str" cm="1">
        <f t="array" ref="S1351">_xlfn.IFS(HR_Data[[#This Row],[Monthly Income]]&lt;5000,"Low", HR_Data[[#This Row],[Monthly Income]]&lt;10000,"Medium",TRUE,"High")</f>
        <v>Low</v>
      </c>
      <c r="T1351" s="1" t="str" cm="1">
        <f t="array" ref="T1351">_xlfn.IFS(HR_Data[[#This Row],[Total Working Years]]&lt;=5,"Junior", HR_Data[[#This Row],[Total Working Years]]&lt;=15,"Mid-Level", TRUE, "Senior")</f>
        <v>Junior</v>
      </c>
    </row>
    <row r="1352" spans="1:20" x14ac:dyDescent="0.25">
      <c r="A1352" s="1">
        <v>1898</v>
      </c>
      <c r="B1352" s="1">
        <v>27</v>
      </c>
      <c r="C1352" t="s">
        <v>9</v>
      </c>
      <c r="D1352" t="s">
        <v>5</v>
      </c>
      <c r="E1352" t="s">
        <v>15</v>
      </c>
      <c r="F1352" t="s">
        <v>7</v>
      </c>
      <c r="G1352" t="s">
        <v>8</v>
      </c>
      <c r="H1352" s="1">
        <v>3</v>
      </c>
      <c r="I1352" s="1">
        <v>6500</v>
      </c>
      <c r="J1352" t="s">
        <v>9</v>
      </c>
      <c r="K1352" s="1">
        <v>14</v>
      </c>
      <c r="L1352" s="1">
        <v>3</v>
      </c>
      <c r="M1352" s="1">
        <v>9</v>
      </c>
      <c r="N1352" s="1">
        <v>2</v>
      </c>
      <c r="O1352" s="1">
        <v>8</v>
      </c>
      <c r="P1352" s="1">
        <f>COUNTIF(HR_Data[Employee Number],HR_Data[[#This Row],[Employee Number]])</f>
        <v>1</v>
      </c>
      <c r="Q1352" s="1" t="str">
        <f>IF(HR_Data[[#This Row],[Years At Company]]&lt;=HR_Data[[#This Row],[Total Working Years]],"Valid","error")</f>
        <v>Valid</v>
      </c>
      <c r="R1352" s="1" t="str" cm="1">
        <f t="array" ref="R1352">_xlfn.IFS(HR_Data[[#This Row],[Age]]&lt;=30,"Young", HR_Data[[#This Row],[Age]]&lt;=45,"Mid-Age",HR_Data[[#This Row],[Age]]&gt;45,"Senior")</f>
        <v>Young</v>
      </c>
      <c r="S1352" s="1" t="str" cm="1">
        <f t="array" ref="S1352">_xlfn.IFS(HR_Data[[#This Row],[Monthly Income]]&lt;5000,"Low", HR_Data[[#This Row],[Monthly Income]]&lt;10000,"Medium",TRUE,"High")</f>
        <v>Medium</v>
      </c>
      <c r="T1352" s="1" t="str" cm="1">
        <f t="array" ref="T1352">_xlfn.IFS(HR_Data[[#This Row],[Total Working Years]]&lt;=5,"Junior", HR_Data[[#This Row],[Total Working Years]]&lt;=15,"Mid-Level", TRUE, "Senior")</f>
        <v>Mid-Level</v>
      </c>
    </row>
    <row r="1353" spans="1:20" x14ac:dyDescent="0.25">
      <c r="A1353" s="1">
        <v>1900</v>
      </c>
      <c r="B1353" s="1">
        <v>48</v>
      </c>
      <c r="C1353" t="s">
        <v>9</v>
      </c>
      <c r="D1353" t="s">
        <v>10</v>
      </c>
      <c r="E1353" t="s">
        <v>15</v>
      </c>
      <c r="F1353" t="s">
        <v>7</v>
      </c>
      <c r="G1353" t="s">
        <v>18</v>
      </c>
      <c r="H1353" s="1">
        <v>4</v>
      </c>
      <c r="I1353" s="1">
        <v>17174</v>
      </c>
      <c r="J1353" t="s">
        <v>9</v>
      </c>
      <c r="K1353" s="1">
        <v>11</v>
      </c>
      <c r="L1353" s="1">
        <v>3</v>
      </c>
      <c r="M1353" s="1">
        <v>24</v>
      </c>
      <c r="N1353" s="1">
        <v>3</v>
      </c>
      <c r="O1353" s="1">
        <v>22</v>
      </c>
      <c r="P1353" s="1">
        <f>COUNTIF(HR_Data[Employee Number],HR_Data[[#This Row],[Employee Number]])</f>
        <v>1</v>
      </c>
      <c r="Q1353" s="1" t="str">
        <f>IF(HR_Data[[#This Row],[Years At Company]]&lt;=HR_Data[[#This Row],[Total Working Years]],"Valid","error")</f>
        <v>Valid</v>
      </c>
      <c r="R1353" s="1" t="str" cm="1">
        <f t="array" ref="R1353">_xlfn.IFS(HR_Data[[#This Row],[Age]]&lt;=30,"Young", HR_Data[[#This Row],[Age]]&lt;=45,"Mid-Age",HR_Data[[#This Row],[Age]]&gt;45,"Senior")</f>
        <v>Senior</v>
      </c>
      <c r="S1353" s="1" t="str" cm="1">
        <f t="array" ref="S1353">_xlfn.IFS(HR_Data[[#This Row],[Monthly Income]]&lt;5000,"Low", HR_Data[[#This Row],[Monthly Income]]&lt;10000,"Medium",TRUE,"High")</f>
        <v>High</v>
      </c>
      <c r="T1353" s="1" t="str" cm="1">
        <f t="array" ref="T1353">_xlfn.IFS(HR_Data[[#This Row],[Total Working Years]]&lt;=5,"Junior", HR_Data[[#This Row],[Total Working Years]]&lt;=15,"Mid-Level", TRUE, "Senior")</f>
        <v>Senior</v>
      </c>
    </row>
    <row r="1354" spans="1:20" x14ac:dyDescent="0.25">
      <c r="A1354" s="1">
        <v>1903</v>
      </c>
      <c r="B1354" s="1">
        <v>44</v>
      </c>
      <c r="C1354" t="s">
        <v>9</v>
      </c>
      <c r="D1354" t="s">
        <v>10</v>
      </c>
      <c r="E1354" t="s">
        <v>6</v>
      </c>
      <c r="F1354" t="s">
        <v>11</v>
      </c>
      <c r="G1354" t="s">
        <v>17</v>
      </c>
      <c r="H1354" s="1">
        <v>1</v>
      </c>
      <c r="I1354" s="1">
        <v>5033</v>
      </c>
      <c r="J1354" t="s">
        <v>9</v>
      </c>
      <c r="K1354" s="1">
        <v>15</v>
      </c>
      <c r="L1354" s="1">
        <v>3</v>
      </c>
      <c r="M1354" s="1">
        <v>10</v>
      </c>
      <c r="N1354" s="1">
        <v>3</v>
      </c>
      <c r="O1354" s="1">
        <v>2</v>
      </c>
      <c r="P1354" s="1">
        <f>COUNTIF(HR_Data[Employee Number],HR_Data[[#This Row],[Employee Number]])</f>
        <v>1</v>
      </c>
      <c r="Q1354" s="1" t="str">
        <f>IF(HR_Data[[#This Row],[Years At Company]]&lt;=HR_Data[[#This Row],[Total Working Years]],"Valid","error")</f>
        <v>Valid</v>
      </c>
      <c r="R1354" s="1" t="str" cm="1">
        <f t="array" ref="R1354">_xlfn.IFS(HR_Data[[#This Row],[Age]]&lt;=30,"Young", HR_Data[[#This Row],[Age]]&lt;=45,"Mid-Age",HR_Data[[#This Row],[Age]]&gt;45,"Senior")</f>
        <v>Mid-Age</v>
      </c>
      <c r="S1354" s="1" t="str" cm="1">
        <f t="array" ref="S1354">_xlfn.IFS(HR_Data[[#This Row],[Monthly Income]]&lt;5000,"Low", HR_Data[[#This Row],[Monthly Income]]&lt;10000,"Medium",TRUE,"High")</f>
        <v>Medium</v>
      </c>
      <c r="T1354" s="1" t="str" cm="1">
        <f t="array" ref="T1354">_xlfn.IFS(HR_Data[[#This Row],[Total Working Years]]&lt;=5,"Junior", HR_Data[[#This Row],[Total Working Years]]&lt;=15,"Mid-Level", TRUE, "Senior")</f>
        <v>Mid-Level</v>
      </c>
    </row>
    <row r="1355" spans="1:20" x14ac:dyDescent="0.25">
      <c r="A1355" s="1">
        <v>1905</v>
      </c>
      <c r="B1355" s="1">
        <v>34</v>
      </c>
      <c r="C1355" t="s">
        <v>4</v>
      </c>
      <c r="D1355" t="s">
        <v>10</v>
      </c>
      <c r="E1355" t="s">
        <v>22</v>
      </c>
      <c r="F1355" t="s">
        <v>11</v>
      </c>
      <c r="G1355" t="s">
        <v>12</v>
      </c>
      <c r="H1355" s="1">
        <v>1</v>
      </c>
      <c r="I1355" s="1">
        <v>2307</v>
      </c>
      <c r="J1355" t="s">
        <v>4</v>
      </c>
      <c r="K1355" s="1">
        <v>23</v>
      </c>
      <c r="L1355" s="1">
        <v>4</v>
      </c>
      <c r="M1355" s="1">
        <v>5</v>
      </c>
      <c r="N1355" s="1">
        <v>3</v>
      </c>
      <c r="O1355" s="1">
        <v>5</v>
      </c>
      <c r="P1355" s="1">
        <f>COUNTIF(HR_Data[Employee Number],HR_Data[[#This Row],[Employee Number]])</f>
        <v>1</v>
      </c>
      <c r="Q1355" s="1" t="str">
        <f>IF(HR_Data[[#This Row],[Years At Company]]&lt;=HR_Data[[#This Row],[Total Working Years]],"Valid","error")</f>
        <v>Valid</v>
      </c>
      <c r="R1355" s="1" t="str" cm="1">
        <f t="array" ref="R1355">_xlfn.IFS(HR_Data[[#This Row],[Age]]&lt;=30,"Young", HR_Data[[#This Row],[Age]]&lt;=45,"Mid-Age",HR_Data[[#This Row],[Age]]&gt;45,"Senior")</f>
        <v>Mid-Age</v>
      </c>
      <c r="S1355" s="1" t="str" cm="1">
        <f t="array" ref="S1355">_xlfn.IFS(HR_Data[[#This Row],[Monthly Income]]&lt;5000,"Low", HR_Data[[#This Row],[Monthly Income]]&lt;10000,"Medium",TRUE,"High")</f>
        <v>Low</v>
      </c>
      <c r="T1355" s="1" t="str" cm="1">
        <f t="array" ref="T1355">_xlfn.IFS(HR_Data[[#This Row],[Total Working Years]]&lt;=5,"Junior", HR_Data[[#This Row],[Total Working Years]]&lt;=15,"Mid-Level", TRUE, "Senior")</f>
        <v>Junior</v>
      </c>
    </row>
    <row r="1356" spans="1:20" x14ac:dyDescent="0.25">
      <c r="A1356" s="1">
        <v>1907</v>
      </c>
      <c r="B1356" s="1">
        <v>56</v>
      </c>
      <c r="C1356" t="s">
        <v>4</v>
      </c>
      <c r="D1356" t="s">
        <v>10</v>
      </c>
      <c r="E1356" t="s">
        <v>6</v>
      </c>
      <c r="F1356" t="s">
        <v>11</v>
      </c>
      <c r="G1356" t="s">
        <v>14</v>
      </c>
      <c r="H1356" s="1">
        <v>4</v>
      </c>
      <c r="I1356" s="1">
        <v>2587</v>
      </c>
      <c r="J1356" t="s">
        <v>9</v>
      </c>
      <c r="K1356" s="1">
        <v>16</v>
      </c>
      <c r="L1356" s="1">
        <v>3</v>
      </c>
      <c r="M1356" s="1">
        <v>5</v>
      </c>
      <c r="N1356" s="1">
        <v>3</v>
      </c>
      <c r="O1356" s="1">
        <v>4</v>
      </c>
      <c r="P1356" s="1">
        <f>COUNTIF(HR_Data[Employee Number],HR_Data[[#This Row],[Employee Number]])</f>
        <v>1</v>
      </c>
      <c r="Q1356" s="1" t="str">
        <f>IF(HR_Data[[#This Row],[Years At Company]]&lt;=HR_Data[[#This Row],[Total Working Years]],"Valid","error")</f>
        <v>Valid</v>
      </c>
      <c r="R1356" s="1" t="str" cm="1">
        <f t="array" ref="R1356">_xlfn.IFS(HR_Data[[#This Row],[Age]]&lt;=30,"Young", HR_Data[[#This Row],[Age]]&lt;=45,"Mid-Age",HR_Data[[#This Row],[Age]]&gt;45,"Senior")</f>
        <v>Senior</v>
      </c>
      <c r="S1356" s="1" t="str" cm="1">
        <f t="array" ref="S1356">_xlfn.IFS(HR_Data[[#This Row],[Monthly Income]]&lt;5000,"Low", HR_Data[[#This Row],[Monthly Income]]&lt;10000,"Medium",TRUE,"High")</f>
        <v>Low</v>
      </c>
      <c r="T1356" s="1" t="str" cm="1">
        <f t="array" ref="T1356">_xlfn.IFS(HR_Data[[#This Row],[Total Working Years]]&lt;=5,"Junior", HR_Data[[#This Row],[Total Working Years]]&lt;=15,"Mid-Level", TRUE, "Senior")</f>
        <v>Junior</v>
      </c>
    </row>
    <row r="1357" spans="1:20" x14ac:dyDescent="0.25">
      <c r="A1357" s="1">
        <v>1908</v>
      </c>
      <c r="B1357" s="1">
        <v>36</v>
      </c>
      <c r="C1357" t="s">
        <v>9</v>
      </c>
      <c r="D1357" t="s">
        <v>5</v>
      </c>
      <c r="E1357" t="s">
        <v>21</v>
      </c>
      <c r="F1357" t="s">
        <v>11</v>
      </c>
      <c r="G1357" t="s">
        <v>8</v>
      </c>
      <c r="H1357" s="1">
        <v>2</v>
      </c>
      <c r="I1357" s="1">
        <v>5507</v>
      </c>
      <c r="J1357" t="s">
        <v>9</v>
      </c>
      <c r="K1357" s="1">
        <v>16</v>
      </c>
      <c r="L1357" s="1">
        <v>3</v>
      </c>
      <c r="M1357" s="1">
        <v>12</v>
      </c>
      <c r="N1357" s="1">
        <v>1</v>
      </c>
      <c r="O1357" s="1">
        <v>4</v>
      </c>
      <c r="P1357" s="1">
        <f>COUNTIF(HR_Data[Employee Number],HR_Data[[#This Row],[Employee Number]])</f>
        <v>1</v>
      </c>
      <c r="Q1357" s="1" t="str">
        <f>IF(HR_Data[[#This Row],[Years At Company]]&lt;=HR_Data[[#This Row],[Total Working Years]],"Valid","error")</f>
        <v>Valid</v>
      </c>
      <c r="R1357" s="1" t="str" cm="1">
        <f t="array" ref="R1357">_xlfn.IFS(HR_Data[[#This Row],[Age]]&lt;=30,"Young", HR_Data[[#This Row],[Age]]&lt;=45,"Mid-Age",HR_Data[[#This Row],[Age]]&gt;45,"Senior")</f>
        <v>Mid-Age</v>
      </c>
      <c r="S1357" s="1" t="str" cm="1">
        <f t="array" ref="S1357">_xlfn.IFS(HR_Data[[#This Row],[Monthly Income]]&lt;5000,"Low", HR_Data[[#This Row],[Monthly Income]]&lt;10000,"Medium",TRUE,"High")</f>
        <v>Medium</v>
      </c>
      <c r="T1357" s="1" t="str" cm="1">
        <f t="array" ref="T1357">_xlfn.IFS(HR_Data[[#This Row],[Total Working Years]]&lt;=5,"Junior", HR_Data[[#This Row],[Total Working Years]]&lt;=15,"Mid-Level", TRUE, "Senior")</f>
        <v>Mid-Level</v>
      </c>
    </row>
    <row r="1358" spans="1:20" x14ac:dyDescent="0.25">
      <c r="A1358" s="1">
        <v>1909</v>
      </c>
      <c r="B1358" s="1">
        <v>41</v>
      </c>
      <c r="C1358" t="s">
        <v>9</v>
      </c>
      <c r="D1358" t="s">
        <v>5</v>
      </c>
      <c r="E1358" t="s">
        <v>21</v>
      </c>
      <c r="F1358" t="s">
        <v>7</v>
      </c>
      <c r="G1358" t="s">
        <v>8</v>
      </c>
      <c r="H1358" s="1">
        <v>2</v>
      </c>
      <c r="I1358" s="1">
        <v>4393</v>
      </c>
      <c r="J1358" t="s">
        <v>9</v>
      </c>
      <c r="K1358" s="1">
        <v>21</v>
      </c>
      <c r="L1358" s="1">
        <v>4</v>
      </c>
      <c r="M1358" s="1">
        <v>14</v>
      </c>
      <c r="N1358" s="1">
        <v>3</v>
      </c>
      <c r="O1358" s="1">
        <v>5</v>
      </c>
      <c r="P1358" s="1">
        <f>COUNTIF(HR_Data[Employee Number],HR_Data[[#This Row],[Employee Number]])</f>
        <v>1</v>
      </c>
      <c r="Q1358" s="1" t="str">
        <f>IF(HR_Data[[#This Row],[Years At Company]]&lt;=HR_Data[[#This Row],[Total Working Years]],"Valid","error")</f>
        <v>Valid</v>
      </c>
      <c r="R1358" s="1" t="str" cm="1">
        <f t="array" ref="R1358">_xlfn.IFS(HR_Data[[#This Row],[Age]]&lt;=30,"Young", HR_Data[[#This Row],[Age]]&lt;=45,"Mid-Age",HR_Data[[#This Row],[Age]]&gt;45,"Senior")</f>
        <v>Mid-Age</v>
      </c>
      <c r="S1358" s="1" t="str" cm="1">
        <f t="array" ref="S1358">_xlfn.IFS(HR_Data[[#This Row],[Monthly Income]]&lt;5000,"Low", HR_Data[[#This Row],[Monthly Income]]&lt;10000,"Medium",TRUE,"High")</f>
        <v>Low</v>
      </c>
      <c r="T1358" s="1" t="str" cm="1">
        <f t="array" ref="T1358">_xlfn.IFS(HR_Data[[#This Row],[Total Working Years]]&lt;=5,"Junior", HR_Data[[#This Row],[Total Working Years]]&lt;=15,"Mid-Level", TRUE, "Senior")</f>
        <v>Mid-Level</v>
      </c>
    </row>
    <row r="1359" spans="1:20" x14ac:dyDescent="0.25">
      <c r="A1359" s="1">
        <v>1911</v>
      </c>
      <c r="B1359" s="1">
        <v>42</v>
      </c>
      <c r="C1359" t="s">
        <v>9</v>
      </c>
      <c r="D1359" t="s">
        <v>10</v>
      </c>
      <c r="E1359" t="s">
        <v>15</v>
      </c>
      <c r="F1359" t="s">
        <v>11</v>
      </c>
      <c r="G1359" t="s">
        <v>20</v>
      </c>
      <c r="H1359" s="1">
        <v>1</v>
      </c>
      <c r="I1359" s="1">
        <v>13348</v>
      </c>
      <c r="J1359" t="s">
        <v>9</v>
      </c>
      <c r="K1359" s="1">
        <v>13</v>
      </c>
      <c r="L1359" s="1">
        <v>3</v>
      </c>
      <c r="M1359" s="1">
        <v>18</v>
      </c>
      <c r="N1359" s="1">
        <v>4</v>
      </c>
      <c r="O1359" s="1">
        <v>13</v>
      </c>
      <c r="P1359" s="1">
        <f>COUNTIF(HR_Data[Employee Number],HR_Data[[#This Row],[Employee Number]])</f>
        <v>1</v>
      </c>
      <c r="Q1359" s="1" t="str">
        <f>IF(HR_Data[[#This Row],[Years At Company]]&lt;=HR_Data[[#This Row],[Total Working Years]],"Valid","error")</f>
        <v>Valid</v>
      </c>
      <c r="R1359" s="1" t="str" cm="1">
        <f t="array" ref="R1359">_xlfn.IFS(HR_Data[[#This Row],[Age]]&lt;=30,"Young", HR_Data[[#This Row],[Age]]&lt;=45,"Mid-Age",HR_Data[[#This Row],[Age]]&gt;45,"Senior")</f>
        <v>Mid-Age</v>
      </c>
      <c r="S1359" s="1" t="str" cm="1">
        <f t="array" ref="S1359">_xlfn.IFS(HR_Data[[#This Row],[Monthly Income]]&lt;5000,"Low", HR_Data[[#This Row],[Monthly Income]]&lt;10000,"Medium",TRUE,"High")</f>
        <v>High</v>
      </c>
      <c r="T1359" s="1" t="str" cm="1">
        <f t="array" ref="T1359">_xlfn.IFS(HR_Data[[#This Row],[Total Working Years]]&lt;=5,"Junior", HR_Data[[#This Row],[Total Working Years]]&lt;=15,"Mid-Level", TRUE, "Senior")</f>
        <v>Senior</v>
      </c>
    </row>
    <row r="1360" spans="1:20" x14ac:dyDescent="0.25">
      <c r="A1360" s="1">
        <v>1912</v>
      </c>
      <c r="B1360" s="1">
        <v>31</v>
      </c>
      <c r="C1360" t="s">
        <v>9</v>
      </c>
      <c r="D1360" t="s">
        <v>5</v>
      </c>
      <c r="E1360" t="s">
        <v>15</v>
      </c>
      <c r="F1360" t="s">
        <v>7</v>
      </c>
      <c r="G1360" t="s">
        <v>8</v>
      </c>
      <c r="H1360" s="1">
        <v>4</v>
      </c>
      <c r="I1360" s="1">
        <v>6583</v>
      </c>
      <c r="J1360" t="s">
        <v>4</v>
      </c>
      <c r="K1360" s="1">
        <v>11</v>
      </c>
      <c r="L1360" s="1">
        <v>3</v>
      </c>
      <c r="M1360" s="1">
        <v>8</v>
      </c>
      <c r="N1360" s="1">
        <v>3</v>
      </c>
      <c r="O1360" s="1">
        <v>5</v>
      </c>
      <c r="P1360" s="1">
        <f>COUNTIF(HR_Data[Employee Number],HR_Data[[#This Row],[Employee Number]])</f>
        <v>1</v>
      </c>
      <c r="Q1360" s="1" t="str">
        <f>IF(HR_Data[[#This Row],[Years At Company]]&lt;=HR_Data[[#This Row],[Total Working Years]],"Valid","error")</f>
        <v>Valid</v>
      </c>
      <c r="R1360" s="1" t="str" cm="1">
        <f t="array" ref="R1360">_xlfn.IFS(HR_Data[[#This Row],[Age]]&lt;=30,"Young", HR_Data[[#This Row],[Age]]&lt;=45,"Mid-Age",HR_Data[[#This Row],[Age]]&gt;45,"Senior")</f>
        <v>Mid-Age</v>
      </c>
      <c r="S1360" s="1" t="str" cm="1">
        <f t="array" ref="S1360">_xlfn.IFS(HR_Data[[#This Row],[Monthly Income]]&lt;5000,"Low", HR_Data[[#This Row],[Monthly Income]]&lt;10000,"Medium",TRUE,"High")</f>
        <v>Medium</v>
      </c>
      <c r="T1360" s="1" t="str" cm="1">
        <f t="array" ref="T1360">_xlfn.IFS(HR_Data[[#This Row],[Total Working Years]]&lt;=5,"Junior", HR_Data[[#This Row],[Total Working Years]]&lt;=15,"Mid-Level", TRUE, "Senior")</f>
        <v>Mid-Level</v>
      </c>
    </row>
    <row r="1361" spans="1:20" x14ac:dyDescent="0.25">
      <c r="A1361" s="1">
        <v>1915</v>
      </c>
      <c r="B1361" s="1">
        <v>34</v>
      </c>
      <c r="C1361" t="s">
        <v>9</v>
      </c>
      <c r="D1361" t="s">
        <v>5</v>
      </c>
      <c r="E1361" t="s">
        <v>15</v>
      </c>
      <c r="F1361" t="s">
        <v>7</v>
      </c>
      <c r="G1361" t="s">
        <v>8</v>
      </c>
      <c r="H1361" s="1">
        <v>4</v>
      </c>
      <c r="I1361" s="1">
        <v>8103</v>
      </c>
      <c r="J1361" t="s">
        <v>4</v>
      </c>
      <c r="K1361" s="1">
        <v>12</v>
      </c>
      <c r="L1361" s="1">
        <v>3</v>
      </c>
      <c r="M1361" s="1">
        <v>9</v>
      </c>
      <c r="N1361" s="1">
        <v>2</v>
      </c>
      <c r="O1361" s="1">
        <v>4</v>
      </c>
      <c r="P1361" s="1">
        <f>COUNTIF(HR_Data[Employee Number],HR_Data[[#This Row],[Employee Number]])</f>
        <v>1</v>
      </c>
      <c r="Q1361" s="1" t="str">
        <f>IF(HR_Data[[#This Row],[Years At Company]]&lt;=HR_Data[[#This Row],[Total Working Years]],"Valid","error")</f>
        <v>Valid</v>
      </c>
      <c r="R1361" s="1" t="str" cm="1">
        <f t="array" ref="R1361">_xlfn.IFS(HR_Data[[#This Row],[Age]]&lt;=30,"Young", HR_Data[[#This Row],[Age]]&lt;=45,"Mid-Age",HR_Data[[#This Row],[Age]]&gt;45,"Senior")</f>
        <v>Mid-Age</v>
      </c>
      <c r="S1361" s="1" t="str" cm="1">
        <f t="array" ref="S1361">_xlfn.IFS(HR_Data[[#This Row],[Monthly Income]]&lt;5000,"Low", HR_Data[[#This Row],[Monthly Income]]&lt;10000,"Medium",TRUE,"High")</f>
        <v>Medium</v>
      </c>
      <c r="T1361" s="1" t="str" cm="1">
        <f t="array" ref="T1361">_xlfn.IFS(HR_Data[[#This Row],[Total Working Years]]&lt;=5,"Junior", HR_Data[[#This Row],[Total Working Years]]&lt;=15,"Mid-Level", TRUE, "Senior")</f>
        <v>Mid-Level</v>
      </c>
    </row>
    <row r="1362" spans="1:20" x14ac:dyDescent="0.25">
      <c r="A1362" s="1">
        <v>1916</v>
      </c>
      <c r="B1362" s="1">
        <v>31</v>
      </c>
      <c r="C1362" t="s">
        <v>9</v>
      </c>
      <c r="D1362" t="s">
        <v>10</v>
      </c>
      <c r="E1362" t="s">
        <v>15</v>
      </c>
      <c r="F1362" t="s">
        <v>7</v>
      </c>
      <c r="G1362" t="s">
        <v>14</v>
      </c>
      <c r="H1362" s="1">
        <v>3</v>
      </c>
      <c r="I1362" s="1">
        <v>3978</v>
      </c>
      <c r="J1362" t="s">
        <v>9</v>
      </c>
      <c r="K1362" s="1">
        <v>12</v>
      </c>
      <c r="L1362" s="1">
        <v>3</v>
      </c>
      <c r="M1362" s="1">
        <v>4</v>
      </c>
      <c r="N1362" s="1">
        <v>2</v>
      </c>
      <c r="O1362" s="1">
        <v>2</v>
      </c>
      <c r="P1362" s="1">
        <f>COUNTIF(HR_Data[Employee Number],HR_Data[[#This Row],[Employee Number]])</f>
        <v>1</v>
      </c>
      <c r="Q1362" s="1" t="str">
        <f>IF(HR_Data[[#This Row],[Years At Company]]&lt;=HR_Data[[#This Row],[Total Working Years]],"Valid","error")</f>
        <v>Valid</v>
      </c>
      <c r="R1362" s="1" t="str" cm="1">
        <f t="array" ref="R1362">_xlfn.IFS(HR_Data[[#This Row],[Age]]&lt;=30,"Young", HR_Data[[#This Row],[Age]]&lt;=45,"Mid-Age",HR_Data[[#This Row],[Age]]&gt;45,"Senior")</f>
        <v>Mid-Age</v>
      </c>
      <c r="S1362" s="1" t="str" cm="1">
        <f t="array" ref="S1362">_xlfn.IFS(HR_Data[[#This Row],[Monthly Income]]&lt;5000,"Low", HR_Data[[#This Row],[Monthly Income]]&lt;10000,"Medium",TRUE,"High")</f>
        <v>Low</v>
      </c>
      <c r="T1362" s="1" t="str" cm="1">
        <f t="array" ref="T1362">_xlfn.IFS(HR_Data[[#This Row],[Total Working Years]]&lt;=5,"Junior", HR_Data[[#This Row],[Total Working Years]]&lt;=15,"Mid-Level", TRUE, "Senior")</f>
        <v>Junior</v>
      </c>
    </row>
    <row r="1363" spans="1:20" x14ac:dyDescent="0.25">
      <c r="A1363" s="1">
        <v>1918</v>
      </c>
      <c r="B1363" s="1">
        <v>26</v>
      </c>
      <c r="C1363" t="s">
        <v>9</v>
      </c>
      <c r="D1363" t="s">
        <v>10</v>
      </c>
      <c r="E1363" t="s">
        <v>13</v>
      </c>
      <c r="F1363" t="s">
        <v>11</v>
      </c>
      <c r="G1363" t="s">
        <v>14</v>
      </c>
      <c r="H1363" s="1">
        <v>4</v>
      </c>
      <c r="I1363" s="1">
        <v>2544</v>
      </c>
      <c r="J1363" t="s">
        <v>9</v>
      </c>
      <c r="K1363" s="1">
        <v>18</v>
      </c>
      <c r="L1363" s="1">
        <v>3</v>
      </c>
      <c r="M1363" s="1">
        <v>8</v>
      </c>
      <c r="N1363" s="1">
        <v>3</v>
      </c>
      <c r="O1363" s="1">
        <v>7</v>
      </c>
      <c r="P1363" s="1">
        <f>COUNTIF(HR_Data[Employee Number],HR_Data[[#This Row],[Employee Number]])</f>
        <v>1</v>
      </c>
      <c r="Q1363" s="1" t="str">
        <f>IF(HR_Data[[#This Row],[Years At Company]]&lt;=HR_Data[[#This Row],[Total Working Years]],"Valid","error")</f>
        <v>Valid</v>
      </c>
      <c r="R1363" s="1" t="str" cm="1">
        <f t="array" ref="R1363">_xlfn.IFS(HR_Data[[#This Row],[Age]]&lt;=30,"Young", HR_Data[[#This Row],[Age]]&lt;=45,"Mid-Age",HR_Data[[#This Row],[Age]]&gt;45,"Senior")</f>
        <v>Young</v>
      </c>
      <c r="S1363" s="1" t="str" cm="1">
        <f t="array" ref="S1363">_xlfn.IFS(HR_Data[[#This Row],[Monthly Income]]&lt;5000,"Low", HR_Data[[#This Row],[Monthly Income]]&lt;10000,"Medium",TRUE,"High")</f>
        <v>Low</v>
      </c>
      <c r="T1363" s="1" t="str" cm="1">
        <f t="array" ref="T1363">_xlfn.IFS(HR_Data[[#This Row],[Total Working Years]]&lt;=5,"Junior", HR_Data[[#This Row],[Total Working Years]]&lt;=15,"Mid-Level", TRUE, "Senior")</f>
        <v>Mid-Level</v>
      </c>
    </row>
    <row r="1364" spans="1:20" x14ac:dyDescent="0.25">
      <c r="A1364" s="1">
        <v>1922</v>
      </c>
      <c r="B1364" s="1">
        <v>45</v>
      </c>
      <c r="C1364" t="s">
        <v>9</v>
      </c>
      <c r="D1364" t="s">
        <v>10</v>
      </c>
      <c r="E1364" t="s">
        <v>15</v>
      </c>
      <c r="F1364" t="s">
        <v>11</v>
      </c>
      <c r="G1364" t="s">
        <v>17</v>
      </c>
      <c r="H1364" s="1">
        <v>3</v>
      </c>
      <c r="I1364" s="1">
        <v>5399</v>
      </c>
      <c r="J1364" t="s">
        <v>9</v>
      </c>
      <c r="K1364" s="1">
        <v>12</v>
      </c>
      <c r="L1364" s="1">
        <v>3</v>
      </c>
      <c r="M1364" s="1">
        <v>12</v>
      </c>
      <c r="N1364" s="1">
        <v>3</v>
      </c>
      <c r="O1364" s="1">
        <v>4</v>
      </c>
      <c r="P1364" s="1">
        <f>COUNTIF(HR_Data[Employee Number],HR_Data[[#This Row],[Employee Number]])</f>
        <v>1</v>
      </c>
      <c r="Q1364" s="1" t="str">
        <f>IF(HR_Data[[#This Row],[Years At Company]]&lt;=HR_Data[[#This Row],[Total Working Years]],"Valid","error")</f>
        <v>Valid</v>
      </c>
      <c r="R1364" s="1" t="str" cm="1">
        <f t="array" ref="R1364">_xlfn.IFS(HR_Data[[#This Row],[Age]]&lt;=30,"Young", HR_Data[[#This Row],[Age]]&lt;=45,"Mid-Age",HR_Data[[#This Row],[Age]]&gt;45,"Senior")</f>
        <v>Mid-Age</v>
      </c>
      <c r="S1364" s="1" t="str" cm="1">
        <f t="array" ref="S1364">_xlfn.IFS(HR_Data[[#This Row],[Monthly Income]]&lt;5000,"Low", HR_Data[[#This Row],[Monthly Income]]&lt;10000,"Medium",TRUE,"High")</f>
        <v>Medium</v>
      </c>
      <c r="T1364" s="1" t="str" cm="1">
        <f t="array" ref="T1364">_xlfn.IFS(HR_Data[[#This Row],[Total Working Years]]&lt;=5,"Junior", HR_Data[[#This Row],[Total Working Years]]&lt;=15,"Mid-Level", TRUE, "Senior")</f>
        <v>Mid-Level</v>
      </c>
    </row>
    <row r="1365" spans="1:20" x14ac:dyDescent="0.25">
      <c r="A1365" s="1">
        <v>1924</v>
      </c>
      <c r="B1365" s="1">
        <v>33</v>
      </c>
      <c r="C1365" t="s">
        <v>9</v>
      </c>
      <c r="D1365" t="s">
        <v>5</v>
      </c>
      <c r="E1365" t="s">
        <v>21</v>
      </c>
      <c r="F1365" t="s">
        <v>11</v>
      </c>
      <c r="G1365" t="s">
        <v>8</v>
      </c>
      <c r="H1365" s="1">
        <v>3</v>
      </c>
      <c r="I1365" s="1">
        <v>5487</v>
      </c>
      <c r="J1365" t="s">
        <v>9</v>
      </c>
      <c r="K1365" s="1">
        <v>14</v>
      </c>
      <c r="L1365" s="1">
        <v>3</v>
      </c>
      <c r="M1365" s="1">
        <v>10</v>
      </c>
      <c r="N1365" s="1">
        <v>2</v>
      </c>
      <c r="O1365" s="1">
        <v>10</v>
      </c>
      <c r="P1365" s="1">
        <f>COUNTIF(HR_Data[Employee Number],HR_Data[[#This Row],[Employee Number]])</f>
        <v>1</v>
      </c>
      <c r="Q1365" s="1" t="str">
        <f>IF(HR_Data[[#This Row],[Years At Company]]&lt;=HR_Data[[#This Row],[Total Working Years]],"Valid","error")</f>
        <v>Valid</v>
      </c>
      <c r="R1365" s="1" t="str" cm="1">
        <f t="array" ref="R1365">_xlfn.IFS(HR_Data[[#This Row],[Age]]&lt;=30,"Young", HR_Data[[#This Row],[Age]]&lt;=45,"Mid-Age",HR_Data[[#This Row],[Age]]&gt;45,"Senior")</f>
        <v>Mid-Age</v>
      </c>
      <c r="S1365" s="1" t="str" cm="1">
        <f t="array" ref="S1365">_xlfn.IFS(HR_Data[[#This Row],[Monthly Income]]&lt;5000,"Low", HR_Data[[#This Row],[Monthly Income]]&lt;10000,"Medium",TRUE,"High")</f>
        <v>Medium</v>
      </c>
      <c r="T1365" s="1" t="str" cm="1">
        <f t="array" ref="T1365">_xlfn.IFS(HR_Data[[#This Row],[Total Working Years]]&lt;=5,"Junior", HR_Data[[#This Row],[Total Working Years]]&lt;=15,"Mid-Level", TRUE, "Senior")</f>
        <v>Mid-Level</v>
      </c>
    </row>
    <row r="1366" spans="1:20" x14ac:dyDescent="0.25">
      <c r="A1366" s="1">
        <v>1927</v>
      </c>
      <c r="B1366" s="1">
        <v>28</v>
      </c>
      <c r="C1366" t="s">
        <v>9</v>
      </c>
      <c r="D1366" t="s">
        <v>5</v>
      </c>
      <c r="E1366" t="s">
        <v>6</v>
      </c>
      <c r="F1366" t="s">
        <v>11</v>
      </c>
      <c r="G1366" t="s">
        <v>8</v>
      </c>
      <c r="H1366" s="1">
        <v>4</v>
      </c>
      <c r="I1366" s="1">
        <v>6834</v>
      </c>
      <c r="J1366" t="s">
        <v>4</v>
      </c>
      <c r="K1366" s="1">
        <v>12</v>
      </c>
      <c r="L1366" s="1">
        <v>3</v>
      </c>
      <c r="M1366" s="1">
        <v>7</v>
      </c>
      <c r="N1366" s="1">
        <v>3</v>
      </c>
      <c r="O1366" s="1">
        <v>7</v>
      </c>
      <c r="P1366" s="1">
        <f>COUNTIF(HR_Data[Employee Number],HR_Data[[#This Row],[Employee Number]])</f>
        <v>1</v>
      </c>
      <c r="Q1366" s="1" t="str">
        <f>IF(HR_Data[[#This Row],[Years At Company]]&lt;=HR_Data[[#This Row],[Total Working Years]],"Valid","error")</f>
        <v>Valid</v>
      </c>
      <c r="R1366" s="1" t="str" cm="1">
        <f t="array" ref="R1366">_xlfn.IFS(HR_Data[[#This Row],[Age]]&lt;=30,"Young", HR_Data[[#This Row],[Age]]&lt;=45,"Mid-Age",HR_Data[[#This Row],[Age]]&gt;45,"Senior")</f>
        <v>Young</v>
      </c>
      <c r="S1366" s="1" t="str" cm="1">
        <f t="array" ref="S1366">_xlfn.IFS(HR_Data[[#This Row],[Monthly Income]]&lt;5000,"Low", HR_Data[[#This Row],[Monthly Income]]&lt;10000,"Medium",TRUE,"High")</f>
        <v>Medium</v>
      </c>
      <c r="T1366" s="1" t="str" cm="1">
        <f t="array" ref="T1366">_xlfn.IFS(HR_Data[[#This Row],[Total Working Years]]&lt;=5,"Junior", HR_Data[[#This Row],[Total Working Years]]&lt;=15,"Mid-Level", TRUE, "Senior")</f>
        <v>Mid-Level</v>
      </c>
    </row>
    <row r="1367" spans="1:20" x14ac:dyDescent="0.25">
      <c r="A1367" s="1">
        <v>1928</v>
      </c>
      <c r="B1367" s="1">
        <v>29</v>
      </c>
      <c r="C1367" t="s">
        <v>4</v>
      </c>
      <c r="D1367" t="s">
        <v>5</v>
      </c>
      <c r="E1367" t="s">
        <v>22</v>
      </c>
      <c r="F1367" t="s">
        <v>11</v>
      </c>
      <c r="G1367" t="s">
        <v>19</v>
      </c>
      <c r="H1367" s="1">
        <v>1</v>
      </c>
      <c r="I1367" s="1">
        <v>1091</v>
      </c>
      <c r="J1367" t="s">
        <v>9</v>
      </c>
      <c r="K1367" s="1">
        <v>17</v>
      </c>
      <c r="L1367" s="1">
        <v>3</v>
      </c>
      <c r="M1367" s="1">
        <v>1</v>
      </c>
      <c r="N1367" s="1">
        <v>3</v>
      </c>
      <c r="O1367" s="1">
        <v>1</v>
      </c>
      <c r="P1367" s="1">
        <f>COUNTIF(HR_Data[Employee Number],HR_Data[[#This Row],[Employee Number]])</f>
        <v>1</v>
      </c>
      <c r="Q1367" s="1" t="str">
        <f>IF(HR_Data[[#This Row],[Years At Company]]&lt;=HR_Data[[#This Row],[Total Working Years]],"Valid","error")</f>
        <v>Valid</v>
      </c>
      <c r="R1367" s="1" t="str" cm="1">
        <f t="array" ref="R1367">_xlfn.IFS(HR_Data[[#This Row],[Age]]&lt;=30,"Young", HR_Data[[#This Row],[Age]]&lt;=45,"Mid-Age",HR_Data[[#This Row],[Age]]&gt;45,"Senior")</f>
        <v>Young</v>
      </c>
      <c r="S1367" s="1" t="str" cm="1">
        <f t="array" ref="S1367">_xlfn.IFS(HR_Data[[#This Row],[Monthly Income]]&lt;5000,"Low", HR_Data[[#This Row],[Monthly Income]]&lt;10000,"Medium",TRUE,"High")</f>
        <v>Low</v>
      </c>
      <c r="T1367" s="1" t="str" cm="1">
        <f t="array" ref="T1367">_xlfn.IFS(HR_Data[[#This Row],[Total Working Years]]&lt;=5,"Junior", HR_Data[[#This Row],[Total Working Years]]&lt;=15,"Mid-Level", TRUE, "Senior")</f>
        <v>Junior</v>
      </c>
    </row>
    <row r="1368" spans="1:20" x14ac:dyDescent="0.25">
      <c r="A1368" s="1">
        <v>1929</v>
      </c>
      <c r="B1368" s="1">
        <v>39</v>
      </c>
      <c r="C1368" t="s">
        <v>9</v>
      </c>
      <c r="D1368" t="s">
        <v>5</v>
      </c>
      <c r="E1368" t="s">
        <v>6</v>
      </c>
      <c r="F1368" t="s">
        <v>7</v>
      </c>
      <c r="G1368" t="s">
        <v>8</v>
      </c>
      <c r="H1368" s="1">
        <v>3</v>
      </c>
      <c r="I1368" s="1">
        <v>5736</v>
      </c>
      <c r="J1368" t="s">
        <v>9</v>
      </c>
      <c r="K1368" s="1">
        <v>19</v>
      </c>
      <c r="L1368" s="1">
        <v>3</v>
      </c>
      <c r="M1368" s="1">
        <v>10</v>
      </c>
      <c r="N1368" s="1">
        <v>3</v>
      </c>
      <c r="O1368" s="1">
        <v>3</v>
      </c>
      <c r="P1368" s="1">
        <f>COUNTIF(HR_Data[Employee Number],HR_Data[[#This Row],[Employee Number]])</f>
        <v>1</v>
      </c>
      <c r="Q1368" s="1" t="str">
        <f>IF(HR_Data[[#This Row],[Years At Company]]&lt;=HR_Data[[#This Row],[Total Working Years]],"Valid","error")</f>
        <v>Valid</v>
      </c>
      <c r="R1368" s="1" t="str" cm="1">
        <f t="array" ref="R1368">_xlfn.IFS(HR_Data[[#This Row],[Age]]&lt;=30,"Young", HR_Data[[#This Row],[Age]]&lt;=45,"Mid-Age",HR_Data[[#This Row],[Age]]&gt;45,"Senior")</f>
        <v>Mid-Age</v>
      </c>
      <c r="S1368" s="1" t="str" cm="1">
        <f t="array" ref="S1368">_xlfn.IFS(HR_Data[[#This Row],[Monthly Income]]&lt;5000,"Low", HR_Data[[#This Row],[Monthly Income]]&lt;10000,"Medium",TRUE,"High")</f>
        <v>Medium</v>
      </c>
      <c r="T1368" s="1" t="str" cm="1">
        <f t="array" ref="T1368">_xlfn.IFS(HR_Data[[#This Row],[Total Working Years]]&lt;=5,"Junior", HR_Data[[#This Row],[Total Working Years]]&lt;=15,"Mid-Level", TRUE, "Senior")</f>
        <v>Mid-Level</v>
      </c>
    </row>
    <row r="1369" spans="1:20" x14ac:dyDescent="0.25">
      <c r="A1369" s="1">
        <v>1931</v>
      </c>
      <c r="B1369" s="1">
        <v>27</v>
      </c>
      <c r="C1369" t="s">
        <v>9</v>
      </c>
      <c r="D1369" t="s">
        <v>10</v>
      </c>
      <c r="E1369" t="s">
        <v>22</v>
      </c>
      <c r="F1369" t="s">
        <v>11</v>
      </c>
      <c r="G1369" t="s">
        <v>12</v>
      </c>
      <c r="H1369" s="1">
        <v>2</v>
      </c>
      <c r="I1369" s="1">
        <v>2226</v>
      </c>
      <c r="J1369" t="s">
        <v>9</v>
      </c>
      <c r="K1369" s="1">
        <v>11</v>
      </c>
      <c r="L1369" s="1">
        <v>3</v>
      </c>
      <c r="M1369" s="1">
        <v>6</v>
      </c>
      <c r="N1369" s="1">
        <v>2</v>
      </c>
      <c r="O1369" s="1">
        <v>5</v>
      </c>
      <c r="P1369" s="1">
        <f>COUNTIF(HR_Data[Employee Number],HR_Data[[#This Row],[Employee Number]])</f>
        <v>1</v>
      </c>
      <c r="Q1369" s="1" t="str">
        <f>IF(HR_Data[[#This Row],[Years At Company]]&lt;=HR_Data[[#This Row],[Total Working Years]],"Valid","error")</f>
        <v>Valid</v>
      </c>
      <c r="R1369" s="1" t="str" cm="1">
        <f t="array" ref="R1369">_xlfn.IFS(HR_Data[[#This Row],[Age]]&lt;=30,"Young", HR_Data[[#This Row],[Age]]&lt;=45,"Mid-Age",HR_Data[[#This Row],[Age]]&gt;45,"Senior")</f>
        <v>Young</v>
      </c>
      <c r="S1369" s="1" t="str" cm="1">
        <f t="array" ref="S1369">_xlfn.IFS(HR_Data[[#This Row],[Monthly Income]]&lt;5000,"Low", HR_Data[[#This Row],[Monthly Income]]&lt;10000,"Medium",TRUE,"High")</f>
        <v>Low</v>
      </c>
      <c r="T1369" s="1" t="str" cm="1">
        <f t="array" ref="T1369">_xlfn.IFS(HR_Data[[#This Row],[Total Working Years]]&lt;=5,"Junior", HR_Data[[#This Row],[Total Working Years]]&lt;=15,"Mid-Level", TRUE, "Senior")</f>
        <v>Mid-Level</v>
      </c>
    </row>
    <row r="1370" spans="1:20" x14ac:dyDescent="0.25">
      <c r="A1370" s="1">
        <v>1932</v>
      </c>
      <c r="B1370" s="1">
        <v>34</v>
      </c>
      <c r="C1370" t="s">
        <v>9</v>
      </c>
      <c r="D1370" t="s">
        <v>10</v>
      </c>
      <c r="E1370" t="s">
        <v>13</v>
      </c>
      <c r="F1370" t="s">
        <v>11</v>
      </c>
      <c r="G1370" t="s">
        <v>12</v>
      </c>
      <c r="H1370" s="1">
        <v>4</v>
      </c>
      <c r="I1370" s="1">
        <v>5747</v>
      </c>
      <c r="J1370" t="s">
        <v>4</v>
      </c>
      <c r="K1370" s="1">
        <v>15</v>
      </c>
      <c r="L1370" s="1">
        <v>3</v>
      </c>
      <c r="M1370" s="1">
        <v>16</v>
      </c>
      <c r="N1370" s="1">
        <v>3</v>
      </c>
      <c r="O1370" s="1">
        <v>15</v>
      </c>
      <c r="P1370" s="1">
        <f>COUNTIF(HR_Data[Employee Number],HR_Data[[#This Row],[Employee Number]])</f>
        <v>1</v>
      </c>
      <c r="Q1370" s="1" t="str">
        <f>IF(HR_Data[[#This Row],[Years At Company]]&lt;=HR_Data[[#This Row],[Total Working Years]],"Valid","error")</f>
        <v>Valid</v>
      </c>
      <c r="R1370" s="1" t="str" cm="1">
        <f t="array" ref="R1370">_xlfn.IFS(HR_Data[[#This Row],[Age]]&lt;=30,"Young", HR_Data[[#This Row],[Age]]&lt;=45,"Mid-Age",HR_Data[[#This Row],[Age]]&gt;45,"Senior")</f>
        <v>Mid-Age</v>
      </c>
      <c r="S1370" s="1" t="str" cm="1">
        <f t="array" ref="S1370">_xlfn.IFS(HR_Data[[#This Row],[Monthly Income]]&lt;5000,"Low", HR_Data[[#This Row],[Monthly Income]]&lt;10000,"Medium",TRUE,"High")</f>
        <v>Medium</v>
      </c>
      <c r="T1370" s="1" t="str" cm="1">
        <f t="array" ref="T1370">_xlfn.IFS(HR_Data[[#This Row],[Total Working Years]]&lt;=5,"Junior", HR_Data[[#This Row],[Total Working Years]]&lt;=15,"Mid-Level", TRUE, "Senior")</f>
        <v>Senior</v>
      </c>
    </row>
    <row r="1371" spans="1:20" x14ac:dyDescent="0.25">
      <c r="A1371" s="1">
        <v>1933</v>
      </c>
      <c r="B1371" s="1">
        <v>28</v>
      </c>
      <c r="C1371" t="s">
        <v>4</v>
      </c>
      <c r="D1371" t="s">
        <v>5</v>
      </c>
      <c r="E1371" t="s">
        <v>21</v>
      </c>
      <c r="F1371" t="s">
        <v>7</v>
      </c>
      <c r="G1371" t="s">
        <v>8</v>
      </c>
      <c r="H1371" s="1">
        <v>3</v>
      </c>
      <c r="I1371" s="1">
        <v>9854</v>
      </c>
      <c r="J1371" t="s">
        <v>4</v>
      </c>
      <c r="K1371" s="1">
        <v>11</v>
      </c>
      <c r="L1371" s="1">
        <v>3</v>
      </c>
      <c r="M1371" s="1">
        <v>6</v>
      </c>
      <c r="N1371" s="1">
        <v>3</v>
      </c>
      <c r="O1371" s="1">
        <v>2</v>
      </c>
      <c r="P1371" s="1">
        <f>COUNTIF(HR_Data[Employee Number],HR_Data[[#This Row],[Employee Number]])</f>
        <v>1</v>
      </c>
      <c r="Q1371" s="1" t="str">
        <f>IF(HR_Data[[#This Row],[Years At Company]]&lt;=HR_Data[[#This Row],[Total Working Years]],"Valid","error")</f>
        <v>Valid</v>
      </c>
      <c r="R1371" s="1" t="str" cm="1">
        <f t="array" ref="R1371">_xlfn.IFS(HR_Data[[#This Row],[Age]]&lt;=30,"Young", HR_Data[[#This Row],[Age]]&lt;=45,"Mid-Age",HR_Data[[#This Row],[Age]]&gt;45,"Senior")</f>
        <v>Young</v>
      </c>
      <c r="S1371" s="1" t="str" cm="1">
        <f t="array" ref="S1371">_xlfn.IFS(HR_Data[[#This Row],[Monthly Income]]&lt;5000,"Low", HR_Data[[#This Row],[Monthly Income]]&lt;10000,"Medium",TRUE,"High")</f>
        <v>Medium</v>
      </c>
      <c r="T1371" s="1" t="str" cm="1">
        <f t="array" ref="T1371">_xlfn.IFS(HR_Data[[#This Row],[Total Working Years]]&lt;=5,"Junior", HR_Data[[#This Row],[Total Working Years]]&lt;=15,"Mid-Level", TRUE, "Senior")</f>
        <v>Mid-Level</v>
      </c>
    </row>
    <row r="1372" spans="1:20" x14ac:dyDescent="0.25">
      <c r="A1372" s="1">
        <v>1934</v>
      </c>
      <c r="B1372" s="1">
        <v>47</v>
      </c>
      <c r="C1372" t="s">
        <v>9</v>
      </c>
      <c r="D1372" t="s">
        <v>10</v>
      </c>
      <c r="E1372" t="s">
        <v>22</v>
      </c>
      <c r="F1372" t="s">
        <v>11</v>
      </c>
      <c r="G1372" t="s">
        <v>12</v>
      </c>
      <c r="H1372" s="1">
        <v>2</v>
      </c>
      <c r="I1372" s="1">
        <v>5467</v>
      </c>
      <c r="J1372" t="s">
        <v>9</v>
      </c>
      <c r="K1372" s="1">
        <v>18</v>
      </c>
      <c r="L1372" s="1">
        <v>3</v>
      </c>
      <c r="M1372" s="1">
        <v>16</v>
      </c>
      <c r="N1372" s="1">
        <v>4</v>
      </c>
      <c r="O1372" s="1">
        <v>8</v>
      </c>
      <c r="P1372" s="1">
        <f>COUNTIF(HR_Data[Employee Number],HR_Data[[#This Row],[Employee Number]])</f>
        <v>1</v>
      </c>
      <c r="Q1372" s="1" t="str">
        <f>IF(HR_Data[[#This Row],[Years At Company]]&lt;=HR_Data[[#This Row],[Total Working Years]],"Valid","error")</f>
        <v>Valid</v>
      </c>
      <c r="R1372" s="1" t="str" cm="1">
        <f t="array" ref="R1372">_xlfn.IFS(HR_Data[[#This Row],[Age]]&lt;=30,"Young", HR_Data[[#This Row],[Age]]&lt;=45,"Mid-Age",HR_Data[[#This Row],[Age]]&gt;45,"Senior")</f>
        <v>Senior</v>
      </c>
      <c r="S1372" s="1" t="str" cm="1">
        <f t="array" ref="S1372">_xlfn.IFS(HR_Data[[#This Row],[Monthly Income]]&lt;5000,"Low", HR_Data[[#This Row],[Monthly Income]]&lt;10000,"Medium",TRUE,"High")</f>
        <v>Medium</v>
      </c>
      <c r="T1372" s="1" t="str" cm="1">
        <f t="array" ref="T1372">_xlfn.IFS(HR_Data[[#This Row],[Total Working Years]]&lt;=5,"Junior", HR_Data[[#This Row],[Total Working Years]]&lt;=15,"Mid-Level", TRUE, "Senior")</f>
        <v>Senior</v>
      </c>
    </row>
    <row r="1373" spans="1:20" x14ac:dyDescent="0.25">
      <c r="A1373" s="1">
        <v>1935</v>
      </c>
      <c r="B1373" s="1">
        <v>56</v>
      </c>
      <c r="C1373" t="s">
        <v>9</v>
      </c>
      <c r="D1373" t="s">
        <v>5</v>
      </c>
      <c r="E1373" t="s">
        <v>21</v>
      </c>
      <c r="F1373" t="s">
        <v>7</v>
      </c>
      <c r="G1373" t="s">
        <v>8</v>
      </c>
      <c r="H1373" s="1">
        <v>1</v>
      </c>
      <c r="I1373" s="1">
        <v>5380</v>
      </c>
      <c r="J1373" t="s">
        <v>9</v>
      </c>
      <c r="K1373" s="1">
        <v>16</v>
      </c>
      <c r="L1373" s="1">
        <v>3</v>
      </c>
      <c r="M1373" s="1">
        <v>6</v>
      </c>
      <c r="N1373" s="1">
        <v>3</v>
      </c>
      <c r="O1373" s="1">
        <v>0</v>
      </c>
      <c r="P1373" s="1">
        <f>COUNTIF(HR_Data[Employee Number],HR_Data[[#This Row],[Employee Number]])</f>
        <v>1</v>
      </c>
      <c r="Q1373" s="1" t="str">
        <f>IF(HR_Data[[#This Row],[Years At Company]]&lt;=HR_Data[[#This Row],[Total Working Years]],"Valid","error")</f>
        <v>Valid</v>
      </c>
      <c r="R1373" s="1" t="str" cm="1">
        <f t="array" ref="R1373">_xlfn.IFS(HR_Data[[#This Row],[Age]]&lt;=30,"Young", HR_Data[[#This Row],[Age]]&lt;=45,"Mid-Age",HR_Data[[#This Row],[Age]]&gt;45,"Senior")</f>
        <v>Senior</v>
      </c>
      <c r="S1373" s="1" t="str" cm="1">
        <f t="array" ref="S1373">_xlfn.IFS(HR_Data[[#This Row],[Monthly Income]]&lt;5000,"Low", HR_Data[[#This Row],[Monthly Income]]&lt;10000,"Medium",TRUE,"High")</f>
        <v>Medium</v>
      </c>
      <c r="T1373" s="1" t="str" cm="1">
        <f t="array" ref="T1373">_xlfn.IFS(HR_Data[[#This Row],[Total Working Years]]&lt;=5,"Junior", HR_Data[[#This Row],[Total Working Years]]&lt;=15,"Mid-Level", TRUE, "Senior")</f>
        <v>Mid-Level</v>
      </c>
    </row>
    <row r="1374" spans="1:20" x14ac:dyDescent="0.25">
      <c r="A1374" s="1">
        <v>1936</v>
      </c>
      <c r="B1374" s="1">
        <v>39</v>
      </c>
      <c r="C1374" t="s">
        <v>9</v>
      </c>
      <c r="D1374" t="s">
        <v>10</v>
      </c>
      <c r="E1374" t="s">
        <v>15</v>
      </c>
      <c r="F1374" t="s">
        <v>11</v>
      </c>
      <c r="G1374" t="s">
        <v>16</v>
      </c>
      <c r="H1374" s="1">
        <v>1</v>
      </c>
      <c r="I1374" s="1">
        <v>5151</v>
      </c>
      <c r="J1374" t="s">
        <v>9</v>
      </c>
      <c r="K1374" s="1">
        <v>25</v>
      </c>
      <c r="L1374" s="1">
        <v>4</v>
      </c>
      <c r="M1374" s="1">
        <v>10</v>
      </c>
      <c r="N1374" s="1">
        <v>3</v>
      </c>
      <c r="O1374" s="1">
        <v>10</v>
      </c>
      <c r="P1374" s="1">
        <f>COUNTIF(HR_Data[Employee Number],HR_Data[[#This Row],[Employee Number]])</f>
        <v>1</v>
      </c>
      <c r="Q1374" s="1" t="str">
        <f>IF(HR_Data[[#This Row],[Years At Company]]&lt;=HR_Data[[#This Row],[Total Working Years]],"Valid","error")</f>
        <v>Valid</v>
      </c>
      <c r="R1374" s="1" t="str" cm="1">
        <f t="array" ref="R1374">_xlfn.IFS(HR_Data[[#This Row],[Age]]&lt;=30,"Young", HR_Data[[#This Row],[Age]]&lt;=45,"Mid-Age",HR_Data[[#This Row],[Age]]&gt;45,"Senior")</f>
        <v>Mid-Age</v>
      </c>
      <c r="S1374" s="1" t="str" cm="1">
        <f t="array" ref="S1374">_xlfn.IFS(HR_Data[[#This Row],[Monthly Income]]&lt;5000,"Low", HR_Data[[#This Row],[Monthly Income]]&lt;10000,"Medium",TRUE,"High")</f>
        <v>Medium</v>
      </c>
      <c r="T1374" s="1" t="str" cm="1">
        <f t="array" ref="T1374">_xlfn.IFS(HR_Data[[#This Row],[Total Working Years]]&lt;=5,"Junior", HR_Data[[#This Row],[Total Working Years]]&lt;=15,"Mid-Level", TRUE, "Senior")</f>
        <v>Mid-Level</v>
      </c>
    </row>
    <row r="1375" spans="1:20" x14ac:dyDescent="0.25">
      <c r="A1375" s="1">
        <v>1937</v>
      </c>
      <c r="B1375" s="1">
        <v>38</v>
      </c>
      <c r="C1375" t="s">
        <v>9</v>
      </c>
      <c r="D1375" t="s">
        <v>10</v>
      </c>
      <c r="E1375" t="s">
        <v>15</v>
      </c>
      <c r="F1375" t="s">
        <v>7</v>
      </c>
      <c r="G1375" t="s">
        <v>12</v>
      </c>
      <c r="H1375" s="1">
        <v>2</v>
      </c>
      <c r="I1375" s="1">
        <v>2133</v>
      </c>
      <c r="J1375" t="s">
        <v>4</v>
      </c>
      <c r="K1375" s="1">
        <v>16</v>
      </c>
      <c r="L1375" s="1">
        <v>3</v>
      </c>
      <c r="M1375" s="1">
        <v>20</v>
      </c>
      <c r="N1375" s="1">
        <v>3</v>
      </c>
      <c r="O1375" s="1">
        <v>20</v>
      </c>
      <c r="P1375" s="1">
        <f>COUNTIF(HR_Data[Employee Number],HR_Data[[#This Row],[Employee Number]])</f>
        <v>1</v>
      </c>
      <c r="Q1375" s="1" t="str">
        <f>IF(HR_Data[[#This Row],[Years At Company]]&lt;=HR_Data[[#This Row],[Total Working Years]],"Valid","error")</f>
        <v>Valid</v>
      </c>
      <c r="R1375" s="1" t="str" cm="1">
        <f t="array" ref="R1375">_xlfn.IFS(HR_Data[[#This Row],[Age]]&lt;=30,"Young", HR_Data[[#This Row],[Age]]&lt;=45,"Mid-Age",HR_Data[[#This Row],[Age]]&gt;45,"Senior")</f>
        <v>Mid-Age</v>
      </c>
      <c r="S1375" s="1" t="str" cm="1">
        <f t="array" ref="S1375">_xlfn.IFS(HR_Data[[#This Row],[Monthly Income]]&lt;5000,"Low", HR_Data[[#This Row],[Monthly Income]]&lt;10000,"Medium",TRUE,"High")</f>
        <v>Low</v>
      </c>
      <c r="T1375" s="1" t="str" cm="1">
        <f t="array" ref="T1375">_xlfn.IFS(HR_Data[[#This Row],[Total Working Years]]&lt;=5,"Junior", HR_Data[[#This Row],[Total Working Years]]&lt;=15,"Mid-Level", TRUE, "Senior")</f>
        <v>Senior</v>
      </c>
    </row>
    <row r="1376" spans="1:20" x14ac:dyDescent="0.25">
      <c r="A1376" s="1">
        <v>1938</v>
      </c>
      <c r="B1376" s="1">
        <v>58</v>
      </c>
      <c r="C1376" t="s">
        <v>9</v>
      </c>
      <c r="D1376" t="s">
        <v>5</v>
      </c>
      <c r="E1376" t="s">
        <v>6</v>
      </c>
      <c r="F1376" t="s">
        <v>7</v>
      </c>
      <c r="G1376" t="s">
        <v>18</v>
      </c>
      <c r="H1376" s="1">
        <v>4</v>
      </c>
      <c r="I1376" s="1">
        <v>17875</v>
      </c>
      <c r="J1376" t="s">
        <v>4</v>
      </c>
      <c r="K1376" s="1">
        <v>13</v>
      </c>
      <c r="L1376" s="1">
        <v>3</v>
      </c>
      <c r="M1376" s="1">
        <v>29</v>
      </c>
      <c r="N1376" s="1">
        <v>2</v>
      </c>
      <c r="O1376" s="1">
        <v>1</v>
      </c>
      <c r="P1376" s="1">
        <f>COUNTIF(HR_Data[Employee Number],HR_Data[[#This Row],[Employee Number]])</f>
        <v>1</v>
      </c>
      <c r="Q1376" s="1" t="str">
        <f>IF(HR_Data[[#This Row],[Years At Company]]&lt;=HR_Data[[#This Row],[Total Working Years]],"Valid","error")</f>
        <v>Valid</v>
      </c>
      <c r="R1376" s="1" t="str" cm="1">
        <f t="array" ref="R1376">_xlfn.IFS(HR_Data[[#This Row],[Age]]&lt;=30,"Young", HR_Data[[#This Row],[Age]]&lt;=45,"Mid-Age",HR_Data[[#This Row],[Age]]&gt;45,"Senior")</f>
        <v>Senior</v>
      </c>
      <c r="S1376" s="1" t="str" cm="1">
        <f t="array" ref="S1376">_xlfn.IFS(HR_Data[[#This Row],[Monthly Income]]&lt;5000,"Low", HR_Data[[#This Row],[Monthly Income]]&lt;10000,"Medium",TRUE,"High")</f>
        <v>High</v>
      </c>
      <c r="T1376" s="1" t="str" cm="1">
        <f t="array" ref="T1376">_xlfn.IFS(HR_Data[[#This Row],[Total Working Years]]&lt;=5,"Junior", HR_Data[[#This Row],[Total Working Years]]&lt;=15,"Mid-Level", TRUE, "Senior")</f>
        <v>Senior</v>
      </c>
    </row>
    <row r="1377" spans="1:20" x14ac:dyDescent="0.25">
      <c r="A1377" s="1">
        <v>1939</v>
      </c>
      <c r="B1377" s="1">
        <v>32</v>
      </c>
      <c r="C1377" t="s">
        <v>4</v>
      </c>
      <c r="D1377" t="s">
        <v>10</v>
      </c>
      <c r="E1377" t="s">
        <v>6</v>
      </c>
      <c r="F1377" t="s">
        <v>7</v>
      </c>
      <c r="G1377" t="s">
        <v>12</v>
      </c>
      <c r="H1377" s="1">
        <v>3</v>
      </c>
      <c r="I1377" s="1">
        <v>2432</v>
      </c>
      <c r="J1377" t="s">
        <v>4</v>
      </c>
      <c r="K1377" s="1">
        <v>14</v>
      </c>
      <c r="L1377" s="1">
        <v>3</v>
      </c>
      <c r="M1377" s="1">
        <v>8</v>
      </c>
      <c r="N1377" s="1">
        <v>3</v>
      </c>
      <c r="O1377" s="1">
        <v>4</v>
      </c>
      <c r="P1377" s="1">
        <f>COUNTIF(HR_Data[Employee Number],HR_Data[[#This Row],[Employee Number]])</f>
        <v>1</v>
      </c>
      <c r="Q1377" s="1" t="str">
        <f>IF(HR_Data[[#This Row],[Years At Company]]&lt;=HR_Data[[#This Row],[Total Working Years]],"Valid","error")</f>
        <v>Valid</v>
      </c>
      <c r="R1377" s="1" t="str" cm="1">
        <f t="array" ref="R1377">_xlfn.IFS(HR_Data[[#This Row],[Age]]&lt;=30,"Young", HR_Data[[#This Row],[Age]]&lt;=45,"Mid-Age",HR_Data[[#This Row],[Age]]&gt;45,"Senior")</f>
        <v>Mid-Age</v>
      </c>
      <c r="S1377" s="1" t="str" cm="1">
        <f t="array" ref="S1377">_xlfn.IFS(HR_Data[[#This Row],[Monthly Income]]&lt;5000,"Low", HR_Data[[#This Row],[Monthly Income]]&lt;10000,"Medium",TRUE,"High")</f>
        <v>Low</v>
      </c>
      <c r="T1377" s="1" t="str" cm="1">
        <f t="array" ref="T1377">_xlfn.IFS(HR_Data[[#This Row],[Total Working Years]]&lt;=5,"Junior", HR_Data[[#This Row],[Total Working Years]]&lt;=15,"Mid-Level", TRUE, "Senior")</f>
        <v>Mid-Level</v>
      </c>
    </row>
    <row r="1378" spans="1:20" x14ac:dyDescent="0.25">
      <c r="A1378" s="1">
        <v>1940</v>
      </c>
      <c r="B1378" s="1">
        <v>38</v>
      </c>
      <c r="C1378" t="s">
        <v>9</v>
      </c>
      <c r="D1378" t="s">
        <v>10</v>
      </c>
      <c r="E1378" t="s">
        <v>6</v>
      </c>
      <c r="F1378" t="s">
        <v>11</v>
      </c>
      <c r="G1378" t="s">
        <v>12</v>
      </c>
      <c r="H1378" s="1">
        <v>4</v>
      </c>
      <c r="I1378" s="1">
        <v>4771</v>
      </c>
      <c r="J1378" t="s">
        <v>9</v>
      </c>
      <c r="K1378" s="1">
        <v>19</v>
      </c>
      <c r="L1378" s="1">
        <v>3</v>
      </c>
      <c r="M1378" s="1">
        <v>10</v>
      </c>
      <c r="N1378" s="1">
        <v>4</v>
      </c>
      <c r="O1378" s="1">
        <v>5</v>
      </c>
      <c r="P1378" s="1">
        <f>COUNTIF(HR_Data[Employee Number],HR_Data[[#This Row],[Employee Number]])</f>
        <v>1</v>
      </c>
      <c r="Q1378" s="1" t="str">
        <f>IF(HR_Data[[#This Row],[Years At Company]]&lt;=HR_Data[[#This Row],[Total Working Years]],"Valid","error")</f>
        <v>Valid</v>
      </c>
      <c r="R1378" s="1" t="str" cm="1">
        <f t="array" ref="R1378">_xlfn.IFS(HR_Data[[#This Row],[Age]]&lt;=30,"Young", HR_Data[[#This Row],[Age]]&lt;=45,"Mid-Age",HR_Data[[#This Row],[Age]]&gt;45,"Senior")</f>
        <v>Mid-Age</v>
      </c>
      <c r="S1378" s="1" t="str" cm="1">
        <f t="array" ref="S1378">_xlfn.IFS(HR_Data[[#This Row],[Monthly Income]]&lt;5000,"Low", HR_Data[[#This Row],[Monthly Income]]&lt;10000,"Medium",TRUE,"High")</f>
        <v>Low</v>
      </c>
      <c r="T1378" s="1" t="str" cm="1">
        <f t="array" ref="T1378">_xlfn.IFS(HR_Data[[#This Row],[Total Working Years]]&lt;=5,"Junior", HR_Data[[#This Row],[Total Working Years]]&lt;=15,"Mid-Level", TRUE, "Senior")</f>
        <v>Mid-Level</v>
      </c>
    </row>
    <row r="1379" spans="1:20" x14ac:dyDescent="0.25">
      <c r="A1379" s="1">
        <v>1941</v>
      </c>
      <c r="B1379" s="1">
        <v>49</v>
      </c>
      <c r="C1379" t="s">
        <v>9</v>
      </c>
      <c r="D1379" t="s">
        <v>10</v>
      </c>
      <c r="E1379" t="s">
        <v>6</v>
      </c>
      <c r="F1379" t="s">
        <v>11</v>
      </c>
      <c r="G1379" t="s">
        <v>20</v>
      </c>
      <c r="H1379" s="1">
        <v>4</v>
      </c>
      <c r="I1379" s="1">
        <v>19161</v>
      </c>
      <c r="J1379" t="s">
        <v>9</v>
      </c>
      <c r="K1379" s="1">
        <v>15</v>
      </c>
      <c r="L1379" s="1">
        <v>3</v>
      </c>
      <c r="M1379" s="1">
        <v>28</v>
      </c>
      <c r="N1379" s="1">
        <v>3</v>
      </c>
      <c r="O1379" s="1">
        <v>5</v>
      </c>
      <c r="P1379" s="1">
        <f>COUNTIF(HR_Data[Employee Number],HR_Data[[#This Row],[Employee Number]])</f>
        <v>1</v>
      </c>
      <c r="Q1379" s="1" t="str">
        <f>IF(HR_Data[[#This Row],[Years At Company]]&lt;=HR_Data[[#This Row],[Total Working Years]],"Valid","error")</f>
        <v>Valid</v>
      </c>
      <c r="R1379" s="1" t="str" cm="1">
        <f t="array" ref="R1379">_xlfn.IFS(HR_Data[[#This Row],[Age]]&lt;=30,"Young", HR_Data[[#This Row],[Age]]&lt;=45,"Mid-Age",HR_Data[[#This Row],[Age]]&gt;45,"Senior")</f>
        <v>Senior</v>
      </c>
      <c r="S1379" s="1" t="str" cm="1">
        <f t="array" ref="S1379">_xlfn.IFS(HR_Data[[#This Row],[Monthly Income]]&lt;5000,"Low", HR_Data[[#This Row],[Monthly Income]]&lt;10000,"Medium",TRUE,"High")</f>
        <v>High</v>
      </c>
      <c r="T1379" s="1" t="str" cm="1">
        <f t="array" ref="T1379">_xlfn.IFS(HR_Data[[#This Row],[Total Working Years]]&lt;=5,"Junior", HR_Data[[#This Row],[Total Working Years]]&lt;=15,"Mid-Level", TRUE, "Senior")</f>
        <v>Senior</v>
      </c>
    </row>
    <row r="1380" spans="1:20" x14ac:dyDescent="0.25">
      <c r="A1380" s="1">
        <v>1943</v>
      </c>
      <c r="B1380" s="1">
        <v>42</v>
      </c>
      <c r="C1380" t="s">
        <v>9</v>
      </c>
      <c r="D1380" t="s">
        <v>5</v>
      </c>
      <c r="E1380" t="s">
        <v>21</v>
      </c>
      <c r="F1380" t="s">
        <v>11</v>
      </c>
      <c r="G1380" t="s">
        <v>8</v>
      </c>
      <c r="H1380" s="1">
        <v>4</v>
      </c>
      <c r="I1380" s="1">
        <v>5087</v>
      </c>
      <c r="J1380" t="s">
        <v>4</v>
      </c>
      <c r="K1380" s="1">
        <v>12</v>
      </c>
      <c r="L1380" s="1">
        <v>3</v>
      </c>
      <c r="M1380" s="1">
        <v>14</v>
      </c>
      <c r="N1380" s="1">
        <v>3</v>
      </c>
      <c r="O1380" s="1">
        <v>0</v>
      </c>
      <c r="P1380" s="1">
        <f>COUNTIF(HR_Data[Employee Number],HR_Data[[#This Row],[Employee Number]])</f>
        <v>1</v>
      </c>
      <c r="Q1380" s="1" t="str">
        <f>IF(HR_Data[[#This Row],[Years At Company]]&lt;=HR_Data[[#This Row],[Total Working Years]],"Valid","error")</f>
        <v>Valid</v>
      </c>
      <c r="R1380" s="1" t="str" cm="1">
        <f t="array" ref="R1380">_xlfn.IFS(HR_Data[[#This Row],[Age]]&lt;=30,"Young", HR_Data[[#This Row],[Age]]&lt;=45,"Mid-Age",HR_Data[[#This Row],[Age]]&gt;45,"Senior")</f>
        <v>Mid-Age</v>
      </c>
      <c r="S1380" s="1" t="str" cm="1">
        <f t="array" ref="S1380">_xlfn.IFS(HR_Data[[#This Row],[Monthly Income]]&lt;5000,"Low", HR_Data[[#This Row],[Monthly Income]]&lt;10000,"Medium",TRUE,"High")</f>
        <v>Medium</v>
      </c>
      <c r="T1380" s="1" t="str" cm="1">
        <f t="array" ref="T1380">_xlfn.IFS(HR_Data[[#This Row],[Total Working Years]]&lt;=5,"Junior", HR_Data[[#This Row],[Total Working Years]]&lt;=15,"Mid-Level", TRUE, "Senior")</f>
        <v>Mid-Level</v>
      </c>
    </row>
    <row r="1381" spans="1:20" x14ac:dyDescent="0.25">
      <c r="A1381" s="1">
        <v>1944</v>
      </c>
      <c r="B1381" s="1">
        <v>27</v>
      </c>
      <c r="C1381" t="s">
        <v>4</v>
      </c>
      <c r="D1381" t="s">
        <v>23</v>
      </c>
      <c r="E1381" t="s">
        <v>23</v>
      </c>
      <c r="F1381" t="s">
        <v>7</v>
      </c>
      <c r="G1381" t="s">
        <v>23</v>
      </c>
      <c r="H1381" s="1">
        <v>2</v>
      </c>
      <c r="I1381" s="1">
        <v>2863</v>
      </c>
      <c r="J1381" t="s">
        <v>9</v>
      </c>
      <c r="K1381" s="1">
        <v>12</v>
      </c>
      <c r="L1381" s="1">
        <v>3</v>
      </c>
      <c r="M1381" s="1">
        <v>1</v>
      </c>
      <c r="N1381" s="1">
        <v>3</v>
      </c>
      <c r="O1381" s="1">
        <v>1</v>
      </c>
      <c r="P1381" s="1">
        <f>COUNTIF(HR_Data[Employee Number],HR_Data[[#This Row],[Employee Number]])</f>
        <v>1</v>
      </c>
      <c r="Q1381" s="1" t="str">
        <f>IF(HR_Data[[#This Row],[Years At Company]]&lt;=HR_Data[[#This Row],[Total Working Years]],"Valid","error")</f>
        <v>Valid</v>
      </c>
      <c r="R1381" s="1" t="str" cm="1">
        <f t="array" ref="R1381">_xlfn.IFS(HR_Data[[#This Row],[Age]]&lt;=30,"Young", HR_Data[[#This Row],[Age]]&lt;=45,"Mid-Age",HR_Data[[#This Row],[Age]]&gt;45,"Senior")</f>
        <v>Young</v>
      </c>
      <c r="S1381" s="1" t="str" cm="1">
        <f t="array" ref="S1381">_xlfn.IFS(HR_Data[[#This Row],[Monthly Income]]&lt;5000,"Low", HR_Data[[#This Row],[Monthly Income]]&lt;10000,"Medium",TRUE,"High")</f>
        <v>Low</v>
      </c>
      <c r="T1381" s="1" t="str" cm="1">
        <f t="array" ref="T1381">_xlfn.IFS(HR_Data[[#This Row],[Total Working Years]]&lt;=5,"Junior", HR_Data[[#This Row],[Total Working Years]]&lt;=15,"Mid-Level", TRUE, "Senior")</f>
        <v>Junior</v>
      </c>
    </row>
    <row r="1382" spans="1:20" x14ac:dyDescent="0.25">
      <c r="A1382" s="1">
        <v>1945</v>
      </c>
      <c r="B1382" s="1">
        <v>35</v>
      </c>
      <c r="C1382" t="s">
        <v>9</v>
      </c>
      <c r="D1382" t="s">
        <v>5</v>
      </c>
      <c r="E1382" t="s">
        <v>15</v>
      </c>
      <c r="F1382" t="s">
        <v>11</v>
      </c>
      <c r="G1382" t="s">
        <v>8</v>
      </c>
      <c r="H1382" s="1">
        <v>1</v>
      </c>
      <c r="I1382" s="1">
        <v>5561</v>
      </c>
      <c r="J1382" t="s">
        <v>9</v>
      </c>
      <c r="K1382" s="1">
        <v>16</v>
      </c>
      <c r="L1382" s="1">
        <v>3</v>
      </c>
      <c r="M1382" s="1">
        <v>6</v>
      </c>
      <c r="N1382" s="1">
        <v>1</v>
      </c>
      <c r="O1382" s="1">
        <v>5</v>
      </c>
      <c r="P1382" s="1">
        <f>COUNTIF(HR_Data[Employee Number],HR_Data[[#This Row],[Employee Number]])</f>
        <v>1</v>
      </c>
      <c r="Q1382" s="1" t="str">
        <f>IF(HR_Data[[#This Row],[Years At Company]]&lt;=HR_Data[[#This Row],[Total Working Years]],"Valid","error")</f>
        <v>Valid</v>
      </c>
      <c r="R1382" s="1" t="str" cm="1">
        <f t="array" ref="R1382">_xlfn.IFS(HR_Data[[#This Row],[Age]]&lt;=30,"Young", HR_Data[[#This Row],[Age]]&lt;=45,"Mid-Age",HR_Data[[#This Row],[Age]]&gt;45,"Senior")</f>
        <v>Mid-Age</v>
      </c>
      <c r="S1382" s="1" t="str" cm="1">
        <f t="array" ref="S1382">_xlfn.IFS(HR_Data[[#This Row],[Monthly Income]]&lt;5000,"Low", HR_Data[[#This Row],[Monthly Income]]&lt;10000,"Medium",TRUE,"High")</f>
        <v>Medium</v>
      </c>
      <c r="T1382" s="1" t="str" cm="1">
        <f t="array" ref="T1382">_xlfn.IFS(HR_Data[[#This Row],[Total Working Years]]&lt;=5,"Junior", HR_Data[[#This Row],[Total Working Years]]&lt;=15,"Mid-Level", TRUE, "Senior")</f>
        <v>Mid-Level</v>
      </c>
    </row>
    <row r="1383" spans="1:20" x14ac:dyDescent="0.25">
      <c r="A1383" s="1">
        <v>1947</v>
      </c>
      <c r="B1383" s="1">
        <v>28</v>
      </c>
      <c r="C1383" t="s">
        <v>9</v>
      </c>
      <c r="D1383" t="s">
        <v>10</v>
      </c>
      <c r="E1383" t="s">
        <v>15</v>
      </c>
      <c r="F1383" t="s">
        <v>11</v>
      </c>
      <c r="G1383" t="s">
        <v>12</v>
      </c>
      <c r="H1383" s="1">
        <v>3</v>
      </c>
      <c r="I1383" s="1">
        <v>2144</v>
      </c>
      <c r="J1383" t="s">
        <v>9</v>
      </c>
      <c r="K1383" s="1">
        <v>14</v>
      </c>
      <c r="L1383" s="1">
        <v>3</v>
      </c>
      <c r="M1383" s="1">
        <v>5</v>
      </c>
      <c r="N1383" s="1">
        <v>2</v>
      </c>
      <c r="O1383" s="1">
        <v>5</v>
      </c>
      <c r="P1383" s="1">
        <f>COUNTIF(HR_Data[Employee Number],HR_Data[[#This Row],[Employee Number]])</f>
        <v>1</v>
      </c>
      <c r="Q1383" s="1" t="str">
        <f>IF(HR_Data[[#This Row],[Years At Company]]&lt;=HR_Data[[#This Row],[Total Working Years]],"Valid","error")</f>
        <v>Valid</v>
      </c>
      <c r="R1383" s="1" t="str" cm="1">
        <f t="array" ref="R1383">_xlfn.IFS(HR_Data[[#This Row],[Age]]&lt;=30,"Young", HR_Data[[#This Row],[Age]]&lt;=45,"Mid-Age",HR_Data[[#This Row],[Age]]&gt;45,"Senior")</f>
        <v>Young</v>
      </c>
      <c r="S1383" s="1" t="str" cm="1">
        <f t="array" ref="S1383">_xlfn.IFS(HR_Data[[#This Row],[Monthly Income]]&lt;5000,"Low", HR_Data[[#This Row],[Monthly Income]]&lt;10000,"Medium",TRUE,"High")</f>
        <v>Low</v>
      </c>
      <c r="T1383" s="1" t="str" cm="1">
        <f t="array" ref="T1383">_xlfn.IFS(HR_Data[[#This Row],[Total Working Years]]&lt;=5,"Junior", HR_Data[[#This Row],[Total Working Years]]&lt;=15,"Mid-Level", TRUE, "Senior")</f>
        <v>Junior</v>
      </c>
    </row>
    <row r="1384" spans="1:20" x14ac:dyDescent="0.25">
      <c r="A1384" s="1">
        <v>1948</v>
      </c>
      <c r="B1384" s="1">
        <v>31</v>
      </c>
      <c r="C1384" t="s">
        <v>9</v>
      </c>
      <c r="D1384" t="s">
        <v>10</v>
      </c>
      <c r="E1384" t="s">
        <v>15</v>
      </c>
      <c r="F1384" t="s">
        <v>11</v>
      </c>
      <c r="G1384" t="s">
        <v>12</v>
      </c>
      <c r="H1384" s="1">
        <v>1</v>
      </c>
      <c r="I1384" s="1">
        <v>3065</v>
      </c>
      <c r="J1384" t="s">
        <v>4</v>
      </c>
      <c r="K1384" s="1">
        <v>13</v>
      </c>
      <c r="L1384" s="1">
        <v>3</v>
      </c>
      <c r="M1384" s="1">
        <v>4</v>
      </c>
      <c r="N1384" s="1">
        <v>4</v>
      </c>
      <c r="O1384" s="1">
        <v>4</v>
      </c>
      <c r="P1384" s="1">
        <f>COUNTIF(HR_Data[Employee Number],HR_Data[[#This Row],[Employee Number]])</f>
        <v>1</v>
      </c>
      <c r="Q1384" s="1" t="str">
        <f>IF(HR_Data[[#This Row],[Years At Company]]&lt;=HR_Data[[#This Row],[Total Working Years]],"Valid","error")</f>
        <v>Valid</v>
      </c>
      <c r="R1384" s="1" t="str" cm="1">
        <f t="array" ref="R1384">_xlfn.IFS(HR_Data[[#This Row],[Age]]&lt;=30,"Young", HR_Data[[#This Row],[Age]]&lt;=45,"Mid-Age",HR_Data[[#This Row],[Age]]&gt;45,"Senior")</f>
        <v>Mid-Age</v>
      </c>
      <c r="S1384" s="1" t="str" cm="1">
        <f t="array" ref="S1384">_xlfn.IFS(HR_Data[[#This Row],[Monthly Income]]&lt;5000,"Low", HR_Data[[#This Row],[Monthly Income]]&lt;10000,"Medium",TRUE,"High")</f>
        <v>Low</v>
      </c>
      <c r="T1384" s="1" t="str" cm="1">
        <f t="array" ref="T1384">_xlfn.IFS(HR_Data[[#This Row],[Total Working Years]]&lt;=5,"Junior", HR_Data[[#This Row],[Total Working Years]]&lt;=15,"Mid-Level", TRUE, "Senior")</f>
        <v>Junior</v>
      </c>
    </row>
    <row r="1385" spans="1:20" x14ac:dyDescent="0.25">
      <c r="A1385" s="1">
        <v>1949</v>
      </c>
      <c r="B1385" s="1">
        <v>36</v>
      </c>
      <c r="C1385" t="s">
        <v>9</v>
      </c>
      <c r="D1385" t="s">
        <v>10</v>
      </c>
      <c r="E1385" t="s">
        <v>6</v>
      </c>
      <c r="F1385" t="s">
        <v>11</v>
      </c>
      <c r="G1385" t="s">
        <v>14</v>
      </c>
      <c r="H1385" s="1">
        <v>2</v>
      </c>
      <c r="I1385" s="1">
        <v>2810</v>
      </c>
      <c r="J1385" t="s">
        <v>9</v>
      </c>
      <c r="K1385" s="1">
        <v>22</v>
      </c>
      <c r="L1385" s="1">
        <v>4</v>
      </c>
      <c r="M1385" s="1">
        <v>5</v>
      </c>
      <c r="N1385" s="1">
        <v>3</v>
      </c>
      <c r="O1385" s="1">
        <v>5</v>
      </c>
      <c r="P1385" s="1">
        <f>COUNTIF(HR_Data[Employee Number],HR_Data[[#This Row],[Employee Number]])</f>
        <v>1</v>
      </c>
      <c r="Q1385" s="1" t="str">
        <f>IF(HR_Data[[#This Row],[Years At Company]]&lt;=HR_Data[[#This Row],[Total Working Years]],"Valid","error")</f>
        <v>Valid</v>
      </c>
      <c r="R1385" s="1" t="str" cm="1">
        <f t="array" ref="R1385">_xlfn.IFS(HR_Data[[#This Row],[Age]]&lt;=30,"Young", HR_Data[[#This Row],[Age]]&lt;=45,"Mid-Age",HR_Data[[#This Row],[Age]]&gt;45,"Senior")</f>
        <v>Mid-Age</v>
      </c>
      <c r="S1385" s="1" t="str" cm="1">
        <f t="array" ref="S1385">_xlfn.IFS(HR_Data[[#This Row],[Monthly Income]]&lt;5000,"Low", HR_Data[[#This Row],[Monthly Income]]&lt;10000,"Medium",TRUE,"High")</f>
        <v>Low</v>
      </c>
      <c r="T1385" s="1" t="str" cm="1">
        <f t="array" ref="T1385">_xlfn.IFS(HR_Data[[#This Row],[Total Working Years]]&lt;=5,"Junior", HR_Data[[#This Row],[Total Working Years]]&lt;=15,"Mid-Level", TRUE, "Senior")</f>
        <v>Junior</v>
      </c>
    </row>
    <row r="1386" spans="1:20" x14ac:dyDescent="0.25">
      <c r="A1386" s="1">
        <v>1950</v>
      </c>
      <c r="B1386" s="1">
        <v>34</v>
      </c>
      <c r="C1386" t="s">
        <v>9</v>
      </c>
      <c r="D1386" t="s">
        <v>5</v>
      </c>
      <c r="E1386" t="s">
        <v>21</v>
      </c>
      <c r="F1386" t="s">
        <v>11</v>
      </c>
      <c r="G1386" t="s">
        <v>8</v>
      </c>
      <c r="H1386" s="1">
        <v>4</v>
      </c>
      <c r="I1386" s="1">
        <v>9888</v>
      </c>
      <c r="J1386" t="s">
        <v>9</v>
      </c>
      <c r="K1386" s="1">
        <v>21</v>
      </c>
      <c r="L1386" s="1">
        <v>4</v>
      </c>
      <c r="M1386" s="1">
        <v>14</v>
      </c>
      <c r="N1386" s="1">
        <v>2</v>
      </c>
      <c r="O1386" s="1">
        <v>14</v>
      </c>
      <c r="P1386" s="1">
        <f>COUNTIF(HR_Data[Employee Number],HR_Data[[#This Row],[Employee Number]])</f>
        <v>1</v>
      </c>
      <c r="Q1386" s="1" t="str">
        <f>IF(HR_Data[[#This Row],[Years At Company]]&lt;=HR_Data[[#This Row],[Total Working Years]],"Valid","error")</f>
        <v>Valid</v>
      </c>
      <c r="R1386" s="1" t="str" cm="1">
        <f t="array" ref="R1386">_xlfn.IFS(HR_Data[[#This Row],[Age]]&lt;=30,"Young", HR_Data[[#This Row],[Age]]&lt;=45,"Mid-Age",HR_Data[[#This Row],[Age]]&gt;45,"Senior")</f>
        <v>Mid-Age</v>
      </c>
      <c r="S1386" s="1" t="str" cm="1">
        <f t="array" ref="S1386">_xlfn.IFS(HR_Data[[#This Row],[Monthly Income]]&lt;5000,"Low", HR_Data[[#This Row],[Monthly Income]]&lt;10000,"Medium",TRUE,"High")</f>
        <v>Medium</v>
      </c>
      <c r="T1386" s="1" t="str" cm="1">
        <f t="array" ref="T1386">_xlfn.IFS(HR_Data[[#This Row],[Total Working Years]]&lt;=5,"Junior", HR_Data[[#This Row],[Total Working Years]]&lt;=15,"Mid-Level", TRUE, "Senior")</f>
        <v>Mid-Level</v>
      </c>
    </row>
    <row r="1387" spans="1:20" x14ac:dyDescent="0.25">
      <c r="A1387" s="1">
        <v>1951</v>
      </c>
      <c r="B1387" s="1">
        <v>34</v>
      </c>
      <c r="C1387" t="s">
        <v>9</v>
      </c>
      <c r="D1387" t="s">
        <v>5</v>
      </c>
      <c r="E1387" t="s">
        <v>15</v>
      </c>
      <c r="F1387" t="s">
        <v>11</v>
      </c>
      <c r="G1387" t="s">
        <v>8</v>
      </c>
      <c r="H1387" s="1">
        <v>3</v>
      </c>
      <c r="I1387" s="1">
        <v>8628</v>
      </c>
      <c r="J1387" t="s">
        <v>9</v>
      </c>
      <c r="K1387" s="1">
        <v>18</v>
      </c>
      <c r="L1387" s="1">
        <v>3</v>
      </c>
      <c r="M1387" s="1">
        <v>9</v>
      </c>
      <c r="N1387" s="1">
        <v>2</v>
      </c>
      <c r="O1387" s="1">
        <v>8</v>
      </c>
      <c r="P1387" s="1">
        <f>COUNTIF(HR_Data[Employee Number],HR_Data[[#This Row],[Employee Number]])</f>
        <v>1</v>
      </c>
      <c r="Q1387" s="1" t="str">
        <f>IF(HR_Data[[#This Row],[Years At Company]]&lt;=HR_Data[[#This Row],[Total Working Years]],"Valid","error")</f>
        <v>Valid</v>
      </c>
      <c r="R1387" s="1" t="str" cm="1">
        <f t="array" ref="R1387">_xlfn.IFS(HR_Data[[#This Row],[Age]]&lt;=30,"Young", HR_Data[[#This Row],[Age]]&lt;=45,"Mid-Age",HR_Data[[#This Row],[Age]]&gt;45,"Senior")</f>
        <v>Mid-Age</v>
      </c>
      <c r="S1387" s="1" t="str" cm="1">
        <f t="array" ref="S1387">_xlfn.IFS(HR_Data[[#This Row],[Monthly Income]]&lt;5000,"Low", HR_Data[[#This Row],[Monthly Income]]&lt;10000,"Medium",TRUE,"High")</f>
        <v>Medium</v>
      </c>
      <c r="T1387" s="1" t="str" cm="1">
        <f t="array" ref="T1387">_xlfn.IFS(HR_Data[[#This Row],[Total Working Years]]&lt;=5,"Junior", HR_Data[[#This Row],[Total Working Years]]&lt;=15,"Mid-Level", TRUE, "Senior")</f>
        <v>Mid-Level</v>
      </c>
    </row>
    <row r="1388" spans="1:20" x14ac:dyDescent="0.25">
      <c r="A1388" s="1">
        <v>1952</v>
      </c>
      <c r="B1388" s="1">
        <v>26</v>
      </c>
      <c r="C1388" t="s">
        <v>9</v>
      </c>
      <c r="D1388" t="s">
        <v>10</v>
      </c>
      <c r="E1388" t="s">
        <v>15</v>
      </c>
      <c r="F1388" t="s">
        <v>11</v>
      </c>
      <c r="G1388" t="s">
        <v>14</v>
      </c>
      <c r="H1388" s="1">
        <v>1</v>
      </c>
      <c r="I1388" s="1">
        <v>2867</v>
      </c>
      <c r="J1388" t="s">
        <v>9</v>
      </c>
      <c r="K1388" s="1">
        <v>13</v>
      </c>
      <c r="L1388" s="1">
        <v>3</v>
      </c>
      <c r="M1388" s="1">
        <v>8</v>
      </c>
      <c r="N1388" s="1">
        <v>2</v>
      </c>
      <c r="O1388" s="1">
        <v>7</v>
      </c>
      <c r="P1388" s="1">
        <f>COUNTIF(HR_Data[Employee Number],HR_Data[[#This Row],[Employee Number]])</f>
        <v>1</v>
      </c>
      <c r="Q1388" s="1" t="str">
        <f>IF(HR_Data[[#This Row],[Years At Company]]&lt;=HR_Data[[#This Row],[Total Working Years]],"Valid","error")</f>
        <v>Valid</v>
      </c>
      <c r="R1388" s="1" t="str" cm="1">
        <f t="array" ref="R1388">_xlfn.IFS(HR_Data[[#This Row],[Age]]&lt;=30,"Young", HR_Data[[#This Row],[Age]]&lt;=45,"Mid-Age",HR_Data[[#This Row],[Age]]&gt;45,"Senior")</f>
        <v>Young</v>
      </c>
      <c r="S1388" s="1" t="str" cm="1">
        <f t="array" ref="S1388">_xlfn.IFS(HR_Data[[#This Row],[Monthly Income]]&lt;5000,"Low", HR_Data[[#This Row],[Monthly Income]]&lt;10000,"Medium",TRUE,"High")</f>
        <v>Low</v>
      </c>
      <c r="T1388" s="1" t="str" cm="1">
        <f t="array" ref="T1388">_xlfn.IFS(HR_Data[[#This Row],[Total Working Years]]&lt;=5,"Junior", HR_Data[[#This Row],[Total Working Years]]&lt;=15,"Mid-Level", TRUE, "Senior")</f>
        <v>Mid-Level</v>
      </c>
    </row>
    <row r="1389" spans="1:20" x14ac:dyDescent="0.25">
      <c r="A1389" s="1">
        <v>1954</v>
      </c>
      <c r="B1389" s="1">
        <v>29</v>
      </c>
      <c r="C1389" t="s">
        <v>9</v>
      </c>
      <c r="D1389" t="s">
        <v>10</v>
      </c>
      <c r="E1389" t="s">
        <v>6</v>
      </c>
      <c r="F1389" t="s">
        <v>11</v>
      </c>
      <c r="G1389" t="s">
        <v>17</v>
      </c>
      <c r="H1389" s="1">
        <v>1</v>
      </c>
      <c r="I1389" s="1">
        <v>5373</v>
      </c>
      <c r="J1389" t="s">
        <v>9</v>
      </c>
      <c r="K1389" s="1">
        <v>12</v>
      </c>
      <c r="L1389" s="1">
        <v>3</v>
      </c>
      <c r="M1389" s="1">
        <v>6</v>
      </c>
      <c r="N1389" s="1">
        <v>2</v>
      </c>
      <c r="O1389" s="1">
        <v>5</v>
      </c>
      <c r="P1389" s="1">
        <f>COUNTIF(HR_Data[Employee Number],HR_Data[[#This Row],[Employee Number]])</f>
        <v>1</v>
      </c>
      <c r="Q1389" s="1" t="str">
        <f>IF(HR_Data[[#This Row],[Years At Company]]&lt;=HR_Data[[#This Row],[Total Working Years]],"Valid","error")</f>
        <v>Valid</v>
      </c>
      <c r="R1389" s="1" t="str" cm="1">
        <f t="array" ref="R1389">_xlfn.IFS(HR_Data[[#This Row],[Age]]&lt;=30,"Young", HR_Data[[#This Row],[Age]]&lt;=45,"Mid-Age",HR_Data[[#This Row],[Age]]&gt;45,"Senior")</f>
        <v>Young</v>
      </c>
      <c r="S1389" s="1" t="str" cm="1">
        <f t="array" ref="S1389">_xlfn.IFS(HR_Data[[#This Row],[Monthly Income]]&lt;5000,"Low", HR_Data[[#This Row],[Monthly Income]]&lt;10000,"Medium",TRUE,"High")</f>
        <v>Medium</v>
      </c>
      <c r="T1389" s="1" t="str" cm="1">
        <f t="array" ref="T1389">_xlfn.IFS(HR_Data[[#This Row],[Total Working Years]]&lt;=5,"Junior", HR_Data[[#This Row],[Total Working Years]]&lt;=15,"Mid-Level", TRUE, "Senior")</f>
        <v>Mid-Level</v>
      </c>
    </row>
    <row r="1390" spans="1:20" x14ac:dyDescent="0.25">
      <c r="A1390" s="1">
        <v>1955</v>
      </c>
      <c r="B1390" s="1">
        <v>32</v>
      </c>
      <c r="C1390" t="s">
        <v>9</v>
      </c>
      <c r="D1390" t="s">
        <v>10</v>
      </c>
      <c r="E1390" t="s">
        <v>15</v>
      </c>
      <c r="F1390" t="s">
        <v>7</v>
      </c>
      <c r="G1390" t="s">
        <v>17</v>
      </c>
      <c r="H1390" s="1">
        <v>4</v>
      </c>
      <c r="I1390" s="1">
        <v>6667</v>
      </c>
      <c r="J1390" t="s">
        <v>9</v>
      </c>
      <c r="K1390" s="1">
        <v>18</v>
      </c>
      <c r="L1390" s="1">
        <v>3</v>
      </c>
      <c r="M1390" s="1">
        <v>9</v>
      </c>
      <c r="N1390" s="1">
        <v>3</v>
      </c>
      <c r="O1390" s="1">
        <v>5</v>
      </c>
      <c r="P1390" s="1">
        <f>COUNTIF(HR_Data[Employee Number],HR_Data[[#This Row],[Employee Number]])</f>
        <v>1</v>
      </c>
      <c r="Q1390" s="1" t="str">
        <f>IF(HR_Data[[#This Row],[Years At Company]]&lt;=HR_Data[[#This Row],[Total Working Years]],"Valid","error")</f>
        <v>Valid</v>
      </c>
      <c r="R1390" s="1" t="str" cm="1">
        <f t="array" ref="R1390">_xlfn.IFS(HR_Data[[#This Row],[Age]]&lt;=30,"Young", HR_Data[[#This Row],[Age]]&lt;=45,"Mid-Age",HR_Data[[#This Row],[Age]]&gt;45,"Senior")</f>
        <v>Mid-Age</v>
      </c>
      <c r="S1390" s="1" t="str" cm="1">
        <f t="array" ref="S1390">_xlfn.IFS(HR_Data[[#This Row],[Monthly Income]]&lt;5000,"Low", HR_Data[[#This Row],[Monthly Income]]&lt;10000,"Medium",TRUE,"High")</f>
        <v>Medium</v>
      </c>
      <c r="T1390" s="1" t="str" cm="1">
        <f t="array" ref="T1390">_xlfn.IFS(HR_Data[[#This Row],[Total Working Years]]&lt;=5,"Junior", HR_Data[[#This Row],[Total Working Years]]&lt;=15,"Mid-Level", TRUE, "Senior")</f>
        <v>Mid-Level</v>
      </c>
    </row>
    <row r="1391" spans="1:20" x14ac:dyDescent="0.25">
      <c r="A1391" s="1">
        <v>1956</v>
      </c>
      <c r="B1391" s="1">
        <v>31</v>
      </c>
      <c r="C1391" t="s">
        <v>9</v>
      </c>
      <c r="D1391" t="s">
        <v>10</v>
      </c>
      <c r="E1391" t="s">
        <v>6</v>
      </c>
      <c r="F1391" t="s">
        <v>11</v>
      </c>
      <c r="G1391" t="s">
        <v>12</v>
      </c>
      <c r="H1391" s="1">
        <v>1</v>
      </c>
      <c r="I1391" s="1">
        <v>5003</v>
      </c>
      <c r="J1391" t="s">
        <v>9</v>
      </c>
      <c r="K1391" s="1">
        <v>21</v>
      </c>
      <c r="L1391" s="1">
        <v>4</v>
      </c>
      <c r="M1391" s="1">
        <v>10</v>
      </c>
      <c r="N1391" s="1">
        <v>3</v>
      </c>
      <c r="O1391" s="1">
        <v>10</v>
      </c>
      <c r="P1391" s="1">
        <f>COUNTIF(HR_Data[Employee Number],HR_Data[[#This Row],[Employee Number]])</f>
        <v>1</v>
      </c>
      <c r="Q1391" s="1" t="str">
        <f>IF(HR_Data[[#This Row],[Years At Company]]&lt;=HR_Data[[#This Row],[Total Working Years]],"Valid","error")</f>
        <v>Valid</v>
      </c>
      <c r="R1391" s="1" t="str" cm="1">
        <f t="array" ref="R1391">_xlfn.IFS(HR_Data[[#This Row],[Age]]&lt;=30,"Young", HR_Data[[#This Row],[Age]]&lt;=45,"Mid-Age",HR_Data[[#This Row],[Age]]&gt;45,"Senior")</f>
        <v>Mid-Age</v>
      </c>
      <c r="S1391" s="1" t="str" cm="1">
        <f t="array" ref="S1391">_xlfn.IFS(HR_Data[[#This Row],[Monthly Income]]&lt;5000,"Low", HR_Data[[#This Row],[Monthly Income]]&lt;10000,"Medium",TRUE,"High")</f>
        <v>Medium</v>
      </c>
      <c r="T1391" s="1" t="str" cm="1">
        <f t="array" ref="T1391">_xlfn.IFS(HR_Data[[#This Row],[Total Working Years]]&lt;=5,"Junior", HR_Data[[#This Row],[Total Working Years]]&lt;=15,"Mid-Level", TRUE, "Senior")</f>
        <v>Mid-Level</v>
      </c>
    </row>
    <row r="1392" spans="1:20" x14ac:dyDescent="0.25">
      <c r="A1392" s="1">
        <v>1960</v>
      </c>
      <c r="B1392" s="1">
        <v>28</v>
      </c>
      <c r="C1392" t="s">
        <v>4</v>
      </c>
      <c r="D1392" t="s">
        <v>10</v>
      </c>
      <c r="E1392" t="s">
        <v>22</v>
      </c>
      <c r="F1392" t="s">
        <v>11</v>
      </c>
      <c r="G1392" t="s">
        <v>14</v>
      </c>
      <c r="H1392" s="1">
        <v>4</v>
      </c>
      <c r="I1392" s="1">
        <v>2367</v>
      </c>
      <c r="J1392" t="s">
        <v>9</v>
      </c>
      <c r="K1392" s="1">
        <v>12</v>
      </c>
      <c r="L1392" s="1">
        <v>3</v>
      </c>
      <c r="M1392" s="1">
        <v>6</v>
      </c>
      <c r="N1392" s="1">
        <v>2</v>
      </c>
      <c r="O1392" s="1">
        <v>4</v>
      </c>
      <c r="P1392" s="1">
        <f>COUNTIF(HR_Data[Employee Number],HR_Data[[#This Row],[Employee Number]])</f>
        <v>1</v>
      </c>
      <c r="Q1392" s="1" t="str">
        <f>IF(HR_Data[[#This Row],[Years At Company]]&lt;=HR_Data[[#This Row],[Total Working Years]],"Valid","error")</f>
        <v>Valid</v>
      </c>
      <c r="R1392" s="1" t="str" cm="1">
        <f t="array" ref="R1392">_xlfn.IFS(HR_Data[[#This Row],[Age]]&lt;=30,"Young", HR_Data[[#This Row],[Age]]&lt;=45,"Mid-Age",HR_Data[[#This Row],[Age]]&gt;45,"Senior")</f>
        <v>Young</v>
      </c>
      <c r="S1392" s="1" t="str" cm="1">
        <f t="array" ref="S1392">_xlfn.IFS(HR_Data[[#This Row],[Monthly Income]]&lt;5000,"Low", HR_Data[[#This Row],[Monthly Income]]&lt;10000,"Medium",TRUE,"High")</f>
        <v>Low</v>
      </c>
      <c r="T1392" s="1" t="str" cm="1">
        <f t="array" ref="T1392">_xlfn.IFS(HR_Data[[#This Row],[Total Working Years]]&lt;=5,"Junior", HR_Data[[#This Row],[Total Working Years]]&lt;=15,"Mid-Level", TRUE, "Senior")</f>
        <v>Mid-Level</v>
      </c>
    </row>
    <row r="1393" spans="1:20" x14ac:dyDescent="0.25">
      <c r="A1393" s="1">
        <v>1961</v>
      </c>
      <c r="B1393" s="1">
        <v>38</v>
      </c>
      <c r="C1393" t="s">
        <v>9</v>
      </c>
      <c r="D1393" t="s">
        <v>5</v>
      </c>
      <c r="E1393" t="s">
        <v>6</v>
      </c>
      <c r="F1393" t="s">
        <v>11</v>
      </c>
      <c r="G1393" t="s">
        <v>19</v>
      </c>
      <c r="H1393" s="1">
        <v>1</v>
      </c>
      <c r="I1393" s="1">
        <v>2858</v>
      </c>
      <c r="J1393" t="s">
        <v>9</v>
      </c>
      <c r="K1393" s="1">
        <v>14</v>
      </c>
      <c r="L1393" s="1">
        <v>3</v>
      </c>
      <c r="M1393" s="1">
        <v>20</v>
      </c>
      <c r="N1393" s="1">
        <v>2</v>
      </c>
      <c r="O1393" s="1">
        <v>1</v>
      </c>
      <c r="P1393" s="1">
        <f>COUNTIF(HR_Data[Employee Number],HR_Data[[#This Row],[Employee Number]])</f>
        <v>1</v>
      </c>
      <c r="Q1393" s="1" t="str">
        <f>IF(HR_Data[[#This Row],[Years At Company]]&lt;=HR_Data[[#This Row],[Total Working Years]],"Valid","error")</f>
        <v>Valid</v>
      </c>
      <c r="R1393" s="1" t="str" cm="1">
        <f t="array" ref="R1393">_xlfn.IFS(HR_Data[[#This Row],[Age]]&lt;=30,"Young", HR_Data[[#This Row],[Age]]&lt;=45,"Mid-Age",HR_Data[[#This Row],[Age]]&gt;45,"Senior")</f>
        <v>Mid-Age</v>
      </c>
      <c r="S1393" s="1" t="str" cm="1">
        <f t="array" ref="S1393">_xlfn.IFS(HR_Data[[#This Row],[Monthly Income]]&lt;5000,"Low", HR_Data[[#This Row],[Monthly Income]]&lt;10000,"Medium",TRUE,"High")</f>
        <v>Low</v>
      </c>
      <c r="T1393" s="1" t="str" cm="1">
        <f t="array" ref="T1393">_xlfn.IFS(HR_Data[[#This Row],[Total Working Years]]&lt;=5,"Junior", HR_Data[[#This Row],[Total Working Years]]&lt;=15,"Mid-Level", TRUE, "Senior")</f>
        <v>Senior</v>
      </c>
    </row>
    <row r="1394" spans="1:20" x14ac:dyDescent="0.25">
      <c r="A1394" s="1">
        <v>1962</v>
      </c>
      <c r="B1394" s="1">
        <v>35</v>
      </c>
      <c r="C1394" t="s">
        <v>9</v>
      </c>
      <c r="D1394" t="s">
        <v>5</v>
      </c>
      <c r="E1394" t="s">
        <v>6</v>
      </c>
      <c r="F1394" t="s">
        <v>7</v>
      </c>
      <c r="G1394" t="s">
        <v>8</v>
      </c>
      <c r="H1394" s="1">
        <v>4</v>
      </c>
      <c r="I1394" s="1">
        <v>5204</v>
      </c>
      <c r="J1394" t="s">
        <v>4</v>
      </c>
      <c r="K1394" s="1">
        <v>11</v>
      </c>
      <c r="L1394" s="1">
        <v>3</v>
      </c>
      <c r="M1394" s="1">
        <v>10</v>
      </c>
      <c r="N1394" s="1">
        <v>3</v>
      </c>
      <c r="O1394" s="1">
        <v>10</v>
      </c>
      <c r="P1394" s="1">
        <f>COUNTIF(HR_Data[Employee Number],HR_Data[[#This Row],[Employee Number]])</f>
        <v>1</v>
      </c>
      <c r="Q1394" s="1" t="str">
        <f>IF(HR_Data[[#This Row],[Years At Company]]&lt;=HR_Data[[#This Row],[Total Working Years]],"Valid","error")</f>
        <v>Valid</v>
      </c>
      <c r="R1394" s="1" t="str" cm="1">
        <f t="array" ref="R1394">_xlfn.IFS(HR_Data[[#This Row],[Age]]&lt;=30,"Young", HR_Data[[#This Row],[Age]]&lt;=45,"Mid-Age",HR_Data[[#This Row],[Age]]&gt;45,"Senior")</f>
        <v>Mid-Age</v>
      </c>
      <c r="S1394" s="1" t="str" cm="1">
        <f t="array" ref="S1394">_xlfn.IFS(HR_Data[[#This Row],[Monthly Income]]&lt;5000,"Low", HR_Data[[#This Row],[Monthly Income]]&lt;10000,"Medium",TRUE,"High")</f>
        <v>Medium</v>
      </c>
      <c r="T1394" s="1" t="str" cm="1">
        <f t="array" ref="T1394">_xlfn.IFS(HR_Data[[#This Row],[Total Working Years]]&lt;=5,"Junior", HR_Data[[#This Row],[Total Working Years]]&lt;=15,"Mid-Level", TRUE, "Senior")</f>
        <v>Mid-Level</v>
      </c>
    </row>
    <row r="1395" spans="1:20" x14ac:dyDescent="0.25">
      <c r="A1395" s="1">
        <v>1965</v>
      </c>
      <c r="B1395" s="1">
        <v>27</v>
      </c>
      <c r="C1395" t="s">
        <v>9</v>
      </c>
      <c r="D1395" t="s">
        <v>5</v>
      </c>
      <c r="E1395" t="s">
        <v>21</v>
      </c>
      <c r="F1395" t="s">
        <v>11</v>
      </c>
      <c r="G1395" t="s">
        <v>8</v>
      </c>
      <c r="H1395" s="1">
        <v>4</v>
      </c>
      <c r="I1395" s="1">
        <v>4105</v>
      </c>
      <c r="J1395" t="s">
        <v>9</v>
      </c>
      <c r="K1395" s="1">
        <v>14</v>
      </c>
      <c r="L1395" s="1">
        <v>3</v>
      </c>
      <c r="M1395" s="1">
        <v>7</v>
      </c>
      <c r="N1395" s="1">
        <v>3</v>
      </c>
      <c r="O1395" s="1">
        <v>7</v>
      </c>
      <c r="P1395" s="1">
        <f>COUNTIF(HR_Data[Employee Number],HR_Data[[#This Row],[Employee Number]])</f>
        <v>1</v>
      </c>
      <c r="Q1395" s="1" t="str">
        <f>IF(HR_Data[[#This Row],[Years At Company]]&lt;=HR_Data[[#This Row],[Total Working Years]],"Valid","error")</f>
        <v>Valid</v>
      </c>
      <c r="R1395" s="1" t="str" cm="1">
        <f t="array" ref="R1395">_xlfn.IFS(HR_Data[[#This Row],[Age]]&lt;=30,"Young", HR_Data[[#This Row],[Age]]&lt;=45,"Mid-Age",HR_Data[[#This Row],[Age]]&gt;45,"Senior")</f>
        <v>Young</v>
      </c>
      <c r="S1395" s="1" t="str" cm="1">
        <f t="array" ref="S1395">_xlfn.IFS(HR_Data[[#This Row],[Monthly Income]]&lt;5000,"Low", HR_Data[[#This Row],[Monthly Income]]&lt;10000,"Medium",TRUE,"High")</f>
        <v>Low</v>
      </c>
      <c r="T1395" s="1" t="str" cm="1">
        <f t="array" ref="T1395">_xlfn.IFS(HR_Data[[#This Row],[Total Working Years]]&lt;=5,"Junior", HR_Data[[#This Row],[Total Working Years]]&lt;=15,"Mid-Level", TRUE, "Senior")</f>
        <v>Mid-Level</v>
      </c>
    </row>
    <row r="1396" spans="1:20" x14ac:dyDescent="0.25">
      <c r="A1396" s="1">
        <v>1966</v>
      </c>
      <c r="B1396" s="1">
        <v>32</v>
      </c>
      <c r="C1396" t="s">
        <v>9</v>
      </c>
      <c r="D1396" t="s">
        <v>10</v>
      </c>
      <c r="E1396" t="s">
        <v>6</v>
      </c>
      <c r="F1396" t="s">
        <v>11</v>
      </c>
      <c r="G1396" t="s">
        <v>16</v>
      </c>
      <c r="H1396" s="1">
        <v>4</v>
      </c>
      <c r="I1396" s="1">
        <v>9679</v>
      </c>
      <c r="J1396" t="s">
        <v>9</v>
      </c>
      <c r="K1396" s="1">
        <v>24</v>
      </c>
      <c r="L1396" s="1">
        <v>4</v>
      </c>
      <c r="M1396" s="1">
        <v>8</v>
      </c>
      <c r="N1396" s="1">
        <v>3</v>
      </c>
      <c r="O1396" s="1">
        <v>1</v>
      </c>
      <c r="P1396" s="1">
        <f>COUNTIF(HR_Data[Employee Number],HR_Data[[#This Row],[Employee Number]])</f>
        <v>1</v>
      </c>
      <c r="Q1396" s="1" t="str">
        <f>IF(HR_Data[[#This Row],[Years At Company]]&lt;=HR_Data[[#This Row],[Total Working Years]],"Valid","error")</f>
        <v>Valid</v>
      </c>
      <c r="R1396" s="1" t="str" cm="1">
        <f t="array" ref="R1396">_xlfn.IFS(HR_Data[[#This Row],[Age]]&lt;=30,"Young", HR_Data[[#This Row],[Age]]&lt;=45,"Mid-Age",HR_Data[[#This Row],[Age]]&gt;45,"Senior")</f>
        <v>Mid-Age</v>
      </c>
      <c r="S1396" s="1" t="str" cm="1">
        <f t="array" ref="S1396">_xlfn.IFS(HR_Data[[#This Row],[Monthly Income]]&lt;5000,"Low", HR_Data[[#This Row],[Monthly Income]]&lt;10000,"Medium",TRUE,"High")</f>
        <v>Medium</v>
      </c>
      <c r="T1396" s="1" t="str" cm="1">
        <f t="array" ref="T1396">_xlfn.IFS(HR_Data[[#This Row],[Total Working Years]]&lt;=5,"Junior", HR_Data[[#This Row],[Total Working Years]]&lt;=15,"Mid-Level", TRUE, "Senior")</f>
        <v>Mid-Level</v>
      </c>
    </row>
    <row r="1397" spans="1:20" x14ac:dyDescent="0.25">
      <c r="A1397" s="1">
        <v>1967</v>
      </c>
      <c r="B1397" s="1">
        <v>31</v>
      </c>
      <c r="C1397" t="s">
        <v>4</v>
      </c>
      <c r="D1397" t="s">
        <v>5</v>
      </c>
      <c r="E1397" t="s">
        <v>21</v>
      </c>
      <c r="F1397" t="s">
        <v>11</v>
      </c>
      <c r="G1397" t="s">
        <v>8</v>
      </c>
      <c r="H1397" s="1">
        <v>4</v>
      </c>
      <c r="I1397" s="1">
        <v>5617</v>
      </c>
      <c r="J1397" t="s">
        <v>4</v>
      </c>
      <c r="K1397" s="1">
        <v>11</v>
      </c>
      <c r="L1397" s="1">
        <v>3</v>
      </c>
      <c r="M1397" s="1">
        <v>10</v>
      </c>
      <c r="N1397" s="1">
        <v>3</v>
      </c>
      <c r="O1397" s="1">
        <v>10</v>
      </c>
      <c r="P1397" s="1">
        <f>COUNTIF(HR_Data[Employee Number],HR_Data[[#This Row],[Employee Number]])</f>
        <v>1</v>
      </c>
      <c r="Q1397" s="1" t="str">
        <f>IF(HR_Data[[#This Row],[Years At Company]]&lt;=HR_Data[[#This Row],[Total Working Years]],"Valid","error")</f>
        <v>Valid</v>
      </c>
      <c r="R1397" s="1" t="str" cm="1">
        <f t="array" ref="R1397">_xlfn.IFS(HR_Data[[#This Row],[Age]]&lt;=30,"Young", HR_Data[[#This Row],[Age]]&lt;=45,"Mid-Age",HR_Data[[#This Row],[Age]]&gt;45,"Senior")</f>
        <v>Mid-Age</v>
      </c>
      <c r="S1397" s="1" t="str" cm="1">
        <f t="array" ref="S1397">_xlfn.IFS(HR_Data[[#This Row],[Monthly Income]]&lt;5000,"Low", HR_Data[[#This Row],[Monthly Income]]&lt;10000,"Medium",TRUE,"High")</f>
        <v>Medium</v>
      </c>
      <c r="T1397" s="1" t="str" cm="1">
        <f t="array" ref="T1397">_xlfn.IFS(HR_Data[[#This Row],[Total Working Years]]&lt;=5,"Junior", HR_Data[[#This Row],[Total Working Years]]&lt;=15,"Mid-Level", TRUE, "Senior")</f>
        <v>Mid-Level</v>
      </c>
    </row>
    <row r="1398" spans="1:20" x14ac:dyDescent="0.25">
      <c r="A1398" s="1">
        <v>1968</v>
      </c>
      <c r="B1398" s="1">
        <v>53</v>
      </c>
      <c r="C1398" t="s">
        <v>4</v>
      </c>
      <c r="D1398" t="s">
        <v>5</v>
      </c>
      <c r="E1398" t="s">
        <v>6</v>
      </c>
      <c r="F1398" t="s">
        <v>11</v>
      </c>
      <c r="G1398" t="s">
        <v>8</v>
      </c>
      <c r="H1398" s="1">
        <v>1</v>
      </c>
      <c r="I1398" s="1">
        <v>10448</v>
      </c>
      <c r="J1398" t="s">
        <v>4</v>
      </c>
      <c r="K1398" s="1">
        <v>13</v>
      </c>
      <c r="L1398" s="1">
        <v>3</v>
      </c>
      <c r="M1398" s="1">
        <v>15</v>
      </c>
      <c r="N1398" s="1">
        <v>2</v>
      </c>
      <c r="O1398" s="1">
        <v>2</v>
      </c>
      <c r="P1398" s="1">
        <f>COUNTIF(HR_Data[Employee Number],HR_Data[[#This Row],[Employee Number]])</f>
        <v>1</v>
      </c>
      <c r="Q1398" s="1" t="str">
        <f>IF(HR_Data[[#This Row],[Years At Company]]&lt;=HR_Data[[#This Row],[Total Working Years]],"Valid","error")</f>
        <v>Valid</v>
      </c>
      <c r="R1398" s="1" t="str" cm="1">
        <f t="array" ref="R1398">_xlfn.IFS(HR_Data[[#This Row],[Age]]&lt;=30,"Young", HR_Data[[#This Row],[Age]]&lt;=45,"Mid-Age",HR_Data[[#This Row],[Age]]&gt;45,"Senior")</f>
        <v>Senior</v>
      </c>
      <c r="S1398" s="1" t="str" cm="1">
        <f t="array" ref="S1398">_xlfn.IFS(HR_Data[[#This Row],[Monthly Income]]&lt;5000,"Low", HR_Data[[#This Row],[Monthly Income]]&lt;10000,"Medium",TRUE,"High")</f>
        <v>High</v>
      </c>
      <c r="T1398" s="1" t="str" cm="1">
        <f t="array" ref="T1398">_xlfn.IFS(HR_Data[[#This Row],[Total Working Years]]&lt;=5,"Junior", HR_Data[[#This Row],[Total Working Years]]&lt;=15,"Mid-Level", TRUE, "Senior")</f>
        <v>Mid-Level</v>
      </c>
    </row>
    <row r="1399" spans="1:20" x14ac:dyDescent="0.25">
      <c r="A1399" s="1">
        <v>1969</v>
      </c>
      <c r="B1399" s="1">
        <v>54</v>
      </c>
      <c r="C1399" t="s">
        <v>9</v>
      </c>
      <c r="D1399" t="s">
        <v>10</v>
      </c>
      <c r="E1399" t="s">
        <v>6</v>
      </c>
      <c r="F1399" t="s">
        <v>7</v>
      </c>
      <c r="G1399" t="s">
        <v>12</v>
      </c>
      <c r="H1399" s="1">
        <v>3</v>
      </c>
      <c r="I1399" s="1">
        <v>2897</v>
      </c>
      <c r="J1399" t="s">
        <v>9</v>
      </c>
      <c r="K1399" s="1">
        <v>11</v>
      </c>
      <c r="L1399" s="1">
        <v>3</v>
      </c>
      <c r="M1399" s="1">
        <v>9</v>
      </c>
      <c r="N1399" s="1">
        <v>2</v>
      </c>
      <c r="O1399" s="1">
        <v>4</v>
      </c>
      <c r="P1399" s="1">
        <f>COUNTIF(HR_Data[Employee Number],HR_Data[[#This Row],[Employee Number]])</f>
        <v>1</v>
      </c>
      <c r="Q1399" s="1" t="str">
        <f>IF(HR_Data[[#This Row],[Years At Company]]&lt;=HR_Data[[#This Row],[Total Working Years]],"Valid","error")</f>
        <v>Valid</v>
      </c>
      <c r="R1399" s="1" t="str" cm="1">
        <f t="array" ref="R1399">_xlfn.IFS(HR_Data[[#This Row],[Age]]&lt;=30,"Young", HR_Data[[#This Row],[Age]]&lt;=45,"Mid-Age",HR_Data[[#This Row],[Age]]&gt;45,"Senior")</f>
        <v>Senior</v>
      </c>
      <c r="S1399" s="1" t="str" cm="1">
        <f t="array" ref="S1399">_xlfn.IFS(HR_Data[[#This Row],[Monthly Income]]&lt;5000,"Low", HR_Data[[#This Row],[Monthly Income]]&lt;10000,"Medium",TRUE,"High")</f>
        <v>Low</v>
      </c>
      <c r="T1399" s="1" t="str" cm="1">
        <f t="array" ref="T1399">_xlfn.IFS(HR_Data[[#This Row],[Total Working Years]]&lt;=5,"Junior", HR_Data[[#This Row],[Total Working Years]]&lt;=15,"Mid-Level", TRUE, "Senior")</f>
        <v>Mid-Level</v>
      </c>
    </row>
    <row r="1400" spans="1:20" x14ac:dyDescent="0.25">
      <c r="A1400" s="1">
        <v>1970</v>
      </c>
      <c r="B1400" s="1">
        <v>33</v>
      </c>
      <c r="C1400" t="s">
        <v>9</v>
      </c>
      <c r="D1400" t="s">
        <v>10</v>
      </c>
      <c r="E1400" t="s">
        <v>6</v>
      </c>
      <c r="F1400" t="s">
        <v>11</v>
      </c>
      <c r="G1400" t="s">
        <v>17</v>
      </c>
      <c r="H1400" s="1">
        <v>3</v>
      </c>
      <c r="I1400" s="1">
        <v>5968</v>
      </c>
      <c r="J1400" t="s">
        <v>9</v>
      </c>
      <c r="K1400" s="1">
        <v>20</v>
      </c>
      <c r="L1400" s="1">
        <v>4</v>
      </c>
      <c r="M1400" s="1">
        <v>9</v>
      </c>
      <c r="N1400" s="1">
        <v>3</v>
      </c>
      <c r="O1400" s="1">
        <v>9</v>
      </c>
      <c r="P1400" s="1">
        <f>COUNTIF(HR_Data[Employee Number],HR_Data[[#This Row],[Employee Number]])</f>
        <v>1</v>
      </c>
      <c r="Q1400" s="1" t="str">
        <f>IF(HR_Data[[#This Row],[Years At Company]]&lt;=HR_Data[[#This Row],[Total Working Years]],"Valid","error")</f>
        <v>Valid</v>
      </c>
      <c r="R1400" s="1" t="str" cm="1">
        <f t="array" ref="R1400">_xlfn.IFS(HR_Data[[#This Row],[Age]]&lt;=30,"Young", HR_Data[[#This Row],[Age]]&lt;=45,"Mid-Age",HR_Data[[#This Row],[Age]]&gt;45,"Senior")</f>
        <v>Mid-Age</v>
      </c>
      <c r="S1400" s="1" t="str" cm="1">
        <f t="array" ref="S1400">_xlfn.IFS(HR_Data[[#This Row],[Monthly Income]]&lt;5000,"Low", HR_Data[[#This Row],[Monthly Income]]&lt;10000,"Medium",TRUE,"High")</f>
        <v>Medium</v>
      </c>
      <c r="T1400" s="1" t="str" cm="1">
        <f t="array" ref="T1400">_xlfn.IFS(HR_Data[[#This Row],[Total Working Years]]&lt;=5,"Junior", HR_Data[[#This Row],[Total Working Years]]&lt;=15,"Mid-Level", TRUE, "Senior")</f>
        <v>Mid-Level</v>
      </c>
    </row>
    <row r="1401" spans="1:20" x14ac:dyDescent="0.25">
      <c r="A1401" s="1">
        <v>1971</v>
      </c>
      <c r="B1401" s="1">
        <v>43</v>
      </c>
      <c r="C1401" t="s">
        <v>9</v>
      </c>
      <c r="D1401" t="s">
        <v>10</v>
      </c>
      <c r="E1401" t="s">
        <v>6</v>
      </c>
      <c r="F1401" t="s">
        <v>11</v>
      </c>
      <c r="G1401" t="s">
        <v>17</v>
      </c>
      <c r="H1401" s="1">
        <v>3</v>
      </c>
      <c r="I1401" s="1">
        <v>7510</v>
      </c>
      <c r="J1401" t="s">
        <v>9</v>
      </c>
      <c r="K1401" s="1">
        <v>17</v>
      </c>
      <c r="L1401" s="1">
        <v>3</v>
      </c>
      <c r="M1401" s="1">
        <v>10</v>
      </c>
      <c r="N1401" s="1">
        <v>3</v>
      </c>
      <c r="O1401" s="1">
        <v>10</v>
      </c>
      <c r="P1401" s="1">
        <f>COUNTIF(HR_Data[Employee Number],HR_Data[[#This Row],[Employee Number]])</f>
        <v>1</v>
      </c>
      <c r="Q1401" s="1" t="str">
        <f>IF(HR_Data[[#This Row],[Years At Company]]&lt;=HR_Data[[#This Row],[Total Working Years]],"Valid","error")</f>
        <v>Valid</v>
      </c>
      <c r="R1401" s="1" t="str" cm="1">
        <f t="array" ref="R1401">_xlfn.IFS(HR_Data[[#This Row],[Age]]&lt;=30,"Young", HR_Data[[#This Row],[Age]]&lt;=45,"Mid-Age",HR_Data[[#This Row],[Age]]&gt;45,"Senior")</f>
        <v>Mid-Age</v>
      </c>
      <c r="S1401" s="1" t="str" cm="1">
        <f t="array" ref="S1401">_xlfn.IFS(HR_Data[[#This Row],[Monthly Income]]&lt;5000,"Low", HR_Data[[#This Row],[Monthly Income]]&lt;10000,"Medium",TRUE,"High")</f>
        <v>Medium</v>
      </c>
      <c r="T1401" s="1" t="str" cm="1">
        <f t="array" ref="T1401">_xlfn.IFS(HR_Data[[#This Row],[Total Working Years]]&lt;=5,"Junior", HR_Data[[#This Row],[Total Working Years]]&lt;=15,"Mid-Level", TRUE, "Senior")</f>
        <v>Mid-Level</v>
      </c>
    </row>
    <row r="1402" spans="1:20" x14ac:dyDescent="0.25">
      <c r="A1402" s="1">
        <v>1972</v>
      </c>
      <c r="B1402" s="1">
        <v>38</v>
      </c>
      <c r="C1402" t="s">
        <v>9</v>
      </c>
      <c r="D1402" t="s">
        <v>23</v>
      </c>
      <c r="E1402" t="s">
        <v>13</v>
      </c>
      <c r="F1402" t="s">
        <v>11</v>
      </c>
      <c r="G1402" t="s">
        <v>23</v>
      </c>
      <c r="H1402" s="1">
        <v>2</v>
      </c>
      <c r="I1402" s="1">
        <v>2991</v>
      </c>
      <c r="J1402" t="s">
        <v>4</v>
      </c>
      <c r="K1402" s="1">
        <v>11</v>
      </c>
      <c r="L1402" s="1">
        <v>3</v>
      </c>
      <c r="M1402" s="1">
        <v>7</v>
      </c>
      <c r="N1402" s="1">
        <v>3</v>
      </c>
      <c r="O1402" s="1">
        <v>6</v>
      </c>
      <c r="P1402" s="1">
        <f>COUNTIF(HR_Data[Employee Number],HR_Data[[#This Row],[Employee Number]])</f>
        <v>1</v>
      </c>
      <c r="Q1402" s="1" t="str">
        <f>IF(HR_Data[[#This Row],[Years At Company]]&lt;=HR_Data[[#This Row],[Total Working Years]],"Valid","error")</f>
        <v>Valid</v>
      </c>
      <c r="R1402" s="1" t="str" cm="1">
        <f t="array" ref="R1402">_xlfn.IFS(HR_Data[[#This Row],[Age]]&lt;=30,"Young", HR_Data[[#This Row],[Age]]&lt;=45,"Mid-Age",HR_Data[[#This Row],[Age]]&gt;45,"Senior")</f>
        <v>Mid-Age</v>
      </c>
      <c r="S1402" s="1" t="str" cm="1">
        <f t="array" ref="S1402">_xlfn.IFS(HR_Data[[#This Row],[Monthly Income]]&lt;5000,"Low", HR_Data[[#This Row],[Monthly Income]]&lt;10000,"Medium",TRUE,"High")</f>
        <v>Low</v>
      </c>
      <c r="T1402" s="1" t="str" cm="1">
        <f t="array" ref="T1402">_xlfn.IFS(HR_Data[[#This Row],[Total Working Years]]&lt;=5,"Junior", HR_Data[[#This Row],[Total Working Years]]&lt;=15,"Mid-Level", TRUE, "Senior")</f>
        <v>Mid-Level</v>
      </c>
    </row>
    <row r="1403" spans="1:20" x14ac:dyDescent="0.25">
      <c r="A1403" s="1">
        <v>1973</v>
      </c>
      <c r="B1403" s="1">
        <v>55</v>
      </c>
      <c r="C1403" t="s">
        <v>9</v>
      </c>
      <c r="D1403" t="s">
        <v>23</v>
      </c>
      <c r="E1403" t="s">
        <v>23</v>
      </c>
      <c r="F1403" t="s">
        <v>11</v>
      </c>
      <c r="G1403" t="s">
        <v>18</v>
      </c>
      <c r="H1403" s="1">
        <v>2</v>
      </c>
      <c r="I1403" s="1">
        <v>19636</v>
      </c>
      <c r="J1403" t="s">
        <v>4</v>
      </c>
      <c r="K1403" s="1">
        <v>18</v>
      </c>
      <c r="L1403" s="1">
        <v>3</v>
      </c>
      <c r="M1403" s="1">
        <v>35</v>
      </c>
      <c r="N1403" s="1">
        <v>3</v>
      </c>
      <c r="O1403" s="1">
        <v>10</v>
      </c>
      <c r="P1403" s="1">
        <f>COUNTIF(HR_Data[Employee Number],HR_Data[[#This Row],[Employee Number]])</f>
        <v>1</v>
      </c>
      <c r="Q1403" s="1" t="str">
        <f>IF(HR_Data[[#This Row],[Years At Company]]&lt;=HR_Data[[#This Row],[Total Working Years]],"Valid","error")</f>
        <v>Valid</v>
      </c>
      <c r="R1403" s="1" t="str" cm="1">
        <f t="array" ref="R1403">_xlfn.IFS(HR_Data[[#This Row],[Age]]&lt;=30,"Young", HR_Data[[#This Row],[Age]]&lt;=45,"Mid-Age",HR_Data[[#This Row],[Age]]&gt;45,"Senior")</f>
        <v>Senior</v>
      </c>
      <c r="S1403" s="1" t="str" cm="1">
        <f t="array" ref="S1403">_xlfn.IFS(HR_Data[[#This Row],[Monthly Income]]&lt;5000,"Low", HR_Data[[#This Row],[Monthly Income]]&lt;10000,"Medium",TRUE,"High")</f>
        <v>High</v>
      </c>
      <c r="T1403" s="1" t="str" cm="1">
        <f t="array" ref="T1403">_xlfn.IFS(HR_Data[[#This Row],[Total Working Years]]&lt;=5,"Junior", HR_Data[[#This Row],[Total Working Years]]&lt;=15,"Mid-Level", TRUE, "Senior")</f>
        <v>Senior</v>
      </c>
    </row>
    <row r="1404" spans="1:20" x14ac:dyDescent="0.25">
      <c r="A1404" s="1">
        <v>1974</v>
      </c>
      <c r="B1404" s="1">
        <v>31</v>
      </c>
      <c r="C1404" t="s">
        <v>9</v>
      </c>
      <c r="D1404" t="s">
        <v>10</v>
      </c>
      <c r="E1404" t="s">
        <v>15</v>
      </c>
      <c r="F1404" t="s">
        <v>7</v>
      </c>
      <c r="G1404" t="s">
        <v>14</v>
      </c>
      <c r="H1404" s="1">
        <v>4</v>
      </c>
      <c r="I1404" s="1">
        <v>1129</v>
      </c>
      <c r="J1404" t="s">
        <v>4</v>
      </c>
      <c r="K1404" s="1">
        <v>11</v>
      </c>
      <c r="L1404" s="1">
        <v>3</v>
      </c>
      <c r="M1404" s="1">
        <v>1</v>
      </c>
      <c r="N1404" s="1">
        <v>3</v>
      </c>
      <c r="O1404" s="1">
        <v>1</v>
      </c>
      <c r="P1404" s="1">
        <f>COUNTIF(HR_Data[Employee Number],HR_Data[[#This Row],[Employee Number]])</f>
        <v>1</v>
      </c>
      <c r="Q1404" s="1" t="str">
        <f>IF(HR_Data[[#This Row],[Years At Company]]&lt;=HR_Data[[#This Row],[Total Working Years]],"Valid","error")</f>
        <v>Valid</v>
      </c>
      <c r="R1404" s="1" t="str" cm="1">
        <f t="array" ref="R1404">_xlfn.IFS(HR_Data[[#This Row],[Age]]&lt;=30,"Young", HR_Data[[#This Row],[Age]]&lt;=45,"Mid-Age",HR_Data[[#This Row],[Age]]&gt;45,"Senior")</f>
        <v>Mid-Age</v>
      </c>
      <c r="S1404" s="1" t="str" cm="1">
        <f t="array" ref="S1404">_xlfn.IFS(HR_Data[[#This Row],[Monthly Income]]&lt;5000,"Low", HR_Data[[#This Row],[Monthly Income]]&lt;10000,"Medium",TRUE,"High")</f>
        <v>Low</v>
      </c>
      <c r="T1404" s="1" t="str" cm="1">
        <f t="array" ref="T1404">_xlfn.IFS(HR_Data[[#This Row],[Total Working Years]]&lt;=5,"Junior", HR_Data[[#This Row],[Total Working Years]]&lt;=15,"Mid-Level", TRUE, "Senior")</f>
        <v>Junior</v>
      </c>
    </row>
    <row r="1405" spans="1:20" x14ac:dyDescent="0.25">
      <c r="A1405" s="1">
        <v>1975</v>
      </c>
      <c r="B1405" s="1">
        <v>39</v>
      </c>
      <c r="C1405" t="s">
        <v>9</v>
      </c>
      <c r="D1405" t="s">
        <v>5</v>
      </c>
      <c r="E1405" t="s">
        <v>21</v>
      </c>
      <c r="F1405" t="s">
        <v>11</v>
      </c>
      <c r="G1405" t="s">
        <v>8</v>
      </c>
      <c r="H1405" s="1">
        <v>1</v>
      </c>
      <c r="I1405" s="1">
        <v>13341</v>
      </c>
      <c r="J1405" t="s">
        <v>9</v>
      </c>
      <c r="K1405" s="1">
        <v>12</v>
      </c>
      <c r="L1405" s="1">
        <v>3</v>
      </c>
      <c r="M1405" s="1">
        <v>21</v>
      </c>
      <c r="N1405" s="1">
        <v>3</v>
      </c>
      <c r="O1405" s="1">
        <v>20</v>
      </c>
      <c r="P1405" s="1">
        <f>COUNTIF(HR_Data[Employee Number],HR_Data[[#This Row],[Employee Number]])</f>
        <v>1</v>
      </c>
      <c r="Q1405" s="1" t="str">
        <f>IF(HR_Data[[#This Row],[Years At Company]]&lt;=HR_Data[[#This Row],[Total Working Years]],"Valid","error")</f>
        <v>Valid</v>
      </c>
      <c r="R1405" s="1" t="str" cm="1">
        <f t="array" ref="R1405">_xlfn.IFS(HR_Data[[#This Row],[Age]]&lt;=30,"Young", HR_Data[[#This Row],[Age]]&lt;=45,"Mid-Age",HR_Data[[#This Row],[Age]]&gt;45,"Senior")</f>
        <v>Mid-Age</v>
      </c>
      <c r="S1405" s="1" t="str" cm="1">
        <f t="array" ref="S1405">_xlfn.IFS(HR_Data[[#This Row],[Monthly Income]]&lt;5000,"Low", HR_Data[[#This Row],[Monthly Income]]&lt;10000,"Medium",TRUE,"High")</f>
        <v>High</v>
      </c>
      <c r="T1405" s="1" t="str" cm="1">
        <f t="array" ref="T1405">_xlfn.IFS(HR_Data[[#This Row],[Total Working Years]]&lt;=5,"Junior", HR_Data[[#This Row],[Total Working Years]]&lt;=15,"Mid-Level", TRUE, "Senior")</f>
        <v>Senior</v>
      </c>
    </row>
    <row r="1406" spans="1:20" x14ac:dyDescent="0.25">
      <c r="A1406" s="1">
        <v>1976</v>
      </c>
      <c r="B1406" s="1">
        <v>42</v>
      </c>
      <c r="C1406" t="s">
        <v>9</v>
      </c>
      <c r="D1406" t="s">
        <v>10</v>
      </c>
      <c r="E1406" t="s">
        <v>6</v>
      </c>
      <c r="F1406" t="s">
        <v>11</v>
      </c>
      <c r="G1406" t="s">
        <v>12</v>
      </c>
      <c r="H1406" s="1">
        <v>3</v>
      </c>
      <c r="I1406" s="1">
        <v>4332</v>
      </c>
      <c r="J1406" t="s">
        <v>9</v>
      </c>
      <c r="K1406" s="1">
        <v>12</v>
      </c>
      <c r="L1406" s="1">
        <v>3</v>
      </c>
      <c r="M1406" s="1">
        <v>20</v>
      </c>
      <c r="N1406" s="1">
        <v>3</v>
      </c>
      <c r="O1406" s="1">
        <v>20</v>
      </c>
      <c r="P1406" s="1">
        <f>COUNTIF(HR_Data[Employee Number],HR_Data[[#This Row],[Employee Number]])</f>
        <v>1</v>
      </c>
      <c r="Q1406" s="1" t="str">
        <f>IF(HR_Data[[#This Row],[Years At Company]]&lt;=HR_Data[[#This Row],[Total Working Years]],"Valid","error")</f>
        <v>Valid</v>
      </c>
      <c r="R1406" s="1" t="str" cm="1">
        <f t="array" ref="R1406">_xlfn.IFS(HR_Data[[#This Row],[Age]]&lt;=30,"Young", HR_Data[[#This Row],[Age]]&lt;=45,"Mid-Age",HR_Data[[#This Row],[Age]]&gt;45,"Senior")</f>
        <v>Mid-Age</v>
      </c>
      <c r="S1406" s="1" t="str" cm="1">
        <f t="array" ref="S1406">_xlfn.IFS(HR_Data[[#This Row],[Monthly Income]]&lt;5000,"Low", HR_Data[[#This Row],[Monthly Income]]&lt;10000,"Medium",TRUE,"High")</f>
        <v>Low</v>
      </c>
      <c r="T1406" s="1" t="str" cm="1">
        <f t="array" ref="T1406">_xlfn.IFS(HR_Data[[#This Row],[Total Working Years]]&lt;=5,"Junior", HR_Data[[#This Row],[Total Working Years]]&lt;=15,"Mid-Level", TRUE, "Senior")</f>
        <v>Senior</v>
      </c>
    </row>
    <row r="1407" spans="1:20" x14ac:dyDescent="0.25">
      <c r="A1407" s="1">
        <v>1979</v>
      </c>
      <c r="B1407" s="1">
        <v>31</v>
      </c>
      <c r="C1407" t="s">
        <v>9</v>
      </c>
      <c r="D1407" t="s">
        <v>10</v>
      </c>
      <c r="E1407" t="s">
        <v>15</v>
      </c>
      <c r="F1407" t="s">
        <v>7</v>
      </c>
      <c r="G1407" t="s">
        <v>20</v>
      </c>
      <c r="H1407" s="1">
        <v>3</v>
      </c>
      <c r="I1407" s="1">
        <v>11031</v>
      </c>
      <c r="J1407" t="s">
        <v>9</v>
      </c>
      <c r="K1407" s="1">
        <v>20</v>
      </c>
      <c r="L1407" s="1">
        <v>4</v>
      </c>
      <c r="M1407" s="1">
        <v>13</v>
      </c>
      <c r="N1407" s="1">
        <v>4</v>
      </c>
      <c r="O1407" s="1">
        <v>11</v>
      </c>
      <c r="P1407" s="1">
        <f>COUNTIF(HR_Data[Employee Number],HR_Data[[#This Row],[Employee Number]])</f>
        <v>1</v>
      </c>
      <c r="Q1407" s="1" t="str">
        <f>IF(HR_Data[[#This Row],[Years At Company]]&lt;=HR_Data[[#This Row],[Total Working Years]],"Valid","error")</f>
        <v>Valid</v>
      </c>
      <c r="R1407" s="1" t="str" cm="1">
        <f t="array" ref="R1407">_xlfn.IFS(HR_Data[[#This Row],[Age]]&lt;=30,"Young", HR_Data[[#This Row],[Age]]&lt;=45,"Mid-Age",HR_Data[[#This Row],[Age]]&gt;45,"Senior")</f>
        <v>Mid-Age</v>
      </c>
      <c r="S1407" s="1" t="str" cm="1">
        <f t="array" ref="S1407">_xlfn.IFS(HR_Data[[#This Row],[Monthly Income]]&lt;5000,"Low", HR_Data[[#This Row],[Monthly Income]]&lt;10000,"Medium",TRUE,"High")</f>
        <v>High</v>
      </c>
      <c r="T1407" s="1" t="str" cm="1">
        <f t="array" ref="T1407">_xlfn.IFS(HR_Data[[#This Row],[Total Working Years]]&lt;=5,"Junior", HR_Data[[#This Row],[Total Working Years]]&lt;=15,"Mid-Level", TRUE, "Senior")</f>
        <v>Mid-Level</v>
      </c>
    </row>
    <row r="1408" spans="1:20" x14ac:dyDescent="0.25">
      <c r="A1408" s="1">
        <v>1980</v>
      </c>
      <c r="B1408" s="1">
        <v>54</v>
      </c>
      <c r="C1408" t="s">
        <v>9</v>
      </c>
      <c r="D1408" t="s">
        <v>10</v>
      </c>
      <c r="E1408" t="s">
        <v>15</v>
      </c>
      <c r="F1408" t="s">
        <v>7</v>
      </c>
      <c r="G1408" t="s">
        <v>16</v>
      </c>
      <c r="H1408" s="1">
        <v>1</v>
      </c>
      <c r="I1408" s="1">
        <v>4440</v>
      </c>
      <c r="J1408" t="s">
        <v>4</v>
      </c>
      <c r="K1408" s="1">
        <v>19</v>
      </c>
      <c r="L1408" s="1">
        <v>3</v>
      </c>
      <c r="M1408" s="1">
        <v>9</v>
      </c>
      <c r="N1408" s="1">
        <v>3</v>
      </c>
      <c r="O1408" s="1">
        <v>5</v>
      </c>
      <c r="P1408" s="1">
        <f>COUNTIF(HR_Data[Employee Number],HR_Data[[#This Row],[Employee Number]])</f>
        <v>1</v>
      </c>
      <c r="Q1408" s="1" t="str">
        <f>IF(HR_Data[[#This Row],[Years At Company]]&lt;=HR_Data[[#This Row],[Total Working Years]],"Valid","error")</f>
        <v>Valid</v>
      </c>
      <c r="R1408" s="1" t="str" cm="1">
        <f t="array" ref="R1408">_xlfn.IFS(HR_Data[[#This Row],[Age]]&lt;=30,"Young", HR_Data[[#This Row],[Age]]&lt;=45,"Mid-Age",HR_Data[[#This Row],[Age]]&gt;45,"Senior")</f>
        <v>Senior</v>
      </c>
      <c r="S1408" s="1" t="str" cm="1">
        <f t="array" ref="S1408">_xlfn.IFS(HR_Data[[#This Row],[Monthly Income]]&lt;5000,"Low", HR_Data[[#This Row],[Monthly Income]]&lt;10000,"Medium",TRUE,"High")</f>
        <v>Low</v>
      </c>
      <c r="T1408" s="1" t="str" cm="1">
        <f t="array" ref="T1408">_xlfn.IFS(HR_Data[[#This Row],[Total Working Years]]&lt;=5,"Junior", HR_Data[[#This Row],[Total Working Years]]&lt;=15,"Mid-Level", TRUE, "Senior")</f>
        <v>Mid-Level</v>
      </c>
    </row>
    <row r="1409" spans="1:20" x14ac:dyDescent="0.25">
      <c r="A1409" s="1">
        <v>1981</v>
      </c>
      <c r="B1409" s="1">
        <v>24</v>
      </c>
      <c r="C1409" t="s">
        <v>9</v>
      </c>
      <c r="D1409" t="s">
        <v>10</v>
      </c>
      <c r="E1409" t="s">
        <v>6</v>
      </c>
      <c r="F1409" t="s">
        <v>11</v>
      </c>
      <c r="G1409" t="s">
        <v>17</v>
      </c>
      <c r="H1409" s="1">
        <v>3</v>
      </c>
      <c r="I1409" s="1">
        <v>4617</v>
      </c>
      <c r="J1409" t="s">
        <v>9</v>
      </c>
      <c r="K1409" s="1">
        <v>12</v>
      </c>
      <c r="L1409" s="1">
        <v>3</v>
      </c>
      <c r="M1409" s="1">
        <v>4</v>
      </c>
      <c r="N1409" s="1">
        <v>2</v>
      </c>
      <c r="O1409" s="1">
        <v>4</v>
      </c>
      <c r="P1409" s="1">
        <f>COUNTIF(HR_Data[Employee Number],HR_Data[[#This Row],[Employee Number]])</f>
        <v>1</v>
      </c>
      <c r="Q1409" s="1" t="str">
        <f>IF(HR_Data[[#This Row],[Years At Company]]&lt;=HR_Data[[#This Row],[Total Working Years]],"Valid","error")</f>
        <v>Valid</v>
      </c>
      <c r="R1409" s="1" t="str" cm="1">
        <f t="array" ref="R1409">_xlfn.IFS(HR_Data[[#This Row],[Age]]&lt;=30,"Young", HR_Data[[#This Row],[Age]]&lt;=45,"Mid-Age",HR_Data[[#This Row],[Age]]&gt;45,"Senior")</f>
        <v>Young</v>
      </c>
      <c r="S1409" s="1" t="str" cm="1">
        <f t="array" ref="S1409">_xlfn.IFS(HR_Data[[#This Row],[Monthly Income]]&lt;5000,"Low", HR_Data[[#This Row],[Monthly Income]]&lt;10000,"Medium",TRUE,"High")</f>
        <v>Low</v>
      </c>
      <c r="T1409" s="1" t="str" cm="1">
        <f t="array" ref="T1409">_xlfn.IFS(HR_Data[[#This Row],[Total Working Years]]&lt;=5,"Junior", HR_Data[[#This Row],[Total Working Years]]&lt;=15,"Mid-Level", TRUE, "Senior")</f>
        <v>Junior</v>
      </c>
    </row>
    <row r="1410" spans="1:20" x14ac:dyDescent="0.25">
      <c r="A1410" s="1">
        <v>1982</v>
      </c>
      <c r="B1410" s="1">
        <v>23</v>
      </c>
      <c r="C1410" t="s">
        <v>9</v>
      </c>
      <c r="D1410" t="s">
        <v>10</v>
      </c>
      <c r="E1410" t="s">
        <v>13</v>
      </c>
      <c r="F1410" t="s">
        <v>11</v>
      </c>
      <c r="G1410" t="s">
        <v>14</v>
      </c>
      <c r="H1410" s="1">
        <v>4</v>
      </c>
      <c r="I1410" s="1">
        <v>2647</v>
      </c>
      <c r="J1410" t="s">
        <v>9</v>
      </c>
      <c r="K1410" s="1">
        <v>13</v>
      </c>
      <c r="L1410" s="1">
        <v>3</v>
      </c>
      <c r="M1410" s="1">
        <v>5</v>
      </c>
      <c r="N1410" s="1">
        <v>4</v>
      </c>
      <c r="O1410" s="1">
        <v>5</v>
      </c>
      <c r="P1410" s="1">
        <f>COUNTIF(HR_Data[Employee Number],HR_Data[[#This Row],[Employee Number]])</f>
        <v>1</v>
      </c>
      <c r="Q1410" s="1" t="str">
        <f>IF(HR_Data[[#This Row],[Years At Company]]&lt;=HR_Data[[#This Row],[Total Working Years]],"Valid","error")</f>
        <v>Valid</v>
      </c>
      <c r="R1410" s="1" t="str" cm="1">
        <f t="array" ref="R1410">_xlfn.IFS(HR_Data[[#This Row],[Age]]&lt;=30,"Young", HR_Data[[#This Row],[Age]]&lt;=45,"Mid-Age",HR_Data[[#This Row],[Age]]&gt;45,"Senior")</f>
        <v>Young</v>
      </c>
      <c r="S1410" s="1" t="str" cm="1">
        <f t="array" ref="S1410">_xlfn.IFS(HR_Data[[#This Row],[Monthly Income]]&lt;5000,"Low", HR_Data[[#This Row],[Monthly Income]]&lt;10000,"Medium",TRUE,"High")</f>
        <v>Low</v>
      </c>
      <c r="T1410" s="1" t="str" cm="1">
        <f t="array" ref="T1410">_xlfn.IFS(HR_Data[[#This Row],[Total Working Years]]&lt;=5,"Junior", HR_Data[[#This Row],[Total Working Years]]&lt;=15,"Mid-Level", TRUE, "Senior")</f>
        <v>Junior</v>
      </c>
    </row>
    <row r="1411" spans="1:20" x14ac:dyDescent="0.25">
      <c r="A1411" s="1">
        <v>1985</v>
      </c>
      <c r="B1411" s="1">
        <v>40</v>
      </c>
      <c r="C1411" t="s">
        <v>9</v>
      </c>
      <c r="D1411" t="s">
        <v>10</v>
      </c>
      <c r="E1411" t="s">
        <v>22</v>
      </c>
      <c r="F1411" t="s">
        <v>7</v>
      </c>
      <c r="G1411" t="s">
        <v>14</v>
      </c>
      <c r="H1411" s="1">
        <v>3</v>
      </c>
      <c r="I1411" s="1">
        <v>6323</v>
      </c>
      <c r="J1411" t="s">
        <v>9</v>
      </c>
      <c r="K1411" s="1">
        <v>11</v>
      </c>
      <c r="L1411" s="1">
        <v>3</v>
      </c>
      <c r="M1411" s="1">
        <v>10</v>
      </c>
      <c r="N1411" s="1">
        <v>4</v>
      </c>
      <c r="O1411" s="1">
        <v>10</v>
      </c>
      <c r="P1411" s="1">
        <f>COUNTIF(HR_Data[Employee Number],HR_Data[[#This Row],[Employee Number]])</f>
        <v>1</v>
      </c>
      <c r="Q1411" s="1" t="str">
        <f>IF(HR_Data[[#This Row],[Years At Company]]&lt;=HR_Data[[#This Row],[Total Working Years]],"Valid","error")</f>
        <v>Valid</v>
      </c>
      <c r="R1411" s="1" t="str" cm="1">
        <f t="array" ref="R1411">_xlfn.IFS(HR_Data[[#This Row],[Age]]&lt;=30,"Young", HR_Data[[#This Row],[Age]]&lt;=45,"Mid-Age",HR_Data[[#This Row],[Age]]&gt;45,"Senior")</f>
        <v>Mid-Age</v>
      </c>
      <c r="S1411" s="1" t="str" cm="1">
        <f t="array" ref="S1411">_xlfn.IFS(HR_Data[[#This Row],[Monthly Income]]&lt;5000,"Low", HR_Data[[#This Row],[Monthly Income]]&lt;10000,"Medium",TRUE,"High")</f>
        <v>Medium</v>
      </c>
      <c r="T1411" s="1" t="str" cm="1">
        <f t="array" ref="T1411">_xlfn.IFS(HR_Data[[#This Row],[Total Working Years]]&lt;=5,"Junior", HR_Data[[#This Row],[Total Working Years]]&lt;=15,"Mid-Level", TRUE, "Senior")</f>
        <v>Mid-Level</v>
      </c>
    </row>
    <row r="1412" spans="1:20" x14ac:dyDescent="0.25">
      <c r="A1412" s="1">
        <v>1986</v>
      </c>
      <c r="B1412" s="1">
        <v>40</v>
      </c>
      <c r="C1412" t="s">
        <v>9</v>
      </c>
      <c r="D1412" t="s">
        <v>5</v>
      </c>
      <c r="E1412" t="s">
        <v>21</v>
      </c>
      <c r="F1412" t="s">
        <v>7</v>
      </c>
      <c r="G1412" t="s">
        <v>8</v>
      </c>
      <c r="H1412" s="1">
        <v>2</v>
      </c>
      <c r="I1412" s="1">
        <v>5677</v>
      </c>
      <c r="J1412" t="s">
        <v>9</v>
      </c>
      <c r="K1412" s="1">
        <v>14</v>
      </c>
      <c r="L1412" s="1">
        <v>3</v>
      </c>
      <c r="M1412" s="1">
        <v>15</v>
      </c>
      <c r="N1412" s="1">
        <v>3</v>
      </c>
      <c r="O1412" s="1">
        <v>11</v>
      </c>
      <c r="P1412" s="1">
        <f>COUNTIF(HR_Data[Employee Number],HR_Data[[#This Row],[Employee Number]])</f>
        <v>1</v>
      </c>
      <c r="Q1412" s="1" t="str">
        <f>IF(HR_Data[[#This Row],[Years At Company]]&lt;=HR_Data[[#This Row],[Total Working Years]],"Valid","error")</f>
        <v>Valid</v>
      </c>
      <c r="R1412" s="1" t="str" cm="1">
        <f t="array" ref="R1412">_xlfn.IFS(HR_Data[[#This Row],[Age]]&lt;=30,"Young", HR_Data[[#This Row],[Age]]&lt;=45,"Mid-Age",HR_Data[[#This Row],[Age]]&gt;45,"Senior")</f>
        <v>Mid-Age</v>
      </c>
      <c r="S1412" s="1" t="str" cm="1">
        <f t="array" ref="S1412">_xlfn.IFS(HR_Data[[#This Row],[Monthly Income]]&lt;5000,"Low", HR_Data[[#This Row],[Monthly Income]]&lt;10000,"Medium",TRUE,"High")</f>
        <v>Medium</v>
      </c>
      <c r="T1412" s="1" t="str" cm="1">
        <f t="array" ref="T1412">_xlfn.IFS(HR_Data[[#This Row],[Total Working Years]]&lt;=5,"Junior", HR_Data[[#This Row],[Total Working Years]]&lt;=15,"Mid-Level", TRUE, "Senior")</f>
        <v>Mid-Level</v>
      </c>
    </row>
    <row r="1413" spans="1:20" x14ac:dyDescent="0.25">
      <c r="A1413" s="1">
        <v>1987</v>
      </c>
      <c r="B1413" s="1">
        <v>25</v>
      </c>
      <c r="C1413" t="s">
        <v>9</v>
      </c>
      <c r="D1413" t="s">
        <v>23</v>
      </c>
      <c r="E1413" t="s">
        <v>23</v>
      </c>
      <c r="F1413" t="s">
        <v>7</v>
      </c>
      <c r="G1413" t="s">
        <v>23</v>
      </c>
      <c r="H1413" s="1">
        <v>2</v>
      </c>
      <c r="I1413" s="1">
        <v>2187</v>
      </c>
      <c r="J1413" t="s">
        <v>9</v>
      </c>
      <c r="K1413" s="1">
        <v>14</v>
      </c>
      <c r="L1413" s="1">
        <v>3</v>
      </c>
      <c r="M1413" s="1">
        <v>6</v>
      </c>
      <c r="N1413" s="1">
        <v>3</v>
      </c>
      <c r="O1413" s="1">
        <v>2</v>
      </c>
      <c r="P1413" s="1">
        <f>COUNTIF(HR_Data[Employee Number],HR_Data[[#This Row],[Employee Number]])</f>
        <v>1</v>
      </c>
      <c r="Q1413" s="1" t="str">
        <f>IF(HR_Data[[#This Row],[Years At Company]]&lt;=HR_Data[[#This Row],[Total Working Years]],"Valid","error")</f>
        <v>Valid</v>
      </c>
      <c r="R1413" s="1" t="str" cm="1">
        <f t="array" ref="R1413">_xlfn.IFS(HR_Data[[#This Row],[Age]]&lt;=30,"Young", HR_Data[[#This Row],[Age]]&lt;=45,"Mid-Age",HR_Data[[#This Row],[Age]]&gt;45,"Senior")</f>
        <v>Young</v>
      </c>
      <c r="S1413" s="1" t="str" cm="1">
        <f t="array" ref="S1413">_xlfn.IFS(HR_Data[[#This Row],[Monthly Income]]&lt;5000,"Low", HR_Data[[#This Row],[Monthly Income]]&lt;10000,"Medium",TRUE,"High")</f>
        <v>Low</v>
      </c>
      <c r="T1413" s="1" t="str" cm="1">
        <f t="array" ref="T1413">_xlfn.IFS(HR_Data[[#This Row],[Total Working Years]]&lt;=5,"Junior", HR_Data[[#This Row],[Total Working Years]]&lt;=15,"Mid-Level", TRUE, "Senior")</f>
        <v>Mid-Level</v>
      </c>
    </row>
    <row r="1414" spans="1:20" x14ac:dyDescent="0.25">
      <c r="A1414" s="1">
        <v>1989</v>
      </c>
      <c r="B1414" s="1">
        <v>30</v>
      </c>
      <c r="C1414" t="s">
        <v>9</v>
      </c>
      <c r="D1414" t="s">
        <v>10</v>
      </c>
      <c r="E1414" t="s">
        <v>15</v>
      </c>
      <c r="F1414" t="s">
        <v>11</v>
      </c>
      <c r="G1414" t="s">
        <v>14</v>
      </c>
      <c r="H1414" s="1">
        <v>2</v>
      </c>
      <c r="I1414" s="1">
        <v>3748</v>
      </c>
      <c r="J1414" t="s">
        <v>9</v>
      </c>
      <c r="K1414" s="1">
        <v>13</v>
      </c>
      <c r="L1414" s="1">
        <v>3</v>
      </c>
      <c r="M1414" s="1">
        <v>12</v>
      </c>
      <c r="N1414" s="1">
        <v>2</v>
      </c>
      <c r="O1414" s="1">
        <v>12</v>
      </c>
      <c r="P1414" s="1">
        <f>COUNTIF(HR_Data[Employee Number],HR_Data[[#This Row],[Employee Number]])</f>
        <v>1</v>
      </c>
      <c r="Q1414" s="1" t="str">
        <f>IF(HR_Data[[#This Row],[Years At Company]]&lt;=HR_Data[[#This Row],[Total Working Years]],"Valid","error")</f>
        <v>Valid</v>
      </c>
      <c r="R1414" s="1" t="str" cm="1">
        <f t="array" ref="R1414">_xlfn.IFS(HR_Data[[#This Row],[Age]]&lt;=30,"Young", HR_Data[[#This Row],[Age]]&lt;=45,"Mid-Age",HR_Data[[#This Row],[Age]]&gt;45,"Senior")</f>
        <v>Young</v>
      </c>
      <c r="S1414" s="1" t="str" cm="1">
        <f t="array" ref="S1414">_xlfn.IFS(HR_Data[[#This Row],[Monthly Income]]&lt;5000,"Low", HR_Data[[#This Row],[Monthly Income]]&lt;10000,"Medium",TRUE,"High")</f>
        <v>Low</v>
      </c>
      <c r="T1414" s="1" t="str" cm="1">
        <f t="array" ref="T1414">_xlfn.IFS(HR_Data[[#This Row],[Total Working Years]]&lt;=5,"Junior", HR_Data[[#This Row],[Total Working Years]]&lt;=15,"Mid-Level", TRUE, "Senior")</f>
        <v>Mid-Level</v>
      </c>
    </row>
    <row r="1415" spans="1:20" x14ac:dyDescent="0.25">
      <c r="A1415" s="1">
        <v>1992</v>
      </c>
      <c r="B1415" s="1">
        <v>25</v>
      </c>
      <c r="C1415" t="s">
        <v>9</v>
      </c>
      <c r="D1415" t="s">
        <v>10</v>
      </c>
      <c r="E1415" t="s">
        <v>13</v>
      </c>
      <c r="F1415" t="s">
        <v>11</v>
      </c>
      <c r="G1415" t="s">
        <v>14</v>
      </c>
      <c r="H1415" s="1">
        <v>3</v>
      </c>
      <c r="I1415" s="1">
        <v>3977</v>
      </c>
      <c r="J1415" t="s">
        <v>4</v>
      </c>
      <c r="K1415" s="1">
        <v>19</v>
      </c>
      <c r="L1415" s="1">
        <v>3</v>
      </c>
      <c r="M1415" s="1">
        <v>7</v>
      </c>
      <c r="N1415" s="1">
        <v>2</v>
      </c>
      <c r="O1415" s="1">
        <v>2</v>
      </c>
      <c r="P1415" s="1">
        <f>COUNTIF(HR_Data[Employee Number],HR_Data[[#This Row],[Employee Number]])</f>
        <v>1</v>
      </c>
      <c r="Q1415" s="1" t="str">
        <f>IF(HR_Data[[#This Row],[Years At Company]]&lt;=HR_Data[[#This Row],[Total Working Years]],"Valid","error")</f>
        <v>Valid</v>
      </c>
      <c r="R1415" s="1" t="str" cm="1">
        <f t="array" ref="R1415">_xlfn.IFS(HR_Data[[#This Row],[Age]]&lt;=30,"Young", HR_Data[[#This Row],[Age]]&lt;=45,"Mid-Age",HR_Data[[#This Row],[Age]]&gt;45,"Senior")</f>
        <v>Young</v>
      </c>
      <c r="S1415" s="1" t="str" cm="1">
        <f t="array" ref="S1415">_xlfn.IFS(HR_Data[[#This Row],[Monthly Income]]&lt;5000,"Low", HR_Data[[#This Row],[Monthly Income]]&lt;10000,"Medium",TRUE,"High")</f>
        <v>Low</v>
      </c>
      <c r="T1415" s="1" t="str" cm="1">
        <f t="array" ref="T1415">_xlfn.IFS(HR_Data[[#This Row],[Total Working Years]]&lt;=5,"Junior", HR_Data[[#This Row],[Total Working Years]]&lt;=15,"Mid-Level", TRUE, "Senior")</f>
        <v>Mid-Level</v>
      </c>
    </row>
    <row r="1416" spans="1:20" x14ac:dyDescent="0.25">
      <c r="A1416" s="1">
        <v>1993</v>
      </c>
      <c r="B1416" s="1">
        <v>47</v>
      </c>
      <c r="C1416" t="s">
        <v>9</v>
      </c>
      <c r="D1416" t="s">
        <v>10</v>
      </c>
      <c r="E1416" t="s">
        <v>15</v>
      </c>
      <c r="F1416" t="s">
        <v>11</v>
      </c>
      <c r="G1416" t="s">
        <v>17</v>
      </c>
      <c r="H1416" s="1">
        <v>3</v>
      </c>
      <c r="I1416" s="1">
        <v>8633</v>
      </c>
      <c r="J1416" t="s">
        <v>9</v>
      </c>
      <c r="K1416" s="1">
        <v>23</v>
      </c>
      <c r="L1416" s="1">
        <v>4</v>
      </c>
      <c r="M1416" s="1">
        <v>25</v>
      </c>
      <c r="N1416" s="1">
        <v>3</v>
      </c>
      <c r="O1416" s="1">
        <v>17</v>
      </c>
      <c r="P1416" s="1">
        <f>COUNTIF(HR_Data[Employee Number],HR_Data[[#This Row],[Employee Number]])</f>
        <v>1</v>
      </c>
      <c r="Q1416" s="1" t="str">
        <f>IF(HR_Data[[#This Row],[Years At Company]]&lt;=HR_Data[[#This Row],[Total Working Years]],"Valid","error")</f>
        <v>Valid</v>
      </c>
      <c r="R1416" s="1" t="str" cm="1">
        <f t="array" ref="R1416">_xlfn.IFS(HR_Data[[#This Row],[Age]]&lt;=30,"Young", HR_Data[[#This Row],[Age]]&lt;=45,"Mid-Age",HR_Data[[#This Row],[Age]]&gt;45,"Senior")</f>
        <v>Senior</v>
      </c>
      <c r="S1416" s="1" t="str" cm="1">
        <f t="array" ref="S1416">_xlfn.IFS(HR_Data[[#This Row],[Monthly Income]]&lt;5000,"Low", HR_Data[[#This Row],[Monthly Income]]&lt;10000,"Medium",TRUE,"High")</f>
        <v>Medium</v>
      </c>
      <c r="T1416" s="1" t="str" cm="1">
        <f t="array" ref="T1416">_xlfn.IFS(HR_Data[[#This Row],[Total Working Years]]&lt;=5,"Junior", HR_Data[[#This Row],[Total Working Years]]&lt;=15,"Mid-Level", TRUE, "Senior")</f>
        <v>Senior</v>
      </c>
    </row>
    <row r="1417" spans="1:20" x14ac:dyDescent="0.25">
      <c r="A1417" s="1">
        <v>1994</v>
      </c>
      <c r="B1417" s="1">
        <v>33</v>
      </c>
      <c r="C1417" t="s">
        <v>9</v>
      </c>
      <c r="D1417" t="s">
        <v>10</v>
      </c>
      <c r="E1417" t="s">
        <v>15</v>
      </c>
      <c r="F1417" t="s">
        <v>11</v>
      </c>
      <c r="G1417" t="s">
        <v>14</v>
      </c>
      <c r="H1417" s="1">
        <v>3</v>
      </c>
      <c r="I1417" s="1">
        <v>2008</v>
      </c>
      <c r="J1417" t="s">
        <v>9</v>
      </c>
      <c r="K1417" s="1">
        <v>12</v>
      </c>
      <c r="L1417" s="1">
        <v>3</v>
      </c>
      <c r="M1417" s="1">
        <v>1</v>
      </c>
      <c r="N1417" s="1">
        <v>2</v>
      </c>
      <c r="O1417" s="1">
        <v>1</v>
      </c>
      <c r="P1417" s="1">
        <f>COUNTIF(HR_Data[Employee Number],HR_Data[[#This Row],[Employee Number]])</f>
        <v>1</v>
      </c>
      <c r="Q1417" s="1" t="str">
        <f>IF(HR_Data[[#This Row],[Years At Company]]&lt;=HR_Data[[#This Row],[Total Working Years]],"Valid","error")</f>
        <v>Valid</v>
      </c>
      <c r="R1417" s="1" t="str" cm="1">
        <f t="array" ref="R1417">_xlfn.IFS(HR_Data[[#This Row],[Age]]&lt;=30,"Young", HR_Data[[#This Row],[Age]]&lt;=45,"Mid-Age",HR_Data[[#This Row],[Age]]&gt;45,"Senior")</f>
        <v>Mid-Age</v>
      </c>
      <c r="S1417" s="1" t="str" cm="1">
        <f t="array" ref="S1417">_xlfn.IFS(HR_Data[[#This Row],[Monthly Income]]&lt;5000,"Low", HR_Data[[#This Row],[Monthly Income]]&lt;10000,"Medium",TRUE,"High")</f>
        <v>Low</v>
      </c>
      <c r="T1417" s="1" t="str" cm="1">
        <f t="array" ref="T1417">_xlfn.IFS(HR_Data[[#This Row],[Total Working Years]]&lt;=5,"Junior", HR_Data[[#This Row],[Total Working Years]]&lt;=15,"Mid-Level", TRUE, "Senior")</f>
        <v>Junior</v>
      </c>
    </row>
    <row r="1418" spans="1:20" x14ac:dyDescent="0.25">
      <c r="A1418" s="1">
        <v>1995</v>
      </c>
      <c r="B1418" s="1">
        <v>38</v>
      </c>
      <c r="C1418" t="s">
        <v>9</v>
      </c>
      <c r="D1418" t="s">
        <v>5</v>
      </c>
      <c r="E1418" t="s">
        <v>6</v>
      </c>
      <c r="F1418" t="s">
        <v>11</v>
      </c>
      <c r="G1418" t="s">
        <v>8</v>
      </c>
      <c r="H1418" s="1">
        <v>2</v>
      </c>
      <c r="I1418" s="1">
        <v>4440</v>
      </c>
      <c r="J1418" t="s">
        <v>9</v>
      </c>
      <c r="K1418" s="1">
        <v>15</v>
      </c>
      <c r="L1418" s="1">
        <v>3</v>
      </c>
      <c r="M1418" s="1">
        <v>16</v>
      </c>
      <c r="N1418" s="1">
        <v>3</v>
      </c>
      <c r="O1418" s="1">
        <v>15</v>
      </c>
      <c r="P1418" s="1">
        <f>COUNTIF(HR_Data[Employee Number],HR_Data[[#This Row],[Employee Number]])</f>
        <v>1</v>
      </c>
      <c r="Q1418" s="1" t="str">
        <f>IF(HR_Data[[#This Row],[Years At Company]]&lt;=HR_Data[[#This Row],[Total Working Years]],"Valid","error")</f>
        <v>Valid</v>
      </c>
      <c r="R1418" s="1" t="str" cm="1">
        <f t="array" ref="R1418">_xlfn.IFS(HR_Data[[#This Row],[Age]]&lt;=30,"Young", HR_Data[[#This Row],[Age]]&lt;=45,"Mid-Age",HR_Data[[#This Row],[Age]]&gt;45,"Senior")</f>
        <v>Mid-Age</v>
      </c>
      <c r="S1418" s="1" t="str" cm="1">
        <f t="array" ref="S1418">_xlfn.IFS(HR_Data[[#This Row],[Monthly Income]]&lt;5000,"Low", HR_Data[[#This Row],[Monthly Income]]&lt;10000,"Medium",TRUE,"High")</f>
        <v>Low</v>
      </c>
      <c r="T1418" s="1" t="str" cm="1">
        <f t="array" ref="T1418">_xlfn.IFS(HR_Data[[#This Row],[Total Working Years]]&lt;=5,"Junior", HR_Data[[#This Row],[Total Working Years]]&lt;=15,"Mid-Level", TRUE, "Senior")</f>
        <v>Senior</v>
      </c>
    </row>
    <row r="1419" spans="1:20" x14ac:dyDescent="0.25">
      <c r="A1419" s="1">
        <v>1996</v>
      </c>
      <c r="B1419" s="1">
        <v>31</v>
      </c>
      <c r="C1419" t="s">
        <v>9</v>
      </c>
      <c r="D1419" t="s">
        <v>5</v>
      </c>
      <c r="E1419" t="s">
        <v>6</v>
      </c>
      <c r="F1419" t="s">
        <v>11</v>
      </c>
      <c r="G1419" t="s">
        <v>19</v>
      </c>
      <c r="H1419" s="1">
        <v>3</v>
      </c>
      <c r="I1419" s="1">
        <v>3067</v>
      </c>
      <c r="J1419" t="s">
        <v>9</v>
      </c>
      <c r="K1419" s="1">
        <v>19</v>
      </c>
      <c r="L1419" s="1">
        <v>3</v>
      </c>
      <c r="M1419" s="1">
        <v>3</v>
      </c>
      <c r="N1419" s="1">
        <v>3</v>
      </c>
      <c r="O1419" s="1">
        <v>2</v>
      </c>
      <c r="P1419" s="1">
        <f>COUNTIF(HR_Data[Employee Number],HR_Data[[#This Row],[Employee Number]])</f>
        <v>1</v>
      </c>
      <c r="Q1419" s="1" t="str">
        <f>IF(HR_Data[[#This Row],[Years At Company]]&lt;=HR_Data[[#This Row],[Total Working Years]],"Valid","error")</f>
        <v>Valid</v>
      </c>
      <c r="R1419" s="1" t="str" cm="1">
        <f t="array" ref="R1419">_xlfn.IFS(HR_Data[[#This Row],[Age]]&lt;=30,"Young", HR_Data[[#This Row],[Age]]&lt;=45,"Mid-Age",HR_Data[[#This Row],[Age]]&gt;45,"Senior")</f>
        <v>Mid-Age</v>
      </c>
      <c r="S1419" s="1" t="str" cm="1">
        <f t="array" ref="S1419">_xlfn.IFS(HR_Data[[#This Row],[Monthly Income]]&lt;5000,"Low", HR_Data[[#This Row],[Monthly Income]]&lt;10000,"Medium",TRUE,"High")</f>
        <v>Low</v>
      </c>
      <c r="T1419" s="1" t="str" cm="1">
        <f t="array" ref="T1419">_xlfn.IFS(HR_Data[[#This Row],[Total Working Years]]&lt;=5,"Junior", HR_Data[[#This Row],[Total Working Years]]&lt;=15,"Mid-Level", TRUE, "Senior")</f>
        <v>Junior</v>
      </c>
    </row>
    <row r="1420" spans="1:20" x14ac:dyDescent="0.25">
      <c r="A1420" s="1">
        <v>1997</v>
      </c>
      <c r="B1420" s="1">
        <v>38</v>
      </c>
      <c r="C1420" t="s">
        <v>9</v>
      </c>
      <c r="D1420" t="s">
        <v>10</v>
      </c>
      <c r="E1420" t="s">
        <v>6</v>
      </c>
      <c r="F1420" t="s">
        <v>11</v>
      </c>
      <c r="G1420" t="s">
        <v>16</v>
      </c>
      <c r="H1420" s="1">
        <v>3</v>
      </c>
      <c r="I1420" s="1">
        <v>5321</v>
      </c>
      <c r="J1420" t="s">
        <v>9</v>
      </c>
      <c r="K1420" s="1">
        <v>11</v>
      </c>
      <c r="L1420" s="1">
        <v>3</v>
      </c>
      <c r="M1420" s="1">
        <v>10</v>
      </c>
      <c r="N1420" s="1">
        <v>3</v>
      </c>
      <c r="O1420" s="1">
        <v>8</v>
      </c>
      <c r="P1420" s="1">
        <f>COUNTIF(HR_Data[Employee Number],HR_Data[[#This Row],[Employee Number]])</f>
        <v>1</v>
      </c>
      <c r="Q1420" s="1" t="str">
        <f>IF(HR_Data[[#This Row],[Years At Company]]&lt;=HR_Data[[#This Row],[Total Working Years]],"Valid","error")</f>
        <v>Valid</v>
      </c>
      <c r="R1420" s="1" t="str" cm="1">
        <f t="array" ref="R1420">_xlfn.IFS(HR_Data[[#This Row],[Age]]&lt;=30,"Young", HR_Data[[#This Row],[Age]]&lt;=45,"Mid-Age",HR_Data[[#This Row],[Age]]&gt;45,"Senior")</f>
        <v>Mid-Age</v>
      </c>
      <c r="S1420" s="1" t="str" cm="1">
        <f t="array" ref="S1420">_xlfn.IFS(HR_Data[[#This Row],[Monthly Income]]&lt;5000,"Low", HR_Data[[#This Row],[Monthly Income]]&lt;10000,"Medium",TRUE,"High")</f>
        <v>Medium</v>
      </c>
      <c r="T1420" s="1" t="str" cm="1">
        <f t="array" ref="T1420">_xlfn.IFS(HR_Data[[#This Row],[Total Working Years]]&lt;=5,"Junior", HR_Data[[#This Row],[Total Working Years]]&lt;=15,"Mid-Level", TRUE, "Senior")</f>
        <v>Mid-Level</v>
      </c>
    </row>
    <row r="1421" spans="1:20" x14ac:dyDescent="0.25">
      <c r="A1421" s="1">
        <v>1998</v>
      </c>
      <c r="B1421" s="1">
        <v>42</v>
      </c>
      <c r="C1421" t="s">
        <v>9</v>
      </c>
      <c r="D1421" t="s">
        <v>10</v>
      </c>
      <c r="E1421" t="s">
        <v>6</v>
      </c>
      <c r="F1421" t="s">
        <v>11</v>
      </c>
      <c r="G1421" t="s">
        <v>12</v>
      </c>
      <c r="H1421" s="1">
        <v>1</v>
      </c>
      <c r="I1421" s="1">
        <v>5410</v>
      </c>
      <c r="J1421" t="s">
        <v>4</v>
      </c>
      <c r="K1421" s="1">
        <v>17</v>
      </c>
      <c r="L1421" s="1">
        <v>3</v>
      </c>
      <c r="M1421" s="1">
        <v>9</v>
      </c>
      <c r="N1421" s="1">
        <v>2</v>
      </c>
      <c r="O1421" s="1">
        <v>4</v>
      </c>
      <c r="P1421" s="1">
        <f>COUNTIF(HR_Data[Employee Number],HR_Data[[#This Row],[Employee Number]])</f>
        <v>1</v>
      </c>
      <c r="Q1421" s="1" t="str">
        <f>IF(HR_Data[[#This Row],[Years At Company]]&lt;=HR_Data[[#This Row],[Total Working Years]],"Valid","error")</f>
        <v>Valid</v>
      </c>
      <c r="R1421" s="1" t="str" cm="1">
        <f t="array" ref="R1421">_xlfn.IFS(HR_Data[[#This Row],[Age]]&lt;=30,"Young", HR_Data[[#This Row],[Age]]&lt;=45,"Mid-Age",HR_Data[[#This Row],[Age]]&gt;45,"Senior")</f>
        <v>Mid-Age</v>
      </c>
      <c r="S1421" s="1" t="str" cm="1">
        <f t="array" ref="S1421">_xlfn.IFS(HR_Data[[#This Row],[Monthly Income]]&lt;5000,"Low", HR_Data[[#This Row],[Monthly Income]]&lt;10000,"Medium",TRUE,"High")</f>
        <v>Medium</v>
      </c>
      <c r="T1421" s="1" t="str" cm="1">
        <f t="array" ref="T1421">_xlfn.IFS(HR_Data[[#This Row],[Total Working Years]]&lt;=5,"Junior", HR_Data[[#This Row],[Total Working Years]]&lt;=15,"Mid-Level", TRUE, "Senior")</f>
        <v>Mid-Level</v>
      </c>
    </row>
    <row r="1422" spans="1:20" x14ac:dyDescent="0.25">
      <c r="A1422" s="1">
        <v>1999</v>
      </c>
      <c r="B1422" s="1">
        <v>41</v>
      </c>
      <c r="C1422" t="s">
        <v>9</v>
      </c>
      <c r="D1422" t="s">
        <v>10</v>
      </c>
      <c r="E1422" t="s">
        <v>6</v>
      </c>
      <c r="F1422" t="s">
        <v>11</v>
      </c>
      <c r="G1422" t="s">
        <v>12</v>
      </c>
      <c r="H1422" s="1">
        <v>4</v>
      </c>
      <c r="I1422" s="1">
        <v>2782</v>
      </c>
      <c r="J1422" t="s">
        <v>9</v>
      </c>
      <c r="K1422" s="1">
        <v>22</v>
      </c>
      <c r="L1422" s="1">
        <v>4</v>
      </c>
      <c r="M1422" s="1">
        <v>12</v>
      </c>
      <c r="N1422" s="1">
        <v>3</v>
      </c>
      <c r="O1422" s="1">
        <v>5</v>
      </c>
      <c r="P1422" s="1">
        <f>COUNTIF(HR_Data[Employee Number],HR_Data[[#This Row],[Employee Number]])</f>
        <v>1</v>
      </c>
      <c r="Q1422" s="1" t="str">
        <f>IF(HR_Data[[#This Row],[Years At Company]]&lt;=HR_Data[[#This Row],[Total Working Years]],"Valid","error")</f>
        <v>Valid</v>
      </c>
      <c r="R1422" s="1" t="str" cm="1">
        <f t="array" ref="R1422">_xlfn.IFS(HR_Data[[#This Row],[Age]]&lt;=30,"Young", HR_Data[[#This Row],[Age]]&lt;=45,"Mid-Age",HR_Data[[#This Row],[Age]]&gt;45,"Senior")</f>
        <v>Mid-Age</v>
      </c>
      <c r="S1422" s="1" t="str" cm="1">
        <f t="array" ref="S1422">_xlfn.IFS(HR_Data[[#This Row],[Monthly Income]]&lt;5000,"Low", HR_Data[[#This Row],[Monthly Income]]&lt;10000,"Medium",TRUE,"High")</f>
        <v>Low</v>
      </c>
      <c r="T1422" s="1" t="str" cm="1">
        <f t="array" ref="T1422">_xlfn.IFS(HR_Data[[#This Row],[Total Working Years]]&lt;=5,"Junior", HR_Data[[#This Row],[Total Working Years]]&lt;=15,"Mid-Level", TRUE, "Senior")</f>
        <v>Mid-Level</v>
      </c>
    </row>
    <row r="1423" spans="1:20" x14ac:dyDescent="0.25">
      <c r="A1423" s="1">
        <v>2000</v>
      </c>
      <c r="B1423" s="1">
        <v>47</v>
      </c>
      <c r="C1423" t="s">
        <v>9</v>
      </c>
      <c r="D1423" t="s">
        <v>10</v>
      </c>
      <c r="E1423" t="s">
        <v>15</v>
      </c>
      <c r="F1423" t="s">
        <v>7</v>
      </c>
      <c r="G1423" t="s">
        <v>20</v>
      </c>
      <c r="H1423" s="1">
        <v>2</v>
      </c>
      <c r="I1423" s="1">
        <v>11957</v>
      </c>
      <c r="J1423" t="s">
        <v>9</v>
      </c>
      <c r="K1423" s="1">
        <v>18</v>
      </c>
      <c r="L1423" s="1">
        <v>3</v>
      </c>
      <c r="M1423" s="1">
        <v>14</v>
      </c>
      <c r="N1423" s="1">
        <v>1</v>
      </c>
      <c r="O1423" s="1">
        <v>13</v>
      </c>
      <c r="P1423" s="1">
        <f>COUNTIF(HR_Data[Employee Number],HR_Data[[#This Row],[Employee Number]])</f>
        <v>1</v>
      </c>
      <c r="Q1423" s="1" t="str">
        <f>IF(HR_Data[[#This Row],[Years At Company]]&lt;=HR_Data[[#This Row],[Total Working Years]],"Valid","error")</f>
        <v>Valid</v>
      </c>
      <c r="R1423" s="1" t="str" cm="1">
        <f t="array" ref="R1423">_xlfn.IFS(HR_Data[[#This Row],[Age]]&lt;=30,"Young", HR_Data[[#This Row],[Age]]&lt;=45,"Mid-Age",HR_Data[[#This Row],[Age]]&gt;45,"Senior")</f>
        <v>Senior</v>
      </c>
      <c r="S1423" s="1" t="str" cm="1">
        <f t="array" ref="S1423">_xlfn.IFS(HR_Data[[#This Row],[Monthly Income]]&lt;5000,"Low", HR_Data[[#This Row],[Monthly Income]]&lt;10000,"Medium",TRUE,"High")</f>
        <v>High</v>
      </c>
      <c r="T1423" s="1" t="str" cm="1">
        <f t="array" ref="T1423">_xlfn.IFS(HR_Data[[#This Row],[Total Working Years]]&lt;=5,"Junior", HR_Data[[#This Row],[Total Working Years]]&lt;=15,"Mid-Level", TRUE, "Senior")</f>
        <v>Mid-Level</v>
      </c>
    </row>
    <row r="1424" spans="1:20" x14ac:dyDescent="0.25">
      <c r="A1424" s="1">
        <v>2003</v>
      </c>
      <c r="B1424" s="1">
        <v>35</v>
      </c>
      <c r="C1424" t="s">
        <v>9</v>
      </c>
      <c r="D1424" t="s">
        <v>10</v>
      </c>
      <c r="E1424" t="s">
        <v>15</v>
      </c>
      <c r="F1424" t="s">
        <v>11</v>
      </c>
      <c r="G1424" t="s">
        <v>14</v>
      </c>
      <c r="H1424" s="1">
        <v>3</v>
      </c>
      <c r="I1424" s="1">
        <v>2660</v>
      </c>
      <c r="J1424" t="s">
        <v>4</v>
      </c>
      <c r="K1424" s="1">
        <v>11</v>
      </c>
      <c r="L1424" s="1">
        <v>3</v>
      </c>
      <c r="M1424" s="1">
        <v>5</v>
      </c>
      <c r="N1424" s="1">
        <v>3</v>
      </c>
      <c r="O1424" s="1">
        <v>2</v>
      </c>
      <c r="P1424" s="1">
        <f>COUNTIF(HR_Data[Employee Number],HR_Data[[#This Row],[Employee Number]])</f>
        <v>1</v>
      </c>
      <c r="Q1424" s="1" t="str">
        <f>IF(HR_Data[[#This Row],[Years At Company]]&lt;=HR_Data[[#This Row],[Total Working Years]],"Valid","error")</f>
        <v>Valid</v>
      </c>
      <c r="R1424" s="1" t="str" cm="1">
        <f t="array" ref="R1424">_xlfn.IFS(HR_Data[[#This Row],[Age]]&lt;=30,"Young", HR_Data[[#This Row],[Age]]&lt;=45,"Mid-Age",HR_Data[[#This Row],[Age]]&gt;45,"Senior")</f>
        <v>Mid-Age</v>
      </c>
      <c r="S1424" s="1" t="str" cm="1">
        <f t="array" ref="S1424">_xlfn.IFS(HR_Data[[#This Row],[Monthly Income]]&lt;5000,"Low", HR_Data[[#This Row],[Monthly Income]]&lt;10000,"Medium",TRUE,"High")</f>
        <v>Low</v>
      </c>
      <c r="T1424" s="1" t="str" cm="1">
        <f t="array" ref="T1424">_xlfn.IFS(HR_Data[[#This Row],[Total Working Years]]&lt;=5,"Junior", HR_Data[[#This Row],[Total Working Years]]&lt;=15,"Mid-Level", TRUE, "Senior")</f>
        <v>Junior</v>
      </c>
    </row>
    <row r="1425" spans="1:20" x14ac:dyDescent="0.25">
      <c r="A1425" s="1">
        <v>2007</v>
      </c>
      <c r="B1425" s="1">
        <v>22</v>
      </c>
      <c r="C1425" t="s">
        <v>9</v>
      </c>
      <c r="D1425" t="s">
        <v>10</v>
      </c>
      <c r="E1425" t="s">
        <v>6</v>
      </c>
      <c r="F1425" t="s">
        <v>11</v>
      </c>
      <c r="G1425" t="s">
        <v>12</v>
      </c>
      <c r="H1425" s="1">
        <v>3</v>
      </c>
      <c r="I1425" s="1">
        <v>3375</v>
      </c>
      <c r="J1425" t="s">
        <v>9</v>
      </c>
      <c r="K1425" s="1">
        <v>12</v>
      </c>
      <c r="L1425" s="1">
        <v>3</v>
      </c>
      <c r="M1425" s="1">
        <v>4</v>
      </c>
      <c r="N1425" s="1">
        <v>4</v>
      </c>
      <c r="O1425" s="1">
        <v>3</v>
      </c>
      <c r="P1425" s="1">
        <f>COUNTIF(HR_Data[Employee Number],HR_Data[[#This Row],[Employee Number]])</f>
        <v>1</v>
      </c>
      <c r="Q1425" s="1" t="str">
        <f>IF(HR_Data[[#This Row],[Years At Company]]&lt;=HR_Data[[#This Row],[Total Working Years]],"Valid","error")</f>
        <v>Valid</v>
      </c>
      <c r="R1425" s="1" t="str" cm="1">
        <f t="array" ref="R1425">_xlfn.IFS(HR_Data[[#This Row],[Age]]&lt;=30,"Young", HR_Data[[#This Row],[Age]]&lt;=45,"Mid-Age",HR_Data[[#This Row],[Age]]&gt;45,"Senior")</f>
        <v>Young</v>
      </c>
      <c r="S1425" s="1" t="str" cm="1">
        <f t="array" ref="S1425">_xlfn.IFS(HR_Data[[#This Row],[Monthly Income]]&lt;5000,"Low", HR_Data[[#This Row],[Monthly Income]]&lt;10000,"Medium",TRUE,"High")</f>
        <v>Low</v>
      </c>
      <c r="T1425" s="1" t="str" cm="1">
        <f t="array" ref="T1425">_xlfn.IFS(HR_Data[[#This Row],[Total Working Years]]&lt;=5,"Junior", HR_Data[[#This Row],[Total Working Years]]&lt;=15,"Mid-Level", TRUE, "Senior")</f>
        <v>Junior</v>
      </c>
    </row>
    <row r="1426" spans="1:20" x14ac:dyDescent="0.25">
      <c r="A1426" s="1">
        <v>2008</v>
      </c>
      <c r="B1426" s="1">
        <v>35</v>
      </c>
      <c r="C1426" t="s">
        <v>9</v>
      </c>
      <c r="D1426" t="s">
        <v>10</v>
      </c>
      <c r="E1426" t="s">
        <v>15</v>
      </c>
      <c r="F1426" t="s">
        <v>11</v>
      </c>
      <c r="G1426" t="s">
        <v>12</v>
      </c>
      <c r="H1426" s="1">
        <v>3</v>
      </c>
      <c r="I1426" s="1">
        <v>5098</v>
      </c>
      <c r="J1426" t="s">
        <v>9</v>
      </c>
      <c r="K1426" s="1">
        <v>19</v>
      </c>
      <c r="L1426" s="1">
        <v>3</v>
      </c>
      <c r="M1426" s="1">
        <v>10</v>
      </c>
      <c r="N1426" s="1">
        <v>3</v>
      </c>
      <c r="O1426" s="1">
        <v>10</v>
      </c>
      <c r="P1426" s="1">
        <f>COUNTIF(HR_Data[Employee Number],HR_Data[[#This Row],[Employee Number]])</f>
        <v>1</v>
      </c>
      <c r="Q1426" s="1" t="str">
        <f>IF(HR_Data[[#This Row],[Years At Company]]&lt;=HR_Data[[#This Row],[Total Working Years]],"Valid","error")</f>
        <v>Valid</v>
      </c>
      <c r="R1426" s="1" t="str" cm="1">
        <f t="array" ref="R1426">_xlfn.IFS(HR_Data[[#This Row],[Age]]&lt;=30,"Young", HR_Data[[#This Row],[Age]]&lt;=45,"Mid-Age",HR_Data[[#This Row],[Age]]&gt;45,"Senior")</f>
        <v>Mid-Age</v>
      </c>
      <c r="S1426" s="1" t="str" cm="1">
        <f t="array" ref="S1426">_xlfn.IFS(HR_Data[[#This Row],[Monthly Income]]&lt;5000,"Low", HR_Data[[#This Row],[Monthly Income]]&lt;10000,"Medium",TRUE,"High")</f>
        <v>Medium</v>
      </c>
      <c r="T1426" s="1" t="str" cm="1">
        <f t="array" ref="T1426">_xlfn.IFS(HR_Data[[#This Row],[Total Working Years]]&lt;=5,"Junior", HR_Data[[#This Row],[Total Working Years]]&lt;=15,"Mid-Level", TRUE, "Senior")</f>
        <v>Mid-Level</v>
      </c>
    </row>
    <row r="1427" spans="1:20" x14ac:dyDescent="0.25">
      <c r="A1427" s="1">
        <v>2009</v>
      </c>
      <c r="B1427" s="1">
        <v>33</v>
      </c>
      <c r="C1427" t="s">
        <v>9</v>
      </c>
      <c r="D1427" t="s">
        <v>10</v>
      </c>
      <c r="E1427" t="s">
        <v>15</v>
      </c>
      <c r="F1427" t="s">
        <v>7</v>
      </c>
      <c r="G1427" t="s">
        <v>17</v>
      </c>
      <c r="H1427" s="1">
        <v>4</v>
      </c>
      <c r="I1427" s="1">
        <v>4878</v>
      </c>
      <c r="J1427" t="s">
        <v>4</v>
      </c>
      <c r="K1427" s="1">
        <v>13</v>
      </c>
      <c r="L1427" s="1">
        <v>3</v>
      </c>
      <c r="M1427" s="1">
        <v>10</v>
      </c>
      <c r="N1427" s="1">
        <v>3</v>
      </c>
      <c r="O1427" s="1">
        <v>9</v>
      </c>
      <c r="P1427" s="1">
        <f>COUNTIF(HR_Data[Employee Number],HR_Data[[#This Row],[Employee Number]])</f>
        <v>1</v>
      </c>
      <c r="Q1427" s="1" t="str">
        <f>IF(HR_Data[[#This Row],[Years At Company]]&lt;=HR_Data[[#This Row],[Total Working Years]],"Valid","error")</f>
        <v>Valid</v>
      </c>
      <c r="R1427" s="1" t="str" cm="1">
        <f t="array" ref="R1427">_xlfn.IFS(HR_Data[[#This Row],[Age]]&lt;=30,"Young", HR_Data[[#This Row],[Age]]&lt;=45,"Mid-Age",HR_Data[[#This Row],[Age]]&gt;45,"Senior")</f>
        <v>Mid-Age</v>
      </c>
      <c r="S1427" s="1" t="str" cm="1">
        <f t="array" ref="S1427">_xlfn.IFS(HR_Data[[#This Row],[Monthly Income]]&lt;5000,"Low", HR_Data[[#This Row],[Monthly Income]]&lt;10000,"Medium",TRUE,"High")</f>
        <v>Low</v>
      </c>
      <c r="T1427" s="1" t="str" cm="1">
        <f t="array" ref="T1427">_xlfn.IFS(HR_Data[[#This Row],[Total Working Years]]&lt;=5,"Junior", HR_Data[[#This Row],[Total Working Years]]&lt;=15,"Mid-Level", TRUE, "Senior")</f>
        <v>Mid-Level</v>
      </c>
    </row>
    <row r="1428" spans="1:20" x14ac:dyDescent="0.25">
      <c r="A1428" s="1">
        <v>2010</v>
      </c>
      <c r="B1428" s="1">
        <v>32</v>
      </c>
      <c r="C1428" t="s">
        <v>9</v>
      </c>
      <c r="D1428" t="s">
        <v>10</v>
      </c>
      <c r="E1428" t="s">
        <v>6</v>
      </c>
      <c r="F1428" t="s">
        <v>7</v>
      </c>
      <c r="G1428" t="s">
        <v>14</v>
      </c>
      <c r="H1428" s="1">
        <v>2</v>
      </c>
      <c r="I1428" s="1">
        <v>2837</v>
      </c>
      <c r="J1428" t="s">
        <v>9</v>
      </c>
      <c r="K1428" s="1">
        <v>13</v>
      </c>
      <c r="L1428" s="1">
        <v>3</v>
      </c>
      <c r="M1428" s="1">
        <v>6</v>
      </c>
      <c r="N1428" s="1">
        <v>3</v>
      </c>
      <c r="O1428" s="1">
        <v>6</v>
      </c>
      <c r="P1428" s="1">
        <f>COUNTIF(HR_Data[Employee Number],HR_Data[[#This Row],[Employee Number]])</f>
        <v>1</v>
      </c>
      <c r="Q1428" s="1" t="str">
        <f>IF(HR_Data[[#This Row],[Years At Company]]&lt;=HR_Data[[#This Row],[Total Working Years]],"Valid","error")</f>
        <v>Valid</v>
      </c>
      <c r="R1428" s="1" t="str" cm="1">
        <f t="array" ref="R1428">_xlfn.IFS(HR_Data[[#This Row],[Age]]&lt;=30,"Young", HR_Data[[#This Row],[Age]]&lt;=45,"Mid-Age",HR_Data[[#This Row],[Age]]&gt;45,"Senior")</f>
        <v>Mid-Age</v>
      </c>
      <c r="S1428" s="1" t="str" cm="1">
        <f t="array" ref="S1428">_xlfn.IFS(HR_Data[[#This Row],[Monthly Income]]&lt;5000,"Low", HR_Data[[#This Row],[Monthly Income]]&lt;10000,"Medium",TRUE,"High")</f>
        <v>Low</v>
      </c>
      <c r="T1428" s="1" t="str" cm="1">
        <f t="array" ref="T1428">_xlfn.IFS(HR_Data[[#This Row],[Total Working Years]]&lt;=5,"Junior", HR_Data[[#This Row],[Total Working Years]]&lt;=15,"Mid-Level", TRUE, "Senior")</f>
        <v>Mid-Level</v>
      </c>
    </row>
    <row r="1429" spans="1:20" x14ac:dyDescent="0.25">
      <c r="A1429" s="1">
        <v>2012</v>
      </c>
      <c r="B1429" s="1">
        <v>40</v>
      </c>
      <c r="C1429" t="s">
        <v>9</v>
      </c>
      <c r="D1429" t="s">
        <v>10</v>
      </c>
      <c r="E1429" t="s">
        <v>6</v>
      </c>
      <c r="F1429" t="s">
        <v>11</v>
      </c>
      <c r="G1429" t="s">
        <v>14</v>
      </c>
      <c r="H1429" s="1">
        <v>4</v>
      </c>
      <c r="I1429" s="1">
        <v>2406</v>
      </c>
      <c r="J1429" t="s">
        <v>9</v>
      </c>
      <c r="K1429" s="1">
        <v>19</v>
      </c>
      <c r="L1429" s="1">
        <v>3</v>
      </c>
      <c r="M1429" s="1">
        <v>8</v>
      </c>
      <c r="N1429" s="1">
        <v>2</v>
      </c>
      <c r="O1429" s="1">
        <v>1</v>
      </c>
      <c r="P1429" s="1">
        <f>COUNTIF(HR_Data[Employee Number],HR_Data[[#This Row],[Employee Number]])</f>
        <v>1</v>
      </c>
      <c r="Q1429" s="1" t="str">
        <f>IF(HR_Data[[#This Row],[Years At Company]]&lt;=HR_Data[[#This Row],[Total Working Years]],"Valid","error")</f>
        <v>Valid</v>
      </c>
      <c r="R1429" s="1" t="str" cm="1">
        <f t="array" ref="R1429">_xlfn.IFS(HR_Data[[#This Row],[Age]]&lt;=30,"Young", HR_Data[[#This Row],[Age]]&lt;=45,"Mid-Age",HR_Data[[#This Row],[Age]]&gt;45,"Senior")</f>
        <v>Mid-Age</v>
      </c>
      <c r="S1429" s="1" t="str" cm="1">
        <f t="array" ref="S1429">_xlfn.IFS(HR_Data[[#This Row],[Monthly Income]]&lt;5000,"Low", HR_Data[[#This Row],[Monthly Income]]&lt;10000,"Medium",TRUE,"High")</f>
        <v>Low</v>
      </c>
      <c r="T1429" s="1" t="str" cm="1">
        <f t="array" ref="T1429">_xlfn.IFS(HR_Data[[#This Row],[Total Working Years]]&lt;=5,"Junior", HR_Data[[#This Row],[Total Working Years]]&lt;=15,"Mid-Level", TRUE, "Senior")</f>
        <v>Mid-Level</v>
      </c>
    </row>
    <row r="1430" spans="1:20" x14ac:dyDescent="0.25">
      <c r="A1430" s="1">
        <v>2013</v>
      </c>
      <c r="B1430" s="1">
        <v>32</v>
      </c>
      <c r="C1430" t="s">
        <v>9</v>
      </c>
      <c r="D1430" t="s">
        <v>5</v>
      </c>
      <c r="E1430" t="s">
        <v>15</v>
      </c>
      <c r="F1430" t="s">
        <v>11</v>
      </c>
      <c r="G1430" t="s">
        <v>19</v>
      </c>
      <c r="H1430" s="1">
        <v>2</v>
      </c>
      <c r="I1430" s="1">
        <v>2269</v>
      </c>
      <c r="J1430" t="s">
        <v>9</v>
      </c>
      <c r="K1430" s="1">
        <v>14</v>
      </c>
      <c r="L1430" s="1">
        <v>3</v>
      </c>
      <c r="M1430" s="1">
        <v>3</v>
      </c>
      <c r="N1430" s="1">
        <v>3</v>
      </c>
      <c r="O1430" s="1">
        <v>2</v>
      </c>
      <c r="P1430" s="1">
        <f>COUNTIF(HR_Data[Employee Number],HR_Data[[#This Row],[Employee Number]])</f>
        <v>1</v>
      </c>
      <c r="Q1430" s="1" t="str">
        <f>IF(HR_Data[[#This Row],[Years At Company]]&lt;=HR_Data[[#This Row],[Total Working Years]],"Valid","error")</f>
        <v>Valid</v>
      </c>
      <c r="R1430" s="1" t="str" cm="1">
        <f t="array" ref="R1430">_xlfn.IFS(HR_Data[[#This Row],[Age]]&lt;=30,"Young", HR_Data[[#This Row],[Age]]&lt;=45,"Mid-Age",HR_Data[[#This Row],[Age]]&gt;45,"Senior")</f>
        <v>Mid-Age</v>
      </c>
      <c r="S1430" s="1" t="str" cm="1">
        <f t="array" ref="S1430">_xlfn.IFS(HR_Data[[#This Row],[Monthly Income]]&lt;5000,"Low", HR_Data[[#This Row],[Monthly Income]]&lt;10000,"Medium",TRUE,"High")</f>
        <v>Low</v>
      </c>
      <c r="T1430" s="1" t="str" cm="1">
        <f t="array" ref="T1430">_xlfn.IFS(HR_Data[[#This Row],[Total Working Years]]&lt;=5,"Junior", HR_Data[[#This Row],[Total Working Years]]&lt;=15,"Mid-Level", TRUE, "Senior")</f>
        <v>Junior</v>
      </c>
    </row>
    <row r="1431" spans="1:20" x14ac:dyDescent="0.25">
      <c r="A1431" s="1">
        <v>2014</v>
      </c>
      <c r="B1431" s="1">
        <v>39</v>
      </c>
      <c r="C1431" t="s">
        <v>9</v>
      </c>
      <c r="D1431" t="s">
        <v>10</v>
      </c>
      <c r="E1431" t="s">
        <v>6</v>
      </c>
      <c r="F1431" t="s">
        <v>11</v>
      </c>
      <c r="G1431" t="s">
        <v>12</v>
      </c>
      <c r="H1431" s="1">
        <v>4</v>
      </c>
      <c r="I1431" s="1">
        <v>4108</v>
      </c>
      <c r="J1431" t="s">
        <v>9</v>
      </c>
      <c r="K1431" s="1">
        <v>13</v>
      </c>
      <c r="L1431" s="1">
        <v>3</v>
      </c>
      <c r="M1431" s="1">
        <v>18</v>
      </c>
      <c r="N1431" s="1">
        <v>3</v>
      </c>
      <c r="O1431" s="1">
        <v>7</v>
      </c>
      <c r="P1431" s="1">
        <f>COUNTIF(HR_Data[Employee Number],HR_Data[[#This Row],[Employee Number]])</f>
        <v>1</v>
      </c>
      <c r="Q1431" s="1" t="str">
        <f>IF(HR_Data[[#This Row],[Years At Company]]&lt;=HR_Data[[#This Row],[Total Working Years]],"Valid","error")</f>
        <v>Valid</v>
      </c>
      <c r="R1431" s="1" t="str" cm="1">
        <f t="array" ref="R1431">_xlfn.IFS(HR_Data[[#This Row],[Age]]&lt;=30,"Young", HR_Data[[#This Row],[Age]]&lt;=45,"Mid-Age",HR_Data[[#This Row],[Age]]&gt;45,"Senior")</f>
        <v>Mid-Age</v>
      </c>
      <c r="S1431" s="1" t="str" cm="1">
        <f t="array" ref="S1431">_xlfn.IFS(HR_Data[[#This Row],[Monthly Income]]&lt;5000,"Low", HR_Data[[#This Row],[Monthly Income]]&lt;10000,"Medium",TRUE,"High")</f>
        <v>Low</v>
      </c>
      <c r="T1431" s="1" t="str" cm="1">
        <f t="array" ref="T1431">_xlfn.IFS(HR_Data[[#This Row],[Total Working Years]]&lt;=5,"Junior", HR_Data[[#This Row],[Total Working Years]]&lt;=15,"Mid-Level", TRUE, "Senior")</f>
        <v>Senior</v>
      </c>
    </row>
    <row r="1432" spans="1:20" x14ac:dyDescent="0.25">
      <c r="A1432" s="1">
        <v>2015</v>
      </c>
      <c r="B1432" s="1">
        <v>38</v>
      </c>
      <c r="C1432" t="s">
        <v>9</v>
      </c>
      <c r="D1432" t="s">
        <v>10</v>
      </c>
      <c r="E1432" t="s">
        <v>15</v>
      </c>
      <c r="F1432" t="s">
        <v>7</v>
      </c>
      <c r="G1432" t="s">
        <v>20</v>
      </c>
      <c r="H1432" s="1">
        <v>3</v>
      </c>
      <c r="I1432" s="1">
        <v>13206</v>
      </c>
      <c r="J1432" t="s">
        <v>9</v>
      </c>
      <c r="K1432" s="1">
        <v>12</v>
      </c>
      <c r="L1432" s="1">
        <v>3</v>
      </c>
      <c r="M1432" s="1">
        <v>20</v>
      </c>
      <c r="N1432" s="1">
        <v>3</v>
      </c>
      <c r="O1432" s="1">
        <v>18</v>
      </c>
      <c r="P1432" s="1">
        <f>COUNTIF(HR_Data[Employee Number],HR_Data[[#This Row],[Employee Number]])</f>
        <v>1</v>
      </c>
      <c r="Q1432" s="1" t="str">
        <f>IF(HR_Data[[#This Row],[Years At Company]]&lt;=HR_Data[[#This Row],[Total Working Years]],"Valid","error")</f>
        <v>Valid</v>
      </c>
      <c r="R1432" s="1" t="str" cm="1">
        <f t="array" ref="R1432">_xlfn.IFS(HR_Data[[#This Row],[Age]]&lt;=30,"Young", HR_Data[[#This Row],[Age]]&lt;=45,"Mid-Age",HR_Data[[#This Row],[Age]]&gt;45,"Senior")</f>
        <v>Mid-Age</v>
      </c>
      <c r="S1432" s="1" t="str" cm="1">
        <f t="array" ref="S1432">_xlfn.IFS(HR_Data[[#This Row],[Monthly Income]]&lt;5000,"Low", HR_Data[[#This Row],[Monthly Income]]&lt;10000,"Medium",TRUE,"High")</f>
        <v>High</v>
      </c>
      <c r="T1432" s="1" t="str" cm="1">
        <f t="array" ref="T1432">_xlfn.IFS(HR_Data[[#This Row],[Total Working Years]]&lt;=5,"Junior", HR_Data[[#This Row],[Total Working Years]]&lt;=15,"Mid-Level", TRUE, "Senior")</f>
        <v>Senior</v>
      </c>
    </row>
    <row r="1433" spans="1:20" x14ac:dyDescent="0.25">
      <c r="A1433" s="1">
        <v>2016</v>
      </c>
      <c r="B1433" s="1">
        <v>32</v>
      </c>
      <c r="C1433" t="s">
        <v>9</v>
      </c>
      <c r="D1433" t="s">
        <v>5</v>
      </c>
      <c r="E1433" t="s">
        <v>21</v>
      </c>
      <c r="F1433" t="s">
        <v>7</v>
      </c>
      <c r="G1433" t="s">
        <v>8</v>
      </c>
      <c r="H1433" s="1">
        <v>4</v>
      </c>
      <c r="I1433" s="1">
        <v>10422</v>
      </c>
      <c r="J1433" t="s">
        <v>9</v>
      </c>
      <c r="K1433" s="1">
        <v>19</v>
      </c>
      <c r="L1433" s="1">
        <v>3</v>
      </c>
      <c r="M1433" s="1">
        <v>14</v>
      </c>
      <c r="N1433" s="1">
        <v>3</v>
      </c>
      <c r="O1433" s="1">
        <v>14</v>
      </c>
      <c r="P1433" s="1">
        <f>COUNTIF(HR_Data[Employee Number],HR_Data[[#This Row],[Employee Number]])</f>
        <v>1</v>
      </c>
      <c r="Q1433" s="1" t="str">
        <f>IF(HR_Data[[#This Row],[Years At Company]]&lt;=HR_Data[[#This Row],[Total Working Years]],"Valid","error")</f>
        <v>Valid</v>
      </c>
      <c r="R1433" s="1" t="str" cm="1">
        <f t="array" ref="R1433">_xlfn.IFS(HR_Data[[#This Row],[Age]]&lt;=30,"Young", HR_Data[[#This Row],[Age]]&lt;=45,"Mid-Age",HR_Data[[#This Row],[Age]]&gt;45,"Senior")</f>
        <v>Mid-Age</v>
      </c>
      <c r="S1433" s="1" t="str" cm="1">
        <f t="array" ref="S1433">_xlfn.IFS(HR_Data[[#This Row],[Monthly Income]]&lt;5000,"Low", HR_Data[[#This Row],[Monthly Income]]&lt;10000,"Medium",TRUE,"High")</f>
        <v>High</v>
      </c>
      <c r="T1433" s="1" t="str" cm="1">
        <f t="array" ref="T1433">_xlfn.IFS(HR_Data[[#This Row],[Total Working Years]]&lt;=5,"Junior", HR_Data[[#This Row],[Total Working Years]]&lt;=15,"Mid-Level", TRUE, "Senior")</f>
        <v>Mid-Level</v>
      </c>
    </row>
    <row r="1434" spans="1:20" x14ac:dyDescent="0.25">
      <c r="A1434" s="1">
        <v>2017</v>
      </c>
      <c r="B1434" s="1">
        <v>37</v>
      </c>
      <c r="C1434" t="s">
        <v>9</v>
      </c>
      <c r="D1434" t="s">
        <v>10</v>
      </c>
      <c r="E1434" t="s">
        <v>6</v>
      </c>
      <c r="F1434" t="s">
        <v>7</v>
      </c>
      <c r="G1434" t="s">
        <v>20</v>
      </c>
      <c r="H1434" s="1">
        <v>4</v>
      </c>
      <c r="I1434" s="1">
        <v>13744</v>
      </c>
      <c r="J1434" t="s">
        <v>4</v>
      </c>
      <c r="K1434" s="1">
        <v>25</v>
      </c>
      <c r="L1434" s="1">
        <v>4</v>
      </c>
      <c r="M1434" s="1">
        <v>16</v>
      </c>
      <c r="N1434" s="1">
        <v>3</v>
      </c>
      <c r="O1434" s="1">
        <v>16</v>
      </c>
      <c r="P1434" s="1">
        <f>COUNTIF(HR_Data[Employee Number],HR_Data[[#This Row],[Employee Number]])</f>
        <v>1</v>
      </c>
      <c r="Q1434" s="1" t="str">
        <f>IF(HR_Data[[#This Row],[Years At Company]]&lt;=HR_Data[[#This Row],[Total Working Years]],"Valid","error")</f>
        <v>Valid</v>
      </c>
      <c r="R1434" s="1" t="str" cm="1">
        <f t="array" ref="R1434">_xlfn.IFS(HR_Data[[#This Row],[Age]]&lt;=30,"Young", HR_Data[[#This Row],[Age]]&lt;=45,"Mid-Age",HR_Data[[#This Row],[Age]]&gt;45,"Senior")</f>
        <v>Mid-Age</v>
      </c>
      <c r="S1434" s="1" t="str" cm="1">
        <f t="array" ref="S1434">_xlfn.IFS(HR_Data[[#This Row],[Monthly Income]]&lt;5000,"Low", HR_Data[[#This Row],[Monthly Income]]&lt;10000,"Medium",TRUE,"High")</f>
        <v>High</v>
      </c>
      <c r="T1434" s="1" t="str" cm="1">
        <f t="array" ref="T1434">_xlfn.IFS(HR_Data[[#This Row],[Total Working Years]]&lt;=5,"Junior", HR_Data[[#This Row],[Total Working Years]]&lt;=15,"Mid-Level", TRUE, "Senior")</f>
        <v>Senior</v>
      </c>
    </row>
    <row r="1435" spans="1:20" x14ac:dyDescent="0.25">
      <c r="A1435" s="1">
        <v>2018</v>
      </c>
      <c r="B1435" s="1">
        <v>25</v>
      </c>
      <c r="C1435" t="s">
        <v>9</v>
      </c>
      <c r="D1435" t="s">
        <v>5</v>
      </c>
      <c r="E1435" t="s">
        <v>13</v>
      </c>
      <c r="F1435" t="s">
        <v>7</v>
      </c>
      <c r="G1435" t="s">
        <v>8</v>
      </c>
      <c r="H1435" s="1">
        <v>3</v>
      </c>
      <c r="I1435" s="1">
        <v>4907</v>
      </c>
      <c r="J1435" t="s">
        <v>4</v>
      </c>
      <c r="K1435" s="1">
        <v>22</v>
      </c>
      <c r="L1435" s="1">
        <v>4</v>
      </c>
      <c r="M1435" s="1">
        <v>6</v>
      </c>
      <c r="N1435" s="1">
        <v>2</v>
      </c>
      <c r="O1435" s="1">
        <v>5</v>
      </c>
      <c r="P1435" s="1">
        <f>COUNTIF(HR_Data[Employee Number],HR_Data[[#This Row],[Employee Number]])</f>
        <v>1</v>
      </c>
      <c r="Q1435" s="1" t="str">
        <f>IF(HR_Data[[#This Row],[Years At Company]]&lt;=HR_Data[[#This Row],[Total Working Years]],"Valid","error")</f>
        <v>Valid</v>
      </c>
      <c r="R1435" s="1" t="str" cm="1">
        <f t="array" ref="R1435">_xlfn.IFS(HR_Data[[#This Row],[Age]]&lt;=30,"Young", HR_Data[[#This Row],[Age]]&lt;=45,"Mid-Age",HR_Data[[#This Row],[Age]]&gt;45,"Senior")</f>
        <v>Young</v>
      </c>
      <c r="S1435" s="1" t="str" cm="1">
        <f t="array" ref="S1435">_xlfn.IFS(HR_Data[[#This Row],[Monthly Income]]&lt;5000,"Low", HR_Data[[#This Row],[Monthly Income]]&lt;10000,"Medium",TRUE,"High")</f>
        <v>Low</v>
      </c>
      <c r="T1435" s="1" t="str" cm="1">
        <f t="array" ref="T1435">_xlfn.IFS(HR_Data[[#This Row],[Total Working Years]]&lt;=5,"Junior", HR_Data[[#This Row],[Total Working Years]]&lt;=15,"Mid-Level", TRUE, "Senior")</f>
        <v>Mid-Level</v>
      </c>
    </row>
    <row r="1436" spans="1:20" x14ac:dyDescent="0.25">
      <c r="A1436" s="1">
        <v>2019</v>
      </c>
      <c r="B1436" s="1">
        <v>52</v>
      </c>
      <c r="C1436" t="s">
        <v>9</v>
      </c>
      <c r="D1436" t="s">
        <v>5</v>
      </c>
      <c r="E1436" t="s">
        <v>6</v>
      </c>
      <c r="F1436" t="s">
        <v>11</v>
      </c>
      <c r="G1436" t="s">
        <v>19</v>
      </c>
      <c r="H1436" s="1">
        <v>4</v>
      </c>
      <c r="I1436" s="1">
        <v>3482</v>
      </c>
      <c r="J1436" t="s">
        <v>9</v>
      </c>
      <c r="K1436" s="1">
        <v>15</v>
      </c>
      <c r="L1436" s="1">
        <v>3</v>
      </c>
      <c r="M1436" s="1">
        <v>16</v>
      </c>
      <c r="N1436" s="1">
        <v>2</v>
      </c>
      <c r="O1436" s="1">
        <v>9</v>
      </c>
      <c r="P1436" s="1">
        <f>COUNTIF(HR_Data[Employee Number],HR_Data[[#This Row],[Employee Number]])</f>
        <v>1</v>
      </c>
      <c r="Q1436" s="1" t="str">
        <f>IF(HR_Data[[#This Row],[Years At Company]]&lt;=HR_Data[[#This Row],[Total Working Years]],"Valid","error")</f>
        <v>Valid</v>
      </c>
      <c r="R1436" s="1" t="str" cm="1">
        <f t="array" ref="R1436">_xlfn.IFS(HR_Data[[#This Row],[Age]]&lt;=30,"Young", HR_Data[[#This Row],[Age]]&lt;=45,"Mid-Age",HR_Data[[#This Row],[Age]]&gt;45,"Senior")</f>
        <v>Senior</v>
      </c>
      <c r="S1436" s="1" t="str" cm="1">
        <f t="array" ref="S1436">_xlfn.IFS(HR_Data[[#This Row],[Monthly Income]]&lt;5000,"Low", HR_Data[[#This Row],[Monthly Income]]&lt;10000,"Medium",TRUE,"High")</f>
        <v>Low</v>
      </c>
      <c r="T1436" s="1" t="str" cm="1">
        <f t="array" ref="T1436">_xlfn.IFS(HR_Data[[#This Row],[Total Working Years]]&lt;=5,"Junior", HR_Data[[#This Row],[Total Working Years]]&lt;=15,"Mid-Level", TRUE, "Senior")</f>
        <v>Senior</v>
      </c>
    </row>
    <row r="1437" spans="1:20" x14ac:dyDescent="0.25">
      <c r="A1437" s="1">
        <v>2020</v>
      </c>
      <c r="B1437" s="1">
        <v>44</v>
      </c>
      <c r="C1437" t="s">
        <v>9</v>
      </c>
      <c r="D1437" t="s">
        <v>10</v>
      </c>
      <c r="E1437" t="s">
        <v>15</v>
      </c>
      <c r="F1437" t="s">
        <v>11</v>
      </c>
      <c r="G1437" t="s">
        <v>12</v>
      </c>
      <c r="H1437" s="1">
        <v>4</v>
      </c>
      <c r="I1437" s="1">
        <v>2436</v>
      </c>
      <c r="J1437" t="s">
        <v>4</v>
      </c>
      <c r="K1437" s="1">
        <v>12</v>
      </c>
      <c r="L1437" s="1">
        <v>3</v>
      </c>
      <c r="M1437" s="1">
        <v>6</v>
      </c>
      <c r="N1437" s="1">
        <v>3</v>
      </c>
      <c r="O1437" s="1">
        <v>4</v>
      </c>
      <c r="P1437" s="1">
        <f>COUNTIF(HR_Data[Employee Number],HR_Data[[#This Row],[Employee Number]])</f>
        <v>1</v>
      </c>
      <c r="Q1437" s="1" t="str">
        <f>IF(HR_Data[[#This Row],[Years At Company]]&lt;=HR_Data[[#This Row],[Total Working Years]],"Valid","error")</f>
        <v>Valid</v>
      </c>
      <c r="R1437" s="1" t="str" cm="1">
        <f t="array" ref="R1437">_xlfn.IFS(HR_Data[[#This Row],[Age]]&lt;=30,"Young", HR_Data[[#This Row],[Age]]&lt;=45,"Mid-Age",HR_Data[[#This Row],[Age]]&gt;45,"Senior")</f>
        <v>Mid-Age</v>
      </c>
      <c r="S1437" s="1" t="str" cm="1">
        <f t="array" ref="S1437">_xlfn.IFS(HR_Data[[#This Row],[Monthly Income]]&lt;5000,"Low", HR_Data[[#This Row],[Monthly Income]]&lt;10000,"Medium",TRUE,"High")</f>
        <v>Low</v>
      </c>
      <c r="T1437" s="1" t="str" cm="1">
        <f t="array" ref="T1437">_xlfn.IFS(HR_Data[[#This Row],[Total Working Years]]&lt;=5,"Junior", HR_Data[[#This Row],[Total Working Years]]&lt;=15,"Mid-Level", TRUE, "Senior")</f>
        <v>Mid-Level</v>
      </c>
    </row>
    <row r="1438" spans="1:20" x14ac:dyDescent="0.25">
      <c r="A1438" s="1">
        <v>2021</v>
      </c>
      <c r="B1438" s="1">
        <v>21</v>
      </c>
      <c r="C1438" t="s">
        <v>9</v>
      </c>
      <c r="D1438" t="s">
        <v>5</v>
      </c>
      <c r="E1438" t="s">
        <v>15</v>
      </c>
      <c r="F1438" t="s">
        <v>11</v>
      </c>
      <c r="G1438" t="s">
        <v>19</v>
      </c>
      <c r="H1438" s="1">
        <v>1</v>
      </c>
      <c r="I1438" s="1">
        <v>2380</v>
      </c>
      <c r="J1438" t="s">
        <v>4</v>
      </c>
      <c r="K1438" s="1">
        <v>11</v>
      </c>
      <c r="L1438" s="1">
        <v>3</v>
      </c>
      <c r="M1438" s="1">
        <v>2</v>
      </c>
      <c r="N1438" s="1">
        <v>3</v>
      </c>
      <c r="O1438" s="1">
        <v>2</v>
      </c>
      <c r="P1438" s="1">
        <f>COUNTIF(HR_Data[Employee Number],HR_Data[[#This Row],[Employee Number]])</f>
        <v>1</v>
      </c>
      <c r="Q1438" s="1" t="str">
        <f>IF(HR_Data[[#This Row],[Years At Company]]&lt;=HR_Data[[#This Row],[Total Working Years]],"Valid","error")</f>
        <v>Valid</v>
      </c>
      <c r="R1438" s="1" t="str" cm="1">
        <f t="array" ref="R1438">_xlfn.IFS(HR_Data[[#This Row],[Age]]&lt;=30,"Young", HR_Data[[#This Row],[Age]]&lt;=45,"Mid-Age",HR_Data[[#This Row],[Age]]&gt;45,"Senior")</f>
        <v>Young</v>
      </c>
      <c r="S1438" s="1" t="str" cm="1">
        <f t="array" ref="S1438">_xlfn.IFS(HR_Data[[#This Row],[Monthly Income]]&lt;5000,"Low", HR_Data[[#This Row],[Monthly Income]]&lt;10000,"Medium",TRUE,"High")</f>
        <v>Low</v>
      </c>
      <c r="T1438" s="1" t="str" cm="1">
        <f t="array" ref="T1438">_xlfn.IFS(HR_Data[[#This Row],[Total Working Years]]&lt;=5,"Junior", HR_Data[[#This Row],[Total Working Years]]&lt;=15,"Mid-Level", TRUE, "Senior")</f>
        <v>Junior</v>
      </c>
    </row>
    <row r="1439" spans="1:20" x14ac:dyDescent="0.25">
      <c r="A1439" s="1">
        <v>2022</v>
      </c>
      <c r="B1439" s="1">
        <v>39</v>
      </c>
      <c r="C1439" t="s">
        <v>9</v>
      </c>
      <c r="D1439" t="s">
        <v>10</v>
      </c>
      <c r="E1439" t="s">
        <v>6</v>
      </c>
      <c r="F1439" t="s">
        <v>11</v>
      </c>
      <c r="G1439" t="s">
        <v>18</v>
      </c>
      <c r="H1439" s="1">
        <v>4</v>
      </c>
      <c r="I1439" s="1">
        <v>19431</v>
      </c>
      <c r="J1439" t="s">
        <v>9</v>
      </c>
      <c r="K1439" s="1">
        <v>13</v>
      </c>
      <c r="L1439" s="1">
        <v>3</v>
      </c>
      <c r="M1439" s="1">
        <v>21</v>
      </c>
      <c r="N1439" s="1">
        <v>2</v>
      </c>
      <c r="O1439" s="1">
        <v>6</v>
      </c>
      <c r="P1439" s="1">
        <f>COUNTIF(HR_Data[Employee Number],HR_Data[[#This Row],[Employee Number]])</f>
        <v>1</v>
      </c>
      <c r="Q1439" s="1" t="str">
        <f>IF(HR_Data[[#This Row],[Years At Company]]&lt;=HR_Data[[#This Row],[Total Working Years]],"Valid","error")</f>
        <v>Valid</v>
      </c>
      <c r="R1439" s="1" t="str" cm="1">
        <f t="array" ref="R1439">_xlfn.IFS(HR_Data[[#This Row],[Age]]&lt;=30,"Young", HR_Data[[#This Row],[Age]]&lt;=45,"Mid-Age",HR_Data[[#This Row],[Age]]&gt;45,"Senior")</f>
        <v>Mid-Age</v>
      </c>
      <c r="S1439" s="1" t="str" cm="1">
        <f t="array" ref="S1439">_xlfn.IFS(HR_Data[[#This Row],[Monthly Income]]&lt;5000,"Low", HR_Data[[#This Row],[Monthly Income]]&lt;10000,"Medium",TRUE,"High")</f>
        <v>High</v>
      </c>
      <c r="T1439" s="1" t="str" cm="1">
        <f t="array" ref="T1439">_xlfn.IFS(HR_Data[[#This Row],[Total Working Years]]&lt;=5,"Junior", HR_Data[[#This Row],[Total Working Years]]&lt;=15,"Mid-Level", TRUE, "Senior")</f>
        <v>Senior</v>
      </c>
    </row>
    <row r="1440" spans="1:20" x14ac:dyDescent="0.25">
      <c r="A1440" s="1">
        <v>2023</v>
      </c>
      <c r="B1440" s="1">
        <v>23</v>
      </c>
      <c r="C1440" t="s">
        <v>4</v>
      </c>
      <c r="D1440" t="s">
        <v>5</v>
      </c>
      <c r="E1440" t="s">
        <v>21</v>
      </c>
      <c r="F1440" t="s">
        <v>11</v>
      </c>
      <c r="G1440" t="s">
        <v>19</v>
      </c>
      <c r="H1440" s="1">
        <v>1</v>
      </c>
      <c r="I1440" s="1">
        <v>1790</v>
      </c>
      <c r="J1440" t="s">
        <v>9</v>
      </c>
      <c r="K1440" s="1">
        <v>19</v>
      </c>
      <c r="L1440" s="1">
        <v>3</v>
      </c>
      <c r="M1440" s="1">
        <v>1</v>
      </c>
      <c r="N1440" s="1">
        <v>2</v>
      </c>
      <c r="O1440" s="1">
        <v>1</v>
      </c>
      <c r="P1440" s="1">
        <f>COUNTIF(HR_Data[Employee Number],HR_Data[[#This Row],[Employee Number]])</f>
        <v>1</v>
      </c>
      <c r="Q1440" s="1" t="str">
        <f>IF(HR_Data[[#This Row],[Years At Company]]&lt;=HR_Data[[#This Row],[Total Working Years]],"Valid","error")</f>
        <v>Valid</v>
      </c>
      <c r="R1440" s="1" t="str" cm="1">
        <f t="array" ref="R1440">_xlfn.IFS(HR_Data[[#This Row],[Age]]&lt;=30,"Young", HR_Data[[#This Row],[Age]]&lt;=45,"Mid-Age",HR_Data[[#This Row],[Age]]&gt;45,"Senior")</f>
        <v>Young</v>
      </c>
      <c r="S1440" s="1" t="str" cm="1">
        <f t="array" ref="S1440">_xlfn.IFS(HR_Data[[#This Row],[Monthly Income]]&lt;5000,"Low", HR_Data[[#This Row],[Monthly Income]]&lt;10000,"Medium",TRUE,"High")</f>
        <v>Low</v>
      </c>
      <c r="T1440" s="1" t="str" cm="1">
        <f t="array" ref="T1440">_xlfn.IFS(HR_Data[[#This Row],[Total Working Years]]&lt;=5,"Junior", HR_Data[[#This Row],[Total Working Years]]&lt;=15,"Mid-Level", TRUE, "Senior")</f>
        <v>Junior</v>
      </c>
    </row>
    <row r="1441" spans="1:20" x14ac:dyDescent="0.25">
      <c r="A1441" s="1">
        <v>2024</v>
      </c>
      <c r="B1441" s="1">
        <v>36</v>
      </c>
      <c r="C1441" t="s">
        <v>9</v>
      </c>
      <c r="D1441" t="s">
        <v>5</v>
      </c>
      <c r="E1441" t="s">
        <v>15</v>
      </c>
      <c r="F1441" t="s">
        <v>7</v>
      </c>
      <c r="G1441" t="s">
        <v>8</v>
      </c>
      <c r="H1441" s="1">
        <v>4</v>
      </c>
      <c r="I1441" s="1">
        <v>7644</v>
      </c>
      <c r="J1441" t="s">
        <v>9</v>
      </c>
      <c r="K1441" s="1">
        <v>19</v>
      </c>
      <c r="L1441" s="1">
        <v>3</v>
      </c>
      <c r="M1441" s="1">
        <v>10</v>
      </c>
      <c r="N1441" s="1">
        <v>3</v>
      </c>
      <c r="O1441" s="1">
        <v>9</v>
      </c>
      <c r="P1441" s="1">
        <f>COUNTIF(HR_Data[Employee Number],HR_Data[[#This Row],[Employee Number]])</f>
        <v>1</v>
      </c>
      <c r="Q1441" s="1" t="str">
        <f>IF(HR_Data[[#This Row],[Years At Company]]&lt;=HR_Data[[#This Row],[Total Working Years]],"Valid","error")</f>
        <v>Valid</v>
      </c>
      <c r="R1441" s="1" t="str" cm="1">
        <f t="array" ref="R1441">_xlfn.IFS(HR_Data[[#This Row],[Age]]&lt;=30,"Young", HR_Data[[#This Row],[Age]]&lt;=45,"Mid-Age",HR_Data[[#This Row],[Age]]&gt;45,"Senior")</f>
        <v>Mid-Age</v>
      </c>
      <c r="S1441" s="1" t="str" cm="1">
        <f t="array" ref="S1441">_xlfn.IFS(HR_Data[[#This Row],[Monthly Income]]&lt;5000,"Low", HR_Data[[#This Row],[Monthly Income]]&lt;10000,"Medium",TRUE,"High")</f>
        <v>Medium</v>
      </c>
      <c r="T1441" s="1" t="str" cm="1">
        <f t="array" ref="T1441">_xlfn.IFS(HR_Data[[#This Row],[Total Working Years]]&lt;=5,"Junior", HR_Data[[#This Row],[Total Working Years]]&lt;=15,"Mid-Level", TRUE, "Senior")</f>
        <v>Mid-Level</v>
      </c>
    </row>
    <row r="1442" spans="1:20" x14ac:dyDescent="0.25">
      <c r="A1442" s="1">
        <v>2025</v>
      </c>
      <c r="B1442" s="1">
        <v>36</v>
      </c>
      <c r="C1442" t="s">
        <v>9</v>
      </c>
      <c r="D1442" t="s">
        <v>10</v>
      </c>
      <c r="E1442" t="s">
        <v>6</v>
      </c>
      <c r="F1442" t="s">
        <v>7</v>
      </c>
      <c r="G1442" t="s">
        <v>16</v>
      </c>
      <c r="H1442" s="1">
        <v>2</v>
      </c>
      <c r="I1442" s="1">
        <v>5131</v>
      </c>
      <c r="J1442" t="s">
        <v>9</v>
      </c>
      <c r="K1442" s="1">
        <v>13</v>
      </c>
      <c r="L1442" s="1">
        <v>3</v>
      </c>
      <c r="M1442" s="1">
        <v>18</v>
      </c>
      <c r="N1442" s="1">
        <v>3</v>
      </c>
      <c r="O1442" s="1">
        <v>4</v>
      </c>
      <c r="P1442" s="1">
        <f>COUNTIF(HR_Data[Employee Number],HR_Data[[#This Row],[Employee Number]])</f>
        <v>1</v>
      </c>
      <c r="Q1442" s="1" t="str">
        <f>IF(HR_Data[[#This Row],[Years At Company]]&lt;=HR_Data[[#This Row],[Total Working Years]],"Valid","error")</f>
        <v>Valid</v>
      </c>
      <c r="R1442" s="1" t="str" cm="1">
        <f t="array" ref="R1442">_xlfn.IFS(HR_Data[[#This Row],[Age]]&lt;=30,"Young", HR_Data[[#This Row],[Age]]&lt;=45,"Mid-Age",HR_Data[[#This Row],[Age]]&gt;45,"Senior")</f>
        <v>Mid-Age</v>
      </c>
      <c r="S1442" s="1" t="str" cm="1">
        <f t="array" ref="S1442">_xlfn.IFS(HR_Data[[#This Row],[Monthly Income]]&lt;5000,"Low", HR_Data[[#This Row],[Monthly Income]]&lt;10000,"Medium",TRUE,"High")</f>
        <v>Medium</v>
      </c>
      <c r="T1442" s="1" t="str" cm="1">
        <f t="array" ref="T1442">_xlfn.IFS(HR_Data[[#This Row],[Total Working Years]]&lt;=5,"Junior", HR_Data[[#This Row],[Total Working Years]]&lt;=15,"Mid-Level", TRUE, "Senior")</f>
        <v>Senior</v>
      </c>
    </row>
    <row r="1443" spans="1:20" x14ac:dyDescent="0.25">
      <c r="A1443" s="1">
        <v>2026</v>
      </c>
      <c r="B1443" s="1">
        <v>56</v>
      </c>
      <c r="C1443" t="s">
        <v>9</v>
      </c>
      <c r="D1443" t="s">
        <v>10</v>
      </c>
      <c r="E1443" t="s">
        <v>6</v>
      </c>
      <c r="F1443" t="s">
        <v>11</v>
      </c>
      <c r="G1443" t="s">
        <v>17</v>
      </c>
      <c r="H1443" s="1">
        <v>3</v>
      </c>
      <c r="I1443" s="1">
        <v>6306</v>
      </c>
      <c r="J1443" t="s">
        <v>9</v>
      </c>
      <c r="K1443" s="1">
        <v>21</v>
      </c>
      <c r="L1443" s="1">
        <v>4</v>
      </c>
      <c r="M1443" s="1">
        <v>13</v>
      </c>
      <c r="N1443" s="1">
        <v>2</v>
      </c>
      <c r="O1443" s="1">
        <v>13</v>
      </c>
      <c r="P1443" s="1">
        <f>COUNTIF(HR_Data[Employee Number],HR_Data[[#This Row],[Employee Number]])</f>
        <v>1</v>
      </c>
      <c r="Q1443" s="1" t="str">
        <f>IF(HR_Data[[#This Row],[Years At Company]]&lt;=HR_Data[[#This Row],[Total Working Years]],"Valid","error")</f>
        <v>Valid</v>
      </c>
      <c r="R1443" s="1" t="str" cm="1">
        <f t="array" ref="R1443">_xlfn.IFS(HR_Data[[#This Row],[Age]]&lt;=30,"Young", HR_Data[[#This Row],[Age]]&lt;=45,"Mid-Age",HR_Data[[#This Row],[Age]]&gt;45,"Senior")</f>
        <v>Senior</v>
      </c>
      <c r="S1443" s="1" t="str" cm="1">
        <f t="array" ref="S1443">_xlfn.IFS(HR_Data[[#This Row],[Monthly Income]]&lt;5000,"Low", HR_Data[[#This Row],[Monthly Income]]&lt;10000,"Medium",TRUE,"High")</f>
        <v>Medium</v>
      </c>
      <c r="T1443" s="1" t="str" cm="1">
        <f t="array" ref="T1443">_xlfn.IFS(HR_Data[[#This Row],[Total Working Years]]&lt;=5,"Junior", HR_Data[[#This Row],[Total Working Years]]&lt;=15,"Mid-Level", TRUE, "Senior")</f>
        <v>Mid-Level</v>
      </c>
    </row>
    <row r="1444" spans="1:20" x14ac:dyDescent="0.25">
      <c r="A1444" s="1">
        <v>2027</v>
      </c>
      <c r="B1444" s="1">
        <v>29</v>
      </c>
      <c r="C1444" t="s">
        <v>4</v>
      </c>
      <c r="D1444" t="s">
        <v>10</v>
      </c>
      <c r="E1444" t="s">
        <v>15</v>
      </c>
      <c r="F1444" t="s">
        <v>11</v>
      </c>
      <c r="G1444" t="s">
        <v>12</v>
      </c>
      <c r="H1444" s="1">
        <v>4</v>
      </c>
      <c r="I1444" s="1">
        <v>4787</v>
      </c>
      <c r="J1444" t="s">
        <v>4</v>
      </c>
      <c r="K1444" s="1">
        <v>14</v>
      </c>
      <c r="L1444" s="1">
        <v>3</v>
      </c>
      <c r="M1444" s="1">
        <v>4</v>
      </c>
      <c r="N1444" s="1">
        <v>4</v>
      </c>
      <c r="O1444" s="1">
        <v>2</v>
      </c>
      <c r="P1444" s="1">
        <f>COUNTIF(HR_Data[Employee Number],HR_Data[[#This Row],[Employee Number]])</f>
        <v>1</v>
      </c>
      <c r="Q1444" s="1" t="str">
        <f>IF(HR_Data[[#This Row],[Years At Company]]&lt;=HR_Data[[#This Row],[Total Working Years]],"Valid","error")</f>
        <v>Valid</v>
      </c>
      <c r="R1444" s="1" t="str" cm="1">
        <f t="array" ref="R1444">_xlfn.IFS(HR_Data[[#This Row],[Age]]&lt;=30,"Young", HR_Data[[#This Row],[Age]]&lt;=45,"Mid-Age",HR_Data[[#This Row],[Age]]&gt;45,"Senior")</f>
        <v>Young</v>
      </c>
      <c r="S1444" s="1" t="str" cm="1">
        <f t="array" ref="S1444">_xlfn.IFS(HR_Data[[#This Row],[Monthly Income]]&lt;5000,"Low", HR_Data[[#This Row],[Monthly Income]]&lt;10000,"Medium",TRUE,"High")</f>
        <v>Low</v>
      </c>
      <c r="T1444" s="1" t="str" cm="1">
        <f t="array" ref="T1444">_xlfn.IFS(HR_Data[[#This Row],[Total Working Years]]&lt;=5,"Junior", HR_Data[[#This Row],[Total Working Years]]&lt;=15,"Mid-Level", TRUE, "Senior")</f>
        <v>Junior</v>
      </c>
    </row>
    <row r="1445" spans="1:20" x14ac:dyDescent="0.25">
      <c r="A1445" s="1">
        <v>2031</v>
      </c>
      <c r="B1445" s="1">
        <v>42</v>
      </c>
      <c r="C1445" t="s">
        <v>9</v>
      </c>
      <c r="D1445" t="s">
        <v>10</v>
      </c>
      <c r="E1445" t="s">
        <v>6</v>
      </c>
      <c r="F1445" t="s">
        <v>11</v>
      </c>
      <c r="G1445" t="s">
        <v>18</v>
      </c>
      <c r="H1445" s="1">
        <v>3</v>
      </c>
      <c r="I1445" s="1">
        <v>18880</v>
      </c>
      <c r="J1445" t="s">
        <v>9</v>
      </c>
      <c r="K1445" s="1">
        <v>11</v>
      </c>
      <c r="L1445" s="1">
        <v>3</v>
      </c>
      <c r="M1445" s="1">
        <v>24</v>
      </c>
      <c r="N1445" s="1">
        <v>2</v>
      </c>
      <c r="O1445" s="1">
        <v>22</v>
      </c>
      <c r="P1445" s="1">
        <f>COUNTIF(HR_Data[Employee Number],HR_Data[[#This Row],[Employee Number]])</f>
        <v>1</v>
      </c>
      <c r="Q1445" s="1" t="str">
        <f>IF(HR_Data[[#This Row],[Years At Company]]&lt;=HR_Data[[#This Row],[Total Working Years]],"Valid","error")</f>
        <v>Valid</v>
      </c>
      <c r="R1445" s="1" t="str" cm="1">
        <f t="array" ref="R1445">_xlfn.IFS(HR_Data[[#This Row],[Age]]&lt;=30,"Young", HR_Data[[#This Row],[Age]]&lt;=45,"Mid-Age",HR_Data[[#This Row],[Age]]&gt;45,"Senior")</f>
        <v>Mid-Age</v>
      </c>
      <c r="S1445" s="1" t="str" cm="1">
        <f t="array" ref="S1445">_xlfn.IFS(HR_Data[[#This Row],[Monthly Income]]&lt;5000,"Low", HR_Data[[#This Row],[Monthly Income]]&lt;10000,"Medium",TRUE,"High")</f>
        <v>High</v>
      </c>
      <c r="T1445" s="1" t="str" cm="1">
        <f t="array" ref="T1445">_xlfn.IFS(HR_Data[[#This Row],[Total Working Years]]&lt;=5,"Junior", HR_Data[[#This Row],[Total Working Years]]&lt;=15,"Mid-Level", TRUE, "Senior")</f>
        <v>Senior</v>
      </c>
    </row>
    <row r="1446" spans="1:20" x14ac:dyDescent="0.25">
      <c r="A1446" s="1">
        <v>2032</v>
      </c>
      <c r="B1446" s="1">
        <v>56</v>
      </c>
      <c r="C1446" t="s">
        <v>4</v>
      </c>
      <c r="D1446" t="s">
        <v>10</v>
      </c>
      <c r="E1446" t="s">
        <v>22</v>
      </c>
      <c r="F1446" t="s">
        <v>11</v>
      </c>
      <c r="G1446" t="s">
        <v>14</v>
      </c>
      <c r="H1446" s="1">
        <v>3</v>
      </c>
      <c r="I1446" s="1">
        <v>2339</v>
      </c>
      <c r="J1446" t="s">
        <v>9</v>
      </c>
      <c r="K1446" s="1">
        <v>11</v>
      </c>
      <c r="L1446" s="1">
        <v>3</v>
      </c>
      <c r="M1446" s="1">
        <v>14</v>
      </c>
      <c r="N1446" s="1">
        <v>1</v>
      </c>
      <c r="O1446" s="1">
        <v>10</v>
      </c>
      <c r="P1446" s="1">
        <f>COUNTIF(HR_Data[Employee Number],HR_Data[[#This Row],[Employee Number]])</f>
        <v>1</v>
      </c>
      <c r="Q1446" s="1" t="str">
        <f>IF(HR_Data[[#This Row],[Years At Company]]&lt;=HR_Data[[#This Row],[Total Working Years]],"Valid","error")</f>
        <v>Valid</v>
      </c>
      <c r="R1446" s="1" t="str" cm="1">
        <f t="array" ref="R1446">_xlfn.IFS(HR_Data[[#This Row],[Age]]&lt;=30,"Young", HR_Data[[#This Row],[Age]]&lt;=45,"Mid-Age",HR_Data[[#This Row],[Age]]&gt;45,"Senior")</f>
        <v>Senior</v>
      </c>
      <c r="S1446" s="1" t="str" cm="1">
        <f t="array" ref="S1446">_xlfn.IFS(HR_Data[[#This Row],[Monthly Income]]&lt;5000,"Low", HR_Data[[#This Row],[Monthly Income]]&lt;10000,"Medium",TRUE,"High")</f>
        <v>Low</v>
      </c>
      <c r="T1446" s="1" t="str" cm="1">
        <f t="array" ref="T1446">_xlfn.IFS(HR_Data[[#This Row],[Total Working Years]]&lt;=5,"Junior", HR_Data[[#This Row],[Total Working Years]]&lt;=15,"Mid-Level", TRUE, "Senior")</f>
        <v>Mid-Level</v>
      </c>
    </row>
    <row r="1447" spans="1:20" x14ac:dyDescent="0.25">
      <c r="A1447" s="1">
        <v>2034</v>
      </c>
      <c r="B1447" s="1">
        <v>41</v>
      </c>
      <c r="C1447" t="s">
        <v>9</v>
      </c>
      <c r="D1447" t="s">
        <v>10</v>
      </c>
      <c r="E1447" t="s">
        <v>6</v>
      </c>
      <c r="F1447" t="s">
        <v>7</v>
      </c>
      <c r="G1447" t="s">
        <v>16</v>
      </c>
      <c r="H1447" s="1">
        <v>2</v>
      </c>
      <c r="I1447" s="1">
        <v>13570</v>
      </c>
      <c r="J1447" t="s">
        <v>9</v>
      </c>
      <c r="K1447" s="1">
        <v>23</v>
      </c>
      <c r="L1447" s="1">
        <v>4</v>
      </c>
      <c r="M1447" s="1">
        <v>21</v>
      </c>
      <c r="N1447" s="1">
        <v>3</v>
      </c>
      <c r="O1447" s="1">
        <v>20</v>
      </c>
      <c r="P1447" s="1">
        <f>COUNTIF(HR_Data[Employee Number],HR_Data[[#This Row],[Employee Number]])</f>
        <v>1</v>
      </c>
      <c r="Q1447" s="1" t="str">
        <f>IF(HR_Data[[#This Row],[Years At Company]]&lt;=HR_Data[[#This Row],[Total Working Years]],"Valid","error")</f>
        <v>Valid</v>
      </c>
      <c r="R1447" s="1" t="str" cm="1">
        <f t="array" ref="R1447">_xlfn.IFS(HR_Data[[#This Row],[Age]]&lt;=30,"Young", HR_Data[[#This Row],[Age]]&lt;=45,"Mid-Age",HR_Data[[#This Row],[Age]]&gt;45,"Senior")</f>
        <v>Mid-Age</v>
      </c>
      <c r="S1447" s="1" t="str" cm="1">
        <f t="array" ref="S1447">_xlfn.IFS(HR_Data[[#This Row],[Monthly Income]]&lt;5000,"Low", HR_Data[[#This Row],[Monthly Income]]&lt;10000,"Medium",TRUE,"High")</f>
        <v>High</v>
      </c>
      <c r="T1447" s="1" t="str" cm="1">
        <f t="array" ref="T1447">_xlfn.IFS(HR_Data[[#This Row],[Total Working Years]]&lt;=5,"Junior", HR_Data[[#This Row],[Total Working Years]]&lt;=15,"Mid-Level", TRUE, "Senior")</f>
        <v>Senior</v>
      </c>
    </row>
    <row r="1448" spans="1:20" x14ac:dyDescent="0.25">
      <c r="A1448" s="1">
        <v>2035</v>
      </c>
      <c r="B1448" s="1">
        <v>34</v>
      </c>
      <c r="C1448" t="s">
        <v>9</v>
      </c>
      <c r="D1448" t="s">
        <v>5</v>
      </c>
      <c r="E1448" t="s">
        <v>21</v>
      </c>
      <c r="F1448" t="s">
        <v>7</v>
      </c>
      <c r="G1448" t="s">
        <v>8</v>
      </c>
      <c r="H1448" s="1">
        <v>3</v>
      </c>
      <c r="I1448" s="1">
        <v>6712</v>
      </c>
      <c r="J1448" t="s">
        <v>9</v>
      </c>
      <c r="K1448" s="1">
        <v>21</v>
      </c>
      <c r="L1448" s="1">
        <v>4</v>
      </c>
      <c r="M1448" s="1">
        <v>8</v>
      </c>
      <c r="N1448" s="1">
        <v>3</v>
      </c>
      <c r="O1448" s="1">
        <v>8</v>
      </c>
      <c r="P1448" s="1">
        <f>COUNTIF(HR_Data[Employee Number],HR_Data[[#This Row],[Employee Number]])</f>
        <v>1</v>
      </c>
      <c r="Q1448" s="1" t="str">
        <f>IF(HR_Data[[#This Row],[Years At Company]]&lt;=HR_Data[[#This Row],[Total Working Years]],"Valid","error")</f>
        <v>Valid</v>
      </c>
      <c r="R1448" s="1" t="str" cm="1">
        <f t="array" ref="R1448">_xlfn.IFS(HR_Data[[#This Row],[Age]]&lt;=30,"Young", HR_Data[[#This Row],[Age]]&lt;=45,"Mid-Age",HR_Data[[#This Row],[Age]]&gt;45,"Senior")</f>
        <v>Mid-Age</v>
      </c>
      <c r="S1448" s="1" t="str" cm="1">
        <f t="array" ref="S1448">_xlfn.IFS(HR_Data[[#This Row],[Monthly Income]]&lt;5000,"Low", HR_Data[[#This Row],[Monthly Income]]&lt;10000,"Medium",TRUE,"High")</f>
        <v>Medium</v>
      </c>
      <c r="T1448" s="1" t="str" cm="1">
        <f t="array" ref="T1448">_xlfn.IFS(HR_Data[[#This Row],[Total Working Years]]&lt;=5,"Junior", HR_Data[[#This Row],[Total Working Years]]&lt;=15,"Mid-Level", TRUE, "Senior")</f>
        <v>Mid-Level</v>
      </c>
    </row>
    <row r="1449" spans="1:20" x14ac:dyDescent="0.25">
      <c r="A1449" s="1">
        <v>2036</v>
      </c>
      <c r="B1449" s="1">
        <v>36</v>
      </c>
      <c r="C1449" t="s">
        <v>9</v>
      </c>
      <c r="D1449" t="s">
        <v>5</v>
      </c>
      <c r="E1449" t="s">
        <v>21</v>
      </c>
      <c r="F1449" t="s">
        <v>11</v>
      </c>
      <c r="G1449" t="s">
        <v>8</v>
      </c>
      <c r="H1449" s="1">
        <v>4</v>
      </c>
      <c r="I1449" s="1">
        <v>5406</v>
      </c>
      <c r="J1449" t="s">
        <v>9</v>
      </c>
      <c r="K1449" s="1">
        <v>24</v>
      </c>
      <c r="L1449" s="1">
        <v>4</v>
      </c>
      <c r="M1449" s="1">
        <v>15</v>
      </c>
      <c r="N1449" s="1">
        <v>2</v>
      </c>
      <c r="O1449" s="1">
        <v>15</v>
      </c>
      <c r="P1449" s="1">
        <f>COUNTIF(HR_Data[Employee Number],HR_Data[[#This Row],[Employee Number]])</f>
        <v>1</v>
      </c>
      <c r="Q1449" s="1" t="str">
        <f>IF(HR_Data[[#This Row],[Years At Company]]&lt;=HR_Data[[#This Row],[Total Working Years]],"Valid","error")</f>
        <v>Valid</v>
      </c>
      <c r="R1449" s="1" t="str" cm="1">
        <f t="array" ref="R1449">_xlfn.IFS(HR_Data[[#This Row],[Age]]&lt;=30,"Young", HR_Data[[#This Row],[Age]]&lt;=45,"Mid-Age",HR_Data[[#This Row],[Age]]&gt;45,"Senior")</f>
        <v>Mid-Age</v>
      </c>
      <c r="S1449" s="1" t="str" cm="1">
        <f t="array" ref="S1449">_xlfn.IFS(HR_Data[[#This Row],[Monthly Income]]&lt;5000,"Low", HR_Data[[#This Row],[Monthly Income]]&lt;10000,"Medium",TRUE,"High")</f>
        <v>Medium</v>
      </c>
      <c r="T1449" s="1" t="str" cm="1">
        <f t="array" ref="T1449">_xlfn.IFS(HR_Data[[#This Row],[Total Working Years]]&lt;=5,"Junior", HR_Data[[#This Row],[Total Working Years]]&lt;=15,"Mid-Level", TRUE, "Senior")</f>
        <v>Mid-Level</v>
      </c>
    </row>
    <row r="1450" spans="1:20" x14ac:dyDescent="0.25">
      <c r="A1450" s="1">
        <v>2037</v>
      </c>
      <c r="B1450" s="1">
        <v>41</v>
      </c>
      <c r="C1450" t="s">
        <v>9</v>
      </c>
      <c r="D1450" t="s">
        <v>5</v>
      </c>
      <c r="E1450" t="s">
        <v>6</v>
      </c>
      <c r="F1450" t="s">
        <v>11</v>
      </c>
      <c r="G1450" t="s">
        <v>8</v>
      </c>
      <c r="H1450" s="1">
        <v>2</v>
      </c>
      <c r="I1450" s="1">
        <v>8938</v>
      </c>
      <c r="J1450" t="s">
        <v>9</v>
      </c>
      <c r="K1450" s="1">
        <v>11</v>
      </c>
      <c r="L1450" s="1">
        <v>3</v>
      </c>
      <c r="M1450" s="1">
        <v>14</v>
      </c>
      <c r="N1450" s="1">
        <v>3</v>
      </c>
      <c r="O1450" s="1">
        <v>5</v>
      </c>
      <c r="P1450" s="1">
        <f>COUNTIF(HR_Data[Employee Number],HR_Data[[#This Row],[Employee Number]])</f>
        <v>1</v>
      </c>
      <c r="Q1450" s="1" t="str">
        <f>IF(HR_Data[[#This Row],[Years At Company]]&lt;=HR_Data[[#This Row],[Total Working Years]],"Valid","error")</f>
        <v>Valid</v>
      </c>
      <c r="R1450" s="1" t="str" cm="1">
        <f t="array" ref="R1450">_xlfn.IFS(HR_Data[[#This Row],[Age]]&lt;=30,"Young", HR_Data[[#This Row],[Age]]&lt;=45,"Mid-Age",HR_Data[[#This Row],[Age]]&gt;45,"Senior")</f>
        <v>Mid-Age</v>
      </c>
      <c r="S1450" s="1" t="str" cm="1">
        <f t="array" ref="S1450">_xlfn.IFS(HR_Data[[#This Row],[Monthly Income]]&lt;5000,"Low", HR_Data[[#This Row],[Monthly Income]]&lt;10000,"Medium",TRUE,"High")</f>
        <v>Medium</v>
      </c>
      <c r="T1450" s="1" t="str" cm="1">
        <f t="array" ref="T1450">_xlfn.IFS(HR_Data[[#This Row],[Total Working Years]]&lt;=5,"Junior", HR_Data[[#This Row],[Total Working Years]]&lt;=15,"Mid-Level", TRUE, "Senior")</f>
        <v>Mid-Level</v>
      </c>
    </row>
    <row r="1451" spans="1:20" x14ac:dyDescent="0.25">
      <c r="A1451" s="1">
        <v>2038</v>
      </c>
      <c r="B1451" s="1">
        <v>32</v>
      </c>
      <c r="C1451" t="s">
        <v>9</v>
      </c>
      <c r="D1451" t="s">
        <v>10</v>
      </c>
      <c r="E1451" t="s">
        <v>22</v>
      </c>
      <c r="F1451" t="s">
        <v>11</v>
      </c>
      <c r="G1451" t="s">
        <v>12</v>
      </c>
      <c r="H1451" s="1">
        <v>1</v>
      </c>
      <c r="I1451" s="1">
        <v>2439</v>
      </c>
      <c r="J1451" t="s">
        <v>9</v>
      </c>
      <c r="K1451" s="1">
        <v>14</v>
      </c>
      <c r="L1451" s="1">
        <v>3</v>
      </c>
      <c r="M1451" s="1">
        <v>4</v>
      </c>
      <c r="N1451" s="1">
        <v>3</v>
      </c>
      <c r="O1451" s="1">
        <v>4</v>
      </c>
      <c r="P1451" s="1">
        <f>COUNTIF(HR_Data[Employee Number],HR_Data[[#This Row],[Employee Number]])</f>
        <v>1</v>
      </c>
      <c r="Q1451" s="1" t="str">
        <f>IF(HR_Data[[#This Row],[Years At Company]]&lt;=HR_Data[[#This Row],[Total Working Years]],"Valid","error")</f>
        <v>Valid</v>
      </c>
      <c r="R1451" s="1" t="str" cm="1">
        <f t="array" ref="R1451">_xlfn.IFS(HR_Data[[#This Row],[Age]]&lt;=30,"Young", HR_Data[[#This Row],[Age]]&lt;=45,"Mid-Age",HR_Data[[#This Row],[Age]]&gt;45,"Senior")</f>
        <v>Mid-Age</v>
      </c>
      <c r="S1451" s="1" t="str" cm="1">
        <f t="array" ref="S1451">_xlfn.IFS(HR_Data[[#This Row],[Monthly Income]]&lt;5000,"Low", HR_Data[[#This Row],[Monthly Income]]&lt;10000,"Medium",TRUE,"High")</f>
        <v>Low</v>
      </c>
      <c r="T1451" s="1" t="str" cm="1">
        <f t="array" ref="T1451">_xlfn.IFS(HR_Data[[#This Row],[Total Working Years]]&lt;=5,"Junior", HR_Data[[#This Row],[Total Working Years]]&lt;=15,"Mid-Level", TRUE, "Senior")</f>
        <v>Junior</v>
      </c>
    </row>
    <row r="1452" spans="1:20" x14ac:dyDescent="0.25">
      <c r="A1452" s="1">
        <v>2040</v>
      </c>
      <c r="B1452" s="1">
        <v>35</v>
      </c>
      <c r="C1452" t="s">
        <v>9</v>
      </c>
      <c r="D1452" t="s">
        <v>23</v>
      </c>
      <c r="E1452" t="s">
        <v>6</v>
      </c>
      <c r="F1452" t="s">
        <v>7</v>
      </c>
      <c r="G1452" t="s">
        <v>23</v>
      </c>
      <c r="H1452" s="1">
        <v>4</v>
      </c>
      <c r="I1452" s="1">
        <v>8837</v>
      </c>
      <c r="J1452" t="s">
        <v>4</v>
      </c>
      <c r="K1452" s="1">
        <v>16</v>
      </c>
      <c r="L1452" s="1">
        <v>3</v>
      </c>
      <c r="M1452" s="1">
        <v>9</v>
      </c>
      <c r="N1452" s="1">
        <v>3</v>
      </c>
      <c r="O1452" s="1">
        <v>9</v>
      </c>
      <c r="P1452" s="1">
        <f>COUNTIF(HR_Data[Employee Number],HR_Data[[#This Row],[Employee Number]])</f>
        <v>1</v>
      </c>
      <c r="Q1452" s="1" t="str">
        <f>IF(HR_Data[[#This Row],[Years At Company]]&lt;=HR_Data[[#This Row],[Total Working Years]],"Valid","error")</f>
        <v>Valid</v>
      </c>
      <c r="R1452" s="1" t="str" cm="1">
        <f t="array" ref="R1452">_xlfn.IFS(HR_Data[[#This Row],[Age]]&lt;=30,"Young", HR_Data[[#This Row],[Age]]&lt;=45,"Mid-Age",HR_Data[[#This Row],[Age]]&gt;45,"Senior")</f>
        <v>Mid-Age</v>
      </c>
      <c r="S1452" s="1" t="str" cm="1">
        <f t="array" ref="S1452">_xlfn.IFS(HR_Data[[#This Row],[Monthly Income]]&lt;5000,"Low", HR_Data[[#This Row],[Monthly Income]]&lt;10000,"Medium",TRUE,"High")</f>
        <v>Medium</v>
      </c>
      <c r="T1452" s="1" t="str" cm="1">
        <f t="array" ref="T1452">_xlfn.IFS(HR_Data[[#This Row],[Total Working Years]]&lt;=5,"Junior", HR_Data[[#This Row],[Total Working Years]]&lt;=15,"Mid-Level", TRUE, "Senior")</f>
        <v>Mid-Level</v>
      </c>
    </row>
    <row r="1453" spans="1:20" x14ac:dyDescent="0.25">
      <c r="A1453" s="1">
        <v>2041</v>
      </c>
      <c r="B1453" s="1">
        <v>38</v>
      </c>
      <c r="C1453" t="s">
        <v>9</v>
      </c>
      <c r="D1453" t="s">
        <v>5</v>
      </c>
      <c r="E1453" t="s">
        <v>6</v>
      </c>
      <c r="F1453" t="s">
        <v>7</v>
      </c>
      <c r="G1453" t="s">
        <v>8</v>
      </c>
      <c r="H1453" s="1">
        <v>4</v>
      </c>
      <c r="I1453" s="1">
        <v>5343</v>
      </c>
      <c r="J1453" t="s">
        <v>9</v>
      </c>
      <c r="K1453" s="1">
        <v>11</v>
      </c>
      <c r="L1453" s="1">
        <v>3</v>
      </c>
      <c r="M1453" s="1">
        <v>10</v>
      </c>
      <c r="N1453" s="1">
        <v>3</v>
      </c>
      <c r="O1453" s="1">
        <v>10</v>
      </c>
      <c r="P1453" s="1">
        <f>COUNTIF(HR_Data[Employee Number],HR_Data[[#This Row],[Employee Number]])</f>
        <v>1</v>
      </c>
      <c r="Q1453" s="1" t="str">
        <f>IF(HR_Data[[#This Row],[Years At Company]]&lt;=HR_Data[[#This Row],[Total Working Years]],"Valid","error")</f>
        <v>Valid</v>
      </c>
      <c r="R1453" s="1" t="str" cm="1">
        <f t="array" ref="R1453">_xlfn.IFS(HR_Data[[#This Row],[Age]]&lt;=30,"Young", HR_Data[[#This Row],[Age]]&lt;=45,"Mid-Age",HR_Data[[#This Row],[Age]]&gt;45,"Senior")</f>
        <v>Mid-Age</v>
      </c>
      <c r="S1453" s="1" t="str" cm="1">
        <f t="array" ref="S1453">_xlfn.IFS(HR_Data[[#This Row],[Monthly Income]]&lt;5000,"Low", HR_Data[[#This Row],[Monthly Income]]&lt;10000,"Medium",TRUE,"High")</f>
        <v>Medium</v>
      </c>
      <c r="T1453" s="1" t="str" cm="1">
        <f t="array" ref="T1453">_xlfn.IFS(HR_Data[[#This Row],[Total Working Years]]&lt;=5,"Junior", HR_Data[[#This Row],[Total Working Years]]&lt;=15,"Mid-Level", TRUE, "Senior")</f>
        <v>Mid-Level</v>
      </c>
    </row>
    <row r="1454" spans="1:20" x14ac:dyDescent="0.25">
      <c r="A1454" s="1">
        <v>2044</v>
      </c>
      <c r="B1454" s="1">
        <v>50</v>
      </c>
      <c r="C1454" t="s">
        <v>4</v>
      </c>
      <c r="D1454" t="s">
        <v>5</v>
      </c>
      <c r="E1454" t="s">
        <v>6</v>
      </c>
      <c r="F1454" t="s">
        <v>11</v>
      </c>
      <c r="G1454" t="s">
        <v>8</v>
      </c>
      <c r="H1454" s="1">
        <v>3</v>
      </c>
      <c r="I1454" s="1">
        <v>6728</v>
      </c>
      <c r="J1454" t="s">
        <v>9</v>
      </c>
      <c r="K1454" s="1">
        <v>12</v>
      </c>
      <c r="L1454" s="1">
        <v>3</v>
      </c>
      <c r="M1454" s="1">
        <v>12</v>
      </c>
      <c r="N1454" s="1">
        <v>3</v>
      </c>
      <c r="O1454" s="1">
        <v>6</v>
      </c>
      <c r="P1454" s="1">
        <f>COUNTIF(HR_Data[Employee Number],HR_Data[[#This Row],[Employee Number]])</f>
        <v>1</v>
      </c>
      <c r="Q1454" s="1" t="str">
        <f>IF(HR_Data[[#This Row],[Years At Company]]&lt;=HR_Data[[#This Row],[Total Working Years]],"Valid","error")</f>
        <v>Valid</v>
      </c>
      <c r="R1454" s="1" t="str" cm="1">
        <f t="array" ref="R1454">_xlfn.IFS(HR_Data[[#This Row],[Age]]&lt;=30,"Young", HR_Data[[#This Row],[Age]]&lt;=45,"Mid-Age",HR_Data[[#This Row],[Age]]&gt;45,"Senior")</f>
        <v>Senior</v>
      </c>
      <c r="S1454" s="1" t="str" cm="1">
        <f t="array" ref="S1454">_xlfn.IFS(HR_Data[[#This Row],[Monthly Income]]&lt;5000,"Low", HR_Data[[#This Row],[Monthly Income]]&lt;10000,"Medium",TRUE,"High")</f>
        <v>Medium</v>
      </c>
      <c r="T1454" s="1" t="str" cm="1">
        <f t="array" ref="T1454">_xlfn.IFS(HR_Data[[#This Row],[Total Working Years]]&lt;=5,"Junior", HR_Data[[#This Row],[Total Working Years]]&lt;=15,"Mid-Level", TRUE, "Senior")</f>
        <v>Mid-Level</v>
      </c>
    </row>
    <row r="1455" spans="1:20" x14ac:dyDescent="0.25">
      <c r="A1455" s="1">
        <v>2045</v>
      </c>
      <c r="B1455" s="1">
        <v>36</v>
      </c>
      <c r="C1455" t="s">
        <v>9</v>
      </c>
      <c r="D1455" t="s">
        <v>5</v>
      </c>
      <c r="E1455" t="s">
        <v>21</v>
      </c>
      <c r="F1455" t="s">
        <v>7</v>
      </c>
      <c r="G1455" t="s">
        <v>8</v>
      </c>
      <c r="H1455" s="1">
        <v>4</v>
      </c>
      <c r="I1455" s="1">
        <v>6652</v>
      </c>
      <c r="J1455" t="s">
        <v>9</v>
      </c>
      <c r="K1455" s="1">
        <v>13</v>
      </c>
      <c r="L1455" s="1">
        <v>3</v>
      </c>
      <c r="M1455" s="1">
        <v>8</v>
      </c>
      <c r="N1455" s="1">
        <v>2</v>
      </c>
      <c r="O1455" s="1">
        <v>6</v>
      </c>
      <c r="P1455" s="1">
        <f>COUNTIF(HR_Data[Employee Number],HR_Data[[#This Row],[Employee Number]])</f>
        <v>1</v>
      </c>
      <c r="Q1455" s="1" t="str">
        <f>IF(HR_Data[[#This Row],[Years At Company]]&lt;=HR_Data[[#This Row],[Total Working Years]],"Valid","error")</f>
        <v>Valid</v>
      </c>
      <c r="R1455" s="1" t="str" cm="1">
        <f t="array" ref="R1455">_xlfn.IFS(HR_Data[[#This Row],[Age]]&lt;=30,"Young", HR_Data[[#This Row],[Age]]&lt;=45,"Mid-Age",HR_Data[[#This Row],[Age]]&gt;45,"Senior")</f>
        <v>Mid-Age</v>
      </c>
      <c r="S1455" s="1" t="str" cm="1">
        <f t="array" ref="S1455">_xlfn.IFS(HR_Data[[#This Row],[Monthly Income]]&lt;5000,"Low", HR_Data[[#This Row],[Monthly Income]]&lt;10000,"Medium",TRUE,"High")</f>
        <v>Medium</v>
      </c>
      <c r="T1455" s="1" t="str" cm="1">
        <f t="array" ref="T1455">_xlfn.IFS(HR_Data[[#This Row],[Total Working Years]]&lt;=5,"Junior", HR_Data[[#This Row],[Total Working Years]]&lt;=15,"Mid-Level", TRUE, "Senior")</f>
        <v>Mid-Level</v>
      </c>
    </row>
    <row r="1456" spans="1:20" x14ac:dyDescent="0.25">
      <c r="A1456" s="1">
        <v>2046</v>
      </c>
      <c r="B1456" s="1">
        <v>45</v>
      </c>
      <c r="C1456" t="s">
        <v>9</v>
      </c>
      <c r="D1456" t="s">
        <v>5</v>
      </c>
      <c r="E1456" t="s">
        <v>6</v>
      </c>
      <c r="F1456" t="s">
        <v>7</v>
      </c>
      <c r="G1456" t="s">
        <v>8</v>
      </c>
      <c r="H1456" s="1">
        <v>3</v>
      </c>
      <c r="I1456" s="1">
        <v>4850</v>
      </c>
      <c r="J1456" t="s">
        <v>9</v>
      </c>
      <c r="K1456" s="1">
        <v>15</v>
      </c>
      <c r="L1456" s="1">
        <v>3</v>
      </c>
      <c r="M1456" s="1">
        <v>8</v>
      </c>
      <c r="N1456" s="1">
        <v>3</v>
      </c>
      <c r="O1456" s="1">
        <v>5</v>
      </c>
      <c r="P1456" s="1">
        <f>COUNTIF(HR_Data[Employee Number],HR_Data[[#This Row],[Employee Number]])</f>
        <v>1</v>
      </c>
      <c r="Q1456" s="1" t="str">
        <f>IF(HR_Data[[#This Row],[Years At Company]]&lt;=HR_Data[[#This Row],[Total Working Years]],"Valid","error")</f>
        <v>Valid</v>
      </c>
      <c r="R1456" s="1" t="str" cm="1">
        <f t="array" ref="R1456">_xlfn.IFS(HR_Data[[#This Row],[Age]]&lt;=30,"Young", HR_Data[[#This Row],[Age]]&lt;=45,"Mid-Age",HR_Data[[#This Row],[Age]]&gt;45,"Senior")</f>
        <v>Mid-Age</v>
      </c>
      <c r="S1456" s="1" t="str" cm="1">
        <f t="array" ref="S1456">_xlfn.IFS(HR_Data[[#This Row],[Monthly Income]]&lt;5000,"Low", HR_Data[[#This Row],[Monthly Income]]&lt;10000,"Medium",TRUE,"High")</f>
        <v>Low</v>
      </c>
      <c r="T1456" s="1" t="str" cm="1">
        <f t="array" ref="T1456">_xlfn.IFS(HR_Data[[#This Row],[Total Working Years]]&lt;=5,"Junior", HR_Data[[#This Row],[Total Working Years]]&lt;=15,"Mid-Level", TRUE, "Senior")</f>
        <v>Mid-Level</v>
      </c>
    </row>
    <row r="1457" spans="1:20" x14ac:dyDescent="0.25">
      <c r="A1457" s="1">
        <v>2048</v>
      </c>
      <c r="B1457" s="1">
        <v>40</v>
      </c>
      <c r="C1457" t="s">
        <v>9</v>
      </c>
      <c r="D1457" t="s">
        <v>10</v>
      </c>
      <c r="E1457" t="s">
        <v>6</v>
      </c>
      <c r="F1457" t="s">
        <v>11</v>
      </c>
      <c r="G1457" t="s">
        <v>12</v>
      </c>
      <c r="H1457" s="1">
        <v>3</v>
      </c>
      <c r="I1457" s="1">
        <v>2809</v>
      </c>
      <c r="J1457" t="s">
        <v>9</v>
      </c>
      <c r="K1457" s="1">
        <v>14</v>
      </c>
      <c r="L1457" s="1">
        <v>3</v>
      </c>
      <c r="M1457" s="1">
        <v>8</v>
      </c>
      <c r="N1457" s="1">
        <v>3</v>
      </c>
      <c r="O1457" s="1">
        <v>2</v>
      </c>
      <c r="P1457" s="1">
        <f>COUNTIF(HR_Data[Employee Number],HR_Data[[#This Row],[Employee Number]])</f>
        <v>1</v>
      </c>
      <c r="Q1457" s="1" t="str">
        <f>IF(HR_Data[[#This Row],[Years At Company]]&lt;=HR_Data[[#This Row],[Total Working Years]],"Valid","error")</f>
        <v>Valid</v>
      </c>
      <c r="R1457" s="1" t="str" cm="1">
        <f t="array" ref="R1457">_xlfn.IFS(HR_Data[[#This Row],[Age]]&lt;=30,"Young", HR_Data[[#This Row],[Age]]&lt;=45,"Mid-Age",HR_Data[[#This Row],[Age]]&gt;45,"Senior")</f>
        <v>Mid-Age</v>
      </c>
      <c r="S1457" s="1" t="str" cm="1">
        <f t="array" ref="S1457">_xlfn.IFS(HR_Data[[#This Row],[Monthly Income]]&lt;5000,"Low", HR_Data[[#This Row],[Monthly Income]]&lt;10000,"Medium",TRUE,"High")</f>
        <v>Low</v>
      </c>
      <c r="T1457" s="1" t="str" cm="1">
        <f t="array" ref="T1457">_xlfn.IFS(HR_Data[[#This Row],[Total Working Years]]&lt;=5,"Junior", HR_Data[[#This Row],[Total Working Years]]&lt;=15,"Mid-Level", TRUE, "Senior")</f>
        <v>Mid-Level</v>
      </c>
    </row>
    <row r="1458" spans="1:20" x14ac:dyDescent="0.25">
      <c r="A1458" s="1">
        <v>2049</v>
      </c>
      <c r="B1458" s="1">
        <v>35</v>
      </c>
      <c r="C1458" t="s">
        <v>9</v>
      </c>
      <c r="D1458" t="s">
        <v>10</v>
      </c>
      <c r="E1458" t="s">
        <v>6</v>
      </c>
      <c r="F1458" t="s">
        <v>11</v>
      </c>
      <c r="G1458" t="s">
        <v>17</v>
      </c>
      <c r="H1458" s="1">
        <v>3</v>
      </c>
      <c r="I1458" s="1">
        <v>5689</v>
      </c>
      <c r="J1458" t="s">
        <v>4</v>
      </c>
      <c r="K1458" s="1">
        <v>14</v>
      </c>
      <c r="L1458" s="1">
        <v>3</v>
      </c>
      <c r="M1458" s="1">
        <v>10</v>
      </c>
      <c r="N1458" s="1">
        <v>4</v>
      </c>
      <c r="O1458" s="1">
        <v>10</v>
      </c>
      <c r="P1458" s="1">
        <f>COUNTIF(HR_Data[Employee Number],HR_Data[[#This Row],[Employee Number]])</f>
        <v>1</v>
      </c>
      <c r="Q1458" s="1" t="str">
        <f>IF(HR_Data[[#This Row],[Years At Company]]&lt;=HR_Data[[#This Row],[Total Working Years]],"Valid","error")</f>
        <v>Valid</v>
      </c>
      <c r="R1458" s="1" t="str" cm="1">
        <f t="array" ref="R1458">_xlfn.IFS(HR_Data[[#This Row],[Age]]&lt;=30,"Young", HR_Data[[#This Row],[Age]]&lt;=45,"Mid-Age",HR_Data[[#This Row],[Age]]&gt;45,"Senior")</f>
        <v>Mid-Age</v>
      </c>
      <c r="S1458" s="1" t="str" cm="1">
        <f t="array" ref="S1458">_xlfn.IFS(HR_Data[[#This Row],[Monthly Income]]&lt;5000,"Low", HR_Data[[#This Row],[Monthly Income]]&lt;10000,"Medium",TRUE,"High")</f>
        <v>Medium</v>
      </c>
      <c r="T1458" s="1" t="str" cm="1">
        <f t="array" ref="T1458">_xlfn.IFS(HR_Data[[#This Row],[Total Working Years]]&lt;=5,"Junior", HR_Data[[#This Row],[Total Working Years]]&lt;=15,"Mid-Level", TRUE, "Senior")</f>
        <v>Mid-Level</v>
      </c>
    </row>
    <row r="1459" spans="1:20" x14ac:dyDescent="0.25">
      <c r="A1459" s="1">
        <v>2051</v>
      </c>
      <c r="B1459" s="1">
        <v>40</v>
      </c>
      <c r="C1459" t="s">
        <v>9</v>
      </c>
      <c r="D1459" t="s">
        <v>10</v>
      </c>
      <c r="E1459" t="s">
        <v>15</v>
      </c>
      <c r="F1459" t="s">
        <v>7</v>
      </c>
      <c r="G1459" t="s">
        <v>12</v>
      </c>
      <c r="H1459" s="1">
        <v>3</v>
      </c>
      <c r="I1459" s="1">
        <v>2001</v>
      </c>
      <c r="J1459" t="s">
        <v>9</v>
      </c>
      <c r="K1459" s="1">
        <v>14</v>
      </c>
      <c r="L1459" s="1">
        <v>3</v>
      </c>
      <c r="M1459" s="1">
        <v>20</v>
      </c>
      <c r="N1459" s="1">
        <v>3</v>
      </c>
      <c r="O1459" s="1">
        <v>5</v>
      </c>
      <c r="P1459" s="1">
        <f>COUNTIF(HR_Data[Employee Number],HR_Data[[#This Row],[Employee Number]])</f>
        <v>1</v>
      </c>
      <c r="Q1459" s="1" t="str">
        <f>IF(HR_Data[[#This Row],[Years At Company]]&lt;=HR_Data[[#This Row],[Total Working Years]],"Valid","error")</f>
        <v>Valid</v>
      </c>
      <c r="R1459" s="1" t="str" cm="1">
        <f t="array" ref="R1459">_xlfn.IFS(HR_Data[[#This Row],[Age]]&lt;=30,"Young", HR_Data[[#This Row],[Age]]&lt;=45,"Mid-Age",HR_Data[[#This Row],[Age]]&gt;45,"Senior")</f>
        <v>Mid-Age</v>
      </c>
      <c r="S1459" s="1" t="str" cm="1">
        <f t="array" ref="S1459">_xlfn.IFS(HR_Data[[#This Row],[Monthly Income]]&lt;5000,"Low", HR_Data[[#This Row],[Monthly Income]]&lt;10000,"Medium",TRUE,"High")</f>
        <v>Low</v>
      </c>
      <c r="T1459" s="1" t="str" cm="1">
        <f t="array" ref="T1459">_xlfn.IFS(HR_Data[[#This Row],[Total Working Years]]&lt;=5,"Junior", HR_Data[[#This Row],[Total Working Years]]&lt;=15,"Mid-Level", TRUE, "Senior")</f>
        <v>Senior</v>
      </c>
    </row>
    <row r="1460" spans="1:20" x14ac:dyDescent="0.25">
      <c r="A1460" s="1">
        <v>2052</v>
      </c>
      <c r="B1460" s="1">
        <v>35</v>
      </c>
      <c r="C1460" t="s">
        <v>9</v>
      </c>
      <c r="D1460" t="s">
        <v>10</v>
      </c>
      <c r="E1460" t="s">
        <v>6</v>
      </c>
      <c r="F1460" t="s">
        <v>7</v>
      </c>
      <c r="G1460" t="s">
        <v>12</v>
      </c>
      <c r="H1460" s="1">
        <v>4</v>
      </c>
      <c r="I1460" s="1">
        <v>2977</v>
      </c>
      <c r="J1460" t="s">
        <v>9</v>
      </c>
      <c r="K1460" s="1">
        <v>12</v>
      </c>
      <c r="L1460" s="1">
        <v>3</v>
      </c>
      <c r="M1460" s="1">
        <v>4</v>
      </c>
      <c r="N1460" s="1">
        <v>3</v>
      </c>
      <c r="O1460" s="1">
        <v>4</v>
      </c>
      <c r="P1460" s="1">
        <f>COUNTIF(HR_Data[Employee Number],HR_Data[[#This Row],[Employee Number]])</f>
        <v>1</v>
      </c>
      <c r="Q1460" s="1" t="str">
        <f>IF(HR_Data[[#This Row],[Years At Company]]&lt;=HR_Data[[#This Row],[Total Working Years]],"Valid","error")</f>
        <v>Valid</v>
      </c>
      <c r="R1460" s="1" t="str" cm="1">
        <f t="array" ref="R1460">_xlfn.IFS(HR_Data[[#This Row],[Age]]&lt;=30,"Young", HR_Data[[#This Row],[Age]]&lt;=45,"Mid-Age",HR_Data[[#This Row],[Age]]&gt;45,"Senior")</f>
        <v>Mid-Age</v>
      </c>
      <c r="S1460" s="1" t="str" cm="1">
        <f t="array" ref="S1460">_xlfn.IFS(HR_Data[[#This Row],[Monthly Income]]&lt;5000,"Low", HR_Data[[#This Row],[Monthly Income]]&lt;10000,"Medium",TRUE,"High")</f>
        <v>Low</v>
      </c>
      <c r="T1460" s="1" t="str" cm="1">
        <f t="array" ref="T1460">_xlfn.IFS(HR_Data[[#This Row],[Total Working Years]]&lt;=5,"Junior", HR_Data[[#This Row],[Total Working Years]]&lt;=15,"Mid-Level", TRUE, "Senior")</f>
        <v>Junior</v>
      </c>
    </row>
    <row r="1461" spans="1:20" x14ac:dyDescent="0.25">
      <c r="A1461" s="1">
        <v>2053</v>
      </c>
      <c r="B1461" s="1">
        <v>29</v>
      </c>
      <c r="C1461" t="s">
        <v>9</v>
      </c>
      <c r="D1461" t="s">
        <v>10</v>
      </c>
      <c r="E1461" t="s">
        <v>13</v>
      </c>
      <c r="F1461" t="s">
        <v>11</v>
      </c>
      <c r="G1461" t="s">
        <v>14</v>
      </c>
      <c r="H1461" s="1">
        <v>2</v>
      </c>
      <c r="I1461" s="1">
        <v>4025</v>
      </c>
      <c r="J1461" t="s">
        <v>4</v>
      </c>
      <c r="K1461" s="1">
        <v>13</v>
      </c>
      <c r="L1461" s="1">
        <v>3</v>
      </c>
      <c r="M1461" s="1">
        <v>10</v>
      </c>
      <c r="N1461" s="1">
        <v>3</v>
      </c>
      <c r="O1461" s="1">
        <v>4</v>
      </c>
      <c r="P1461" s="1">
        <f>COUNTIF(HR_Data[Employee Number],HR_Data[[#This Row],[Employee Number]])</f>
        <v>1</v>
      </c>
      <c r="Q1461" s="1" t="str">
        <f>IF(HR_Data[[#This Row],[Years At Company]]&lt;=HR_Data[[#This Row],[Total Working Years]],"Valid","error")</f>
        <v>Valid</v>
      </c>
      <c r="R1461" s="1" t="str" cm="1">
        <f t="array" ref="R1461">_xlfn.IFS(HR_Data[[#This Row],[Age]]&lt;=30,"Young", HR_Data[[#This Row],[Age]]&lt;=45,"Mid-Age",HR_Data[[#This Row],[Age]]&gt;45,"Senior")</f>
        <v>Young</v>
      </c>
      <c r="S1461" s="1" t="str" cm="1">
        <f t="array" ref="S1461">_xlfn.IFS(HR_Data[[#This Row],[Monthly Income]]&lt;5000,"Low", HR_Data[[#This Row],[Monthly Income]]&lt;10000,"Medium",TRUE,"High")</f>
        <v>Low</v>
      </c>
      <c r="T1461" s="1" t="str" cm="1">
        <f t="array" ref="T1461">_xlfn.IFS(HR_Data[[#This Row],[Total Working Years]]&lt;=5,"Junior", HR_Data[[#This Row],[Total Working Years]]&lt;=15,"Mid-Level", TRUE, "Senior")</f>
        <v>Mid-Level</v>
      </c>
    </row>
    <row r="1462" spans="1:20" x14ac:dyDescent="0.25">
      <c r="A1462" s="1">
        <v>2054</v>
      </c>
      <c r="B1462" s="1">
        <v>29</v>
      </c>
      <c r="C1462" t="s">
        <v>9</v>
      </c>
      <c r="D1462" t="s">
        <v>10</v>
      </c>
      <c r="E1462" t="s">
        <v>15</v>
      </c>
      <c r="F1462" t="s">
        <v>7</v>
      </c>
      <c r="G1462" t="s">
        <v>12</v>
      </c>
      <c r="H1462" s="1">
        <v>1</v>
      </c>
      <c r="I1462" s="1">
        <v>3785</v>
      </c>
      <c r="J1462" t="s">
        <v>9</v>
      </c>
      <c r="K1462" s="1">
        <v>14</v>
      </c>
      <c r="L1462" s="1">
        <v>3</v>
      </c>
      <c r="M1462" s="1">
        <v>5</v>
      </c>
      <c r="N1462" s="1">
        <v>1</v>
      </c>
      <c r="O1462" s="1">
        <v>5</v>
      </c>
      <c r="P1462" s="1">
        <f>COUNTIF(HR_Data[Employee Number],HR_Data[[#This Row],[Employee Number]])</f>
        <v>1</v>
      </c>
      <c r="Q1462" s="1" t="str">
        <f>IF(HR_Data[[#This Row],[Years At Company]]&lt;=HR_Data[[#This Row],[Total Working Years]],"Valid","error")</f>
        <v>Valid</v>
      </c>
      <c r="R1462" s="1" t="str" cm="1">
        <f t="array" ref="R1462">_xlfn.IFS(HR_Data[[#This Row],[Age]]&lt;=30,"Young", HR_Data[[#This Row],[Age]]&lt;=45,"Mid-Age",HR_Data[[#This Row],[Age]]&gt;45,"Senior")</f>
        <v>Young</v>
      </c>
      <c r="S1462" s="1" t="str" cm="1">
        <f t="array" ref="S1462">_xlfn.IFS(HR_Data[[#This Row],[Monthly Income]]&lt;5000,"Low", HR_Data[[#This Row],[Monthly Income]]&lt;10000,"Medium",TRUE,"High")</f>
        <v>Low</v>
      </c>
      <c r="T1462" s="1" t="str" cm="1">
        <f t="array" ref="T1462">_xlfn.IFS(HR_Data[[#This Row],[Total Working Years]]&lt;=5,"Junior", HR_Data[[#This Row],[Total Working Years]]&lt;=15,"Mid-Level", TRUE, "Senior")</f>
        <v>Junior</v>
      </c>
    </row>
    <row r="1463" spans="1:20" x14ac:dyDescent="0.25">
      <c r="A1463" s="1">
        <v>2055</v>
      </c>
      <c r="B1463" s="1">
        <v>50</v>
      </c>
      <c r="C1463" t="s">
        <v>4</v>
      </c>
      <c r="D1463" t="s">
        <v>5</v>
      </c>
      <c r="E1463" t="s">
        <v>21</v>
      </c>
      <c r="F1463" t="s">
        <v>11</v>
      </c>
      <c r="G1463" t="s">
        <v>8</v>
      </c>
      <c r="H1463" s="1">
        <v>1</v>
      </c>
      <c r="I1463" s="1">
        <v>10854</v>
      </c>
      <c r="J1463" t="s">
        <v>4</v>
      </c>
      <c r="K1463" s="1">
        <v>13</v>
      </c>
      <c r="L1463" s="1">
        <v>3</v>
      </c>
      <c r="M1463" s="1">
        <v>20</v>
      </c>
      <c r="N1463" s="1">
        <v>3</v>
      </c>
      <c r="O1463" s="1">
        <v>3</v>
      </c>
      <c r="P1463" s="1">
        <f>COUNTIF(HR_Data[Employee Number],HR_Data[[#This Row],[Employee Number]])</f>
        <v>1</v>
      </c>
      <c r="Q1463" s="1" t="str">
        <f>IF(HR_Data[[#This Row],[Years At Company]]&lt;=HR_Data[[#This Row],[Total Working Years]],"Valid","error")</f>
        <v>Valid</v>
      </c>
      <c r="R1463" s="1" t="str" cm="1">
        <f t="array" ref="R1463">_xlfn.IFS(HR_Data[[#This Row],[Age]]&lt;=30,"Young", HR_Data[[#This Row],[Age]]&lt;=45,"Mid-Age",HR_Data[[#This Row],[Age]]&gt;45,"Senior")</f>
        <v>Senior</v>
      </c>
      <c r="S1463" s="1" t="str" cm="1">
        <f t="array" ref="S1463">_xlfn.IFS(HR_Data[[#This Row],[Monthly Income]]&lt;5000,"Low", HR_Data[[#This Row],[Monthly Income]]&lt;10000,"Medium",TRUE,"High")</f>
        <v>High</v>
      </c>
      <c r="T1463" s="1" t="str" cm="1">
        <f t="array" ref="T1463">_xlfn.IFS(HR_Data[[#This Row],[Total Working Years]]&lt;=5,"Junior", HR_Data[[#This Row],[Total Working Years]]&lt;=15,"Mid-Level", TRUE, "Senior")</f>
        <v>Senior</v>
      </c>
    </row>
    <row r="1464" spans="1:20" x14ac:dyDescent="0.25">
      <c r="A1464" s="1">
        <v>2056</v>
      </c>
      <c r="B1464" s="1">
        <v>39</v>
      </c>
      <c r="C1464" t="s">
        <v>9</v>
      </c>
      <c r="D1464" t="s">
        <v>5</v>
      </c>
      <c r="E1464" t="s">
        <v>21</v>
      </c>
      <c r="F1464" t="s">
        <v>7</v>
      </c>
      <c r="G1464" t="s">
        <v>8</v>
      </c>
      <c r="H1464" s="1">
        <v>4</v>
      </c>
      <c r="I1464" s="1">
        <v>12031</v>
      </c>
      <c r="J1464" t="s">
        <v>9</v>
      </c>
      <c r="K1464" s="1">
        <v>11</v>
      </c>
      <c r="L1464" s="1">
        <v>3</v>
      </c>
      <c r="M1464" s="1">
        <v>21</v>
      </c>
      <c r="N1464" s="1">
        <v>2</v>
      </c>
      <c r="O1464" s="1">
        <v>20</v>
      </c>
      <c r="P1464" s="1">
        <f>COUNTIF(HR_Data[Employee Number],HR_Data[[#This Row],[Employee Number]])</f>
        <v>1</v>
      </c>
      <c r="Q1464" s="1" t="str">
        <f>IF(HR_Data[[#This Row],[Years At Company]]&lt;=HR_Data[[#This Row],[Total Working Years]],"Valid","error")</f>
        <v>Valid</v>
      </c>
      <c r="R1464" s="1" t="str" cm="1">
        <f t="array" ref="R1464">_xlfn.IFS(HR_Data[[#This Row],[Age]]&lt;=30,"Young", HR_Data[[#This Row],[Age]]&lt;=45,"Mid-Age",HR_Data[[#This Row],[Age]]&gt;45,"Senior")</f>
        <v>Mid-Age</v>
      </c>
      <c r="S1464" s="1" t="str" cm="1">
        <f t="array" ref="S1464">_xlfn.IFS(HR_Data[[#This Row],[Monthly Income]]&lt;5000,"Low", HR_Data[[#This Row],[Monthly Income]]&lt;10000,"Medium",TRUE,"High")</f>
        <v>High</v>
      </c>
      <c r="T1464" s="1" t="str" cm="1">
        <f t="array" ref="T1464">_xlfn.IFS(HR_Data[[#This Row],[Total Working Years]]&lt;=5,"Junior", HR_Data[[#This Row],[Total Working Years]]&lt;=15,"Mid-Level", TRUE, "Senior")</f>
        <v>Senior</v>
      </c>
    </row>
    <row r="1465" spans="1:20" x14ac:dyDescent="0.25">
      <c r="A1465" s="1">
        <v>2057</v>
      </c>
      <c r="B1465" s="1">
        <v>31</v>
      </c>
      <c r="C1465" t="s">
        <v>9</v>
      </c>
      <c r="D1465" t="s">
        <v>10</v>
      </c>
      <c r="E1465" t="s">
        <v>15</v>
      </c>
      <c r="F1465" t="s">
        <v>11</v>
      </c>
      <c r="G1465" t="s">
        <v>16</v>
      </c>
      <c r="H1465" s="1">
        <v>1</v>
      </c>
      <c r="I1465" s="1">
        <v>9936</v>
      </c>
      <c r="J1465" t="s">
        <v>9</v>
      </c>
      <c r="K1465" s="1">
        <v>19</v>
      </c>
      <c r="L1465" s="1">
        <v>3</v>
      </c>
      <c r="M1465" s="1">
        <v>10</v>
      </c>
      <c r="N1465" s="1">
        <v>3</v>
      </c>
      <c r="O1465" s="1">
        <v>9</v>
      </c>
      <c r="P1465" s="1">
        <f>COUNTIF(HR_Data[Employee Number],HR_Data[[#This Row],[Employee Number]])</f>
        <v>1</v>
      </c>
      <c r="Q1465" s="1" t="str">
        <f>IF(HR_Data[[#This Row],[Years At Company]]&lt;=HR_Data[[#This Row],[Total Working Years]],"Valid","error")</f>
        <v>Valid</v>
      </c>
      <c r="R1465" s="1" t="str" cm="1">
        <f t="array" ref="R1465">_xlfn.IFS(HR_Data[[#This Row],[Age]]&lt;=30,"Young", HR_Data[[#This Row],[Age]]&lt;=45,"Mid-Age",HR_Data[[#This Row],[Age]]&gt;45,"Senior")</f>
        <v>Mid-Age</v>
      </c>
      <c r="S1465" s="1" t="str" cm="1">
        <f t="array" ref="S1465">_xlfn.IFS(HR_Data[[#This Row],[Monthly Income]]&lt;5000,"Low", HR_Data[[#This Row],[Monthly Income]]&lt;10000,"Medium",TRUE,"High")</f>
        <v>Medium</v>
      </c>
      <c r="T1465" s="1" t="str" cm="1">
        <f t="array" ref="T1465">_xlfn.IFS(HR_Data[[#This Row],[Total Working Years]]&lt;=5,"Junior", HR_Data[[#This Row],[Total Working Years]]&lt;=15,"Mid-Level", TRUE, "Senior")</f>
        <v>Mid-Level</v>
      </c>
    </row>
    <row r="1466" spans="1:20" x14ac:dyDescent="0.25">
      <c r="A1466" s="1">
        <v>2060</v>
      </c>
      <c r="B1466" s="1">
        <v>26</v>
      </c>
      <c r="C1466" t="s">
        <v>9</v>
      </c>
      <c r="D1466" t="s">
        <v>5</v>
      </c>
      <c r="E1466" t="s">
        <v>13</v>
      </c>
      <c r="F1466" t="s">
        <v>7</v>
      </c>
      <c r="G1466" t="s">
        <v>19</v>
      </c>
      <c r="H1466" s="1">
        <v>3</v>
      </c>
      <c r="I1466" s="1">
        <v>2966</v>
      </c>
      <c r="J1466" t="s">
        <v>9</v>
      </c>
      <c r="K1466" s="1">
        <v>18</v>
      </c>
      <c r="L1466" s="1">
        <v>3</v>
      </c>
      <c r="M1466" s="1">
        <v>5</v>
      </c>
      <c r="N1466" s="1">
        <v>3</v>
      </c>
      <c r="O1466" s="1">
        <v>4</v>
      </c>
      <c r="P1466" s="1">
        <f>COUNTIF(HR_Data[Employee Number],HR_Data[[#This Row],[Employee Number]])</f>
        <v>1</v>
      </c>
      <c r="Q1466" s="1" t="str">
        <f>IF(HR_Data[[#This Row],[Years At Company]]&lt;=HR_Data[[#This Row],[Total Working Years]],"Valid","error")</f>
        <v>Valid</v>
      </c>
      <c r="R1466" s="1" t="str" cm="1">
        <f t="array" ref="R1466">_xlfn.IFS(HR_Data[[#This Row],[Age]]&lt;=30,"Young", HR_Data[[#This Row],[Age]]&lt;=45,"Mid-Age",HR_Data[[#This Row],[Age]]&gt;45,"Senior")</f>
        <v>Young</v>
      </c>
      <c r="S1466" s="1" t="str" cm="1">
        <f t="array" ref="S1466">_xlfn.IFS(HR_Data[[#This Row],[Monthly Income]]&lt;5000,"Low", HR_Data[[#This Row],[Monthly Income]]&lt;10000,"Medium",TRUE,"High")</f>
        <v>Low</v>
      </c>
      <c r="T1466" s="1" t="str" cm="1">
        <f t="array" ref="T1466">_xlfn.IFS(HR_Data[[#This Row],[Total Working Years]]&lt;=5,"Junior", HR_Data[[#This Row],[Total Working Years]]&lt;=15,"Mid-Level", TRUE, "Senior")</f>
        <v>Junior</v>
      </c>
    </row>
    <row r="1467" spans="1:20" x14ac:dyDescent="0.25">
      <c r="A1467" s="1">
        <v>2061</v>
      </c>
      <c r="B1467" s="1">
        <v>36</v>
      </c>
      <c r="C1467" t="s">
        <v>9</v>
      </c>
      <c r="D1467" t="s">
        <v>10</v>
      </c>
      <c r="E1467" t="s">
        <v>15</v>
      </c>
      <c r="F1467" t="s">
        <v>11</v>
      </c>
      <c r="G1467" t="s">
        <v>14</v>
      </c>
      <c r="H1467" s="1">
        <v>4</v>
      </c>
      <c r="I1467" s="1">
        <v>2571</v>
      </c>
      <c r="J1467" t="s">
        <v>9</v>
      </c>
      <c r="K1467" s="1">
        <v>17</v>
      </c>
      <c r="L1467" s="1">
        <v>3</v>
      </c>
      <c r="M1467" s="1">
        <v>17</v>
      </c>
      <c r="N1467" s="1">
        <v>3</v>
      </c>
      <c r="O1467" s="1">
        <v>5</v>
      </c>
      <c r="P1467" s="1">
        <f>COUNTIF(HR_Data[Employee Number],HR_Data[[#This Row],[Employee Number]])</f>
        <v>1</v>
      </c>
      <c r="Q1467" s="1" t="str">
        <f>IF(HR_Data[[#This Row],[Years At Company]]&lt;=HR_Data[[#This Row],[Total Working Years]],"Valid","error")</f>
        <v>Valid</v>
      </c>
      <c r="R1467" s="1" t="str" cm="1">
        <f t="array" ref="R1467">_xlfn.IFS(HR_Data[[#This Row],[Age]]&lt;=30,"Young", HR_Data[[#This Row],[Age]]&lt;=45,"Mid-Age",HR_Data[[#This Row],[Age]]&gt;45,"Senior")</f>
        <v>Mid-Age</v>
      </c>
      <c r="S1467" s="1" t="str" cm="1">
        <f t="array" ref="S1467">_xlfn.IFS(HR_Data[[#This Row],[Monthly Income]]&lt;5000,"Low", HR_Data[[#This Row],[Monthly Income]]&lt;10000,"Medium",TRUE,"High")</f>
        <v>Low</v>
      </c>
      <c r="T1467" s="1" t="str" cm="1">
        <f t="array" ref="T1467">_xlfn.IFS(HR_Data[[#This Row],[Total Working Years]]&lt;=5,"Junior", HR_Data[[#This Row],[Total Working Years]]&lt;=15,"Mid-Level", TRUE, "Senior")</f>
        <v>Senior</v>
      </c>
    </row>
    <row r="1468" spans="1:20" x14ac:dyDescent="0.25">
      <c r="A1468" s="1">
        <v>2062</v>
      </c>
      <c r="B1468" s="1">
        <v>39</v>
      </c>
      <c r="C1468" t="s">
        <v>9</v>
      </c>
      <c r="D1468" t="s">
        <v>10</v>
      </c>
      <c r="E1468" t="s">
        <v>15</v>
      </c>
      <c r="F1468" t="s">
        <v>11</v>
      </c>
      <c r="G1468" t="s">
        <v>17</v>
      </c>
      <c r="H1468" s="1">
        <v>1</v>
      </c>
      <c r="I1468" s="1">
        <v>9991</v>
      </c>
      <c r="J1468" t="s">
        <v>9</v>
      </c>
      <c r="K1468" s="1">
        <v>15</v>
      </c>
      <c r="L1468" s="1">
        <v>3</v>
      </c>
      <c r="M1468" s="1">
        <v>9</v>
      </c>
      <c r="N1468" s="1">
        <v>3</v>
      </c>
      <c r="O1468" s="1">
        <v>7</v>
      </c>
      <c r="P1468" s="1">
        <f>COUNTIF(HR_Data[Employee Number],HR_Data[[#This Row],[Employee Number]])</f>
        <v>1</v>
      </c>
      <c r="Q1468" s="1" t="str">
        <f>IF(HR_Data[[#This Row],[Years At Company]]&lt;=HR_Data[[#This Row],[Total Working Years]],"Valid","error")</f>
        <v>Valid</v>
      </c>
      <c r="R1468" s="1" t="str" cm="1">
        <f t="array" ref="R1468">_xlfn.IFS(HR_Data[[#This Row],[Age]]&lt;=30,"Young", HR_Data[[#This Row],[Age]]&lt;=45,"Mid-Age",HR_Data[[#This Row],[Age]]&gt;45,"Senior")</f>
        <v>Mid-Age</v>
      </c>
      <c r="S1468" s="1" t="str" cm="1">
        <f t="array" ref="S1468">_xlfn.IFS(HR_Data[[#This Row],[Monthly Income]]&lt;5000,"Low", HR_Data[[#This Row],[Monthly Income]]&lt;10000,"Medium",TRUE,"High")</f>
        <v>Medium</v>
      </c>
      <c r="T1468" s="1" t="str" cm="1">
        <f t="array" ref="T1468">_xlfn.IFS(HR_Data[[#This Row],[Total Working Years]]&lt;=5,"Junior", HR_Data[[#This Row],[Total Working Years]]&lt;=15,"Mid-Level", TRUE, "Senior")</f>
        <v>Mid-Level</v>
      </c>
    </row>
    <row r="1469" spans="1:20" x14ac:dyDescent="0.25">
      <c r="A1469" s="1">
        <v>2064</v>
      </c>
      <c r="B1469" s="1">
        <v>27</v>
      </c>
      <c r="C1469" t="s">
        <v>9</v>
      </c>
      <c r="D1469" t="s">
        <v>10</v>
      </c>
      <c r="E1469" t="s">
        <v>6</v>
      </c>
      <c r="F1469" t="s">
        <v>11</v>
      </c>
      <c r="G1469" t="s">
        <v>16</v>
      </c>
      <c r="H1469" s="1">
        <v>2</v>
      </c>
      <c r="I1469" s="1">
        <v>6142</v>
      </c>
      <c r="J1469" t="s">
        <v>4</v>
      </c>
      <c r="K1469" s="1">
        <v>20</v>
      </c>
      <c r="L1469" s="1">
        <v>4</v>
      </c>
      <c r="M1469" s="1">
        <v>6</v>
      </c>
      <c r="N1469" s="1">
        <v>3</v>
      </c>
      <c r="O1469" s="1">
        <v>6</v>
      </c>
      <c r="P1469" s="1">
        <f>COUNTIF(HR_Data[Employee Number],HR_Data[[#This Row],[Employee Number]])</f>
        <v>1</v>
      </c>
      <c r="Q1469" s="1" t="str">
        <f>IF(HR_Data[[#This Row],[Years At Company]]&lt;=HR_Data[[#This Row],[Total Working Years]],"Valid","error")</f>
        <v>Valid</v>
      </c>
      <c r="R1469" s="1" t="str" cm="1">
        <f t="array" ref="R1469">_xlfn.IFS(HR_Data[[#This Row],[Age]]&lt;=30,"Young", HR_Data[[#This Row],[Age]]&lt;=45,"Mid-Age",HR_Data[[#This Row],[Age]]&gt;45,"Senior")</f>
        <v>Young</v>
      </c>
      <c r="S1469" s="1" t="str" cm="1">
        <f t="array" ref="S1469">_xlfn.IFS(HR_Data[[#This Row],[Monthly Income]]&lt;5000,"Low", HR_Data[[#This Row],[Monthly Income]]&lt;10000,"Medium",TRUE,"High")</f>
        <v>Medium</v>
      </c>
      <c r="T1469" s="1" t="str" cm="1">
        <f t="array" ref="T1469">_xlfn.IFS(HR_Data[[#This Row],[Total Working Years]]&lt;=5,"Junior", HR_Data[[#This Row],[Total Working Years]]&lt;=15,"Mid-Level", TRUE, "Senior")</f>
        <v>Mid-Level</v>
      </c>
    </row>
    <row r="1470" spans="1:20" x14ac:dyDescent="0.25">
      <c r="A1470" s="1">
        <v>2065</v>
      </c>
      <c r="B1470" s="1">
        <v>49</v>
      </c>
      <c r="C1470" t="s">
        <v>9</v>
      </c>
      <c r="D1470" t="s">
        <v>5</v>
      </c>
      <c r="E1470" t="s">
        <v>15</v>
      </c>
      <c r="F1470" t="s">
        <v>11</v>
      </c>
      <c r="G1470" t="s">
        <v>8</v>
      </c>
      <c r="H1470" s="1">
        <v>2</v>
      </c>
      <c r="I1470" s="1">
        <v>5390</v>
      </c>
      <c r="J1470" t="s">
        <v>9</v>
      </c>
      <c r="K1470" s="1">
        <v>14</v>
      </c>
      <c r="L1470" s="1">
        <v>3</v>
      </c>
      <c r="M1470" s="1">
        <v>17</v>
      </c>
      <c r="N1470" s="1">
        <v>2</v>
      </c>
      <c r="O1470" s="1">
        <v>9</v>
      </c>
      <c r="P1470" s="1">
        <f>COUNTIF(HR_Data[Employee Number],HR_Data[[#This Row],[Employee Number]])</f>
        <v>1</v>
      </c>
      <c r="Q1470" s="1" t="str">
        <f>IF(HR_Data[[#This Row],[Years At Company]]&lt;=HR_Data[[#This Row],[Total Working Years]],"Valid","error")</f>
        <v>Valid</v>
      </c>
      <c r="R1470" s="1" t="str" cm="1">
        <f t="array" ref="R1470">_xlfn.IFS(HR_Data[[#This Row],[Age]]&lt;=30,"Young", HR_Data[[#This Row],[Age]]&lt;=45,"Mid-Age",HR_Data[[#This Row],[Age]]&gt;45,"Senior")</f>
        <v>Senior</v>
      </c>
      <c r="S1470" s="1" t="str" cm="1">
        <f t="array" ref="S1470">_xlfn.IFS(HR_Data[[#This Row],[Monthly Income]]&lt;5000,"Low", HR_Data[[#This Row],[Monthly Income]]&lt;10000,"Medium",TRUE,"High")</f>
        <v>Medium</v>
      </c>
      <c r="T1470" s="1" t="str" cm="1">
        <f t="array" ref="T1470">_xlfn.IFS(HR_Data[[#This Row],[Total Working Years]]&lt;=5,"Junior", HR_Data[[#This Row],[Total Working Years]]&lt;=15,"Mid-Level", TRUE, "Senior")</f>
        <v>Senior</v>
      </c>
    </row>
    <row r="1471" spans="1:20" x14ac:dyDescent="0.25">
      <c r="A1471" s="1">
        <v>2068</v>
      </c>
      <c r="B1471" s="1">
        <v>34</v>
      </c>
      <c r="C1471" t="s">
        <v>9</v>
      </c>
      <c r="D1471" t="s">
        <v>10</v>
      </c>
      <c r="E1471" t="s">
        <v>15</v>
      </c>
      <c r="F1471" t="s">
        <v>11</v>
      </c>
      <c r="G1471" t="s">
        <v>14</v>
      </c>
      <c r="H1471" s="1">
        <v>3</v>
      </c>
      <c r="I1471" s="1">
        <v>4404</v>
      </c>
      <c r="J1471" t="s">
        <v>9</v>
      </c>
      <c r="K1471" s="1">
        <v>12</v>
      </c>
      <c r="L1471" s="1">
        <v>3</v>
      </c>
      <c r="M1471" s="1">
        <v>6</v>
      </c>
      <c r="N1471" s="1">
        <v>4</v>
      </c>
      <c r="O1471" s="1">
        <v>4</v>
      </c>
      <c r="P1471" s="1">
        <f>COUNTIF(HR_Data[Employee Number],HR_Data[[#This Row],[Employee Number]])</f>
        <v>1</v>
      </c>
      <c r="Q1471" s="1" t="str">
        <f>IF(HR_Data[[#This Row],[Years At Company]]&lt;=HR_Data[[#This Row],[Total Working Years]],"Valid","error")</f>
        <v>Valid</v>
      </c>
      <c r="R1471" s="1" t="str" cm="1">
        <f t="array" ref="R1471">_xlfn.IFS(HR_Data[[#This Row],[Age]]&lt;=30,"Young", HR_Data[[#This Row],[Age]]&lt;=45,"Mid-Age",HR_Data[[#This Row],[Age]]&gt;45,"Senior")</f>
        <v>Mid-Age</v>
      </c>
      <c r="S1471" s="1" t="str" cm="1">
        <f t="array" ref="S1471">_xlfn.IFS(HR_Data[[#This Row],[Monthly Income]]&lt;5000,"Low", HR_Data[[#This Row],[Monthly Income]]&lt;10000,"Medium",TRUE,"High")</f>
        <v>Low</v>
      </c>
      <c r="T1471" s="1" t="str" cm="1">
        <f t="array" ref="T1471">_xlfn.IFS(HR_Data[[#This Row],[Total Working Years]]&lt;=5,"Junior", HR_Data[[#This Row],[Total Working Years]]&lt;=15,"Mid-Level", TRUE, "Senior")</f>
        <v>Mid-Level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8DD0-5DB5-4377-94DF-92999CB0DBF4}">
  <sheetPr codeName="Sheet2"/>
  <dimension ref="A1:E17"/>
  <sheetViews>
    <sheetView workbookViewId="0">
      <selection activeCell="A16" sqref="A16"/>
    </sheetView>
  </sheetViews>
  <sheetFormatPr defaultRowHeight="15" x14ac:dyDescent="0.25"/>
  <cols>
    <col min="1" max="1" width="27.85546875" style="3" bestFit="1" customWidth="1"/>
    <col min="2" max="2" width="22" style="3" customWidth="1"/>
    <col min="3" max="3" width="9" style="3" bestFit="1" customWidth="1"/>
    <col min="4" max="4" width="21" style="3" customWidth="1"/>
    <col min="5" max="5" width="19.5703125" style="3" bestFit="1" customWidth="1"/>
    <col min="6" max="6" width="19.85546875" style="3" bestFit="1" customWidth="1"/>
    <col min="7" max="7" width="15.85546875" style="3" bestFit="1" customWidth="1"/>
    <col min="8" max="8" width="16.28515625" style="3" bestFit="1" customWidth="1"/>
    <col min="9" max="9" width="19" style="3" bestFit="1" customWidth="1"/>
    <col min="10" max="10" width="19.85546875" style="3" bestFit="1" customWidth="1"/>
    <col min="11" max="11" width="14.28515625" style="3" bestFit="1" customWidth="1"/>
    <col min="12" max="12" width="22" style="3" bestFit="1" customWidth="1"/>
    <col min="13" max="13" width="22.85546875" style="3" bestFit="1" customWidth="1"/>
    <col min="14" max="14" width="22.7109375" style="3" bestFit="1" customWidth="1"/>
    <col min="15" max="15" width="20.7109375" style="3" bestFit="1" customWidth="1"/>
    <col min="16" max="16" width="20.85546875" style="3" bestFit="1" customWidth="1"/>
    <col min="17" max="17" width="15.85546875" style="3" bestFit="1" customWidth="1"/>
    <col min="18" max="16384" width="9.140625" style="3"/>
  </cols>
  <sheetData>
    <row r="1" spans="1:5" x14ac:dyDescent="0.25">
      <c r="A1" s="13" t="s">
        <v>28</v>
      </c>
      <c r="B1" s="13"/>
      <c r="D1" s="13" t="s">
        <v>29</v>
      </c>
      <c r="E1" s="13"/>
    </row>
    <row r="2" spans="1:5" x14ac:dyDescent="0.25">
      <c r="A2" s="13"/>
      <c r="B2" s="13"/>
      <c r="D2" s="13"/>
      <c r="E2" s="13"/>
    </row>
    <row r="3" spans="1:5" x14ac:dyDescent="0.25">
      <c r="A3" s="4" t="s">
        <v>24</v>
      </c>
      <c r="B3" s="7">
        <f>ROWS(HR_Data[Employee Number])</f>
        <v>1470</v>
      </c>
      <c r="D3" s="4" t="s">
        <v>48</v>
      </c>
      <c r="E3" s="7">
        <f>COUNTBLANK(HR_Data[[#Headers],[Employee Number]])</f>
        <v>0</v>
      </c>
    </row>
    <row r="4" spans="1:5" x14ac:dyDescent="0.25">
      <c r="A4" s="4" t="s">
        <v>25</v>
      </c>
      <c r="B4" s="7">
        <f>COLUMNS(HR_Data[[#Headers],[Employee Number]:[Years At Company]])</f>
        <v>15</v>
      </c>
      <c r="D4" s="6" t="s">
        <v>0</v>
      </c>
      <c r="E4" s="7">
        <f>COUNTBLANK(HR_Data[Age])</f>
        <v>0</v>
      </c>
    </row>
    <row r="5" spans="1:5" x14ac:dyDescent="0.25">
      <c r="A5" s="4" t="s">
        <v>71</v>
      </c>
      <c r="B5" s="7">
        <f>COUNTIF(HR_Data[[ Duplicate Check]],"&gt;1")</f>
        <v>0</v>
      </c>
      <c r="D5" s="6" t="s">
        <v>1</v>
      </c>
      <c r="E5" s="7">
        <f>COUNTBLANK(HR_Data[Attrition])</f>
        <v>0</v>
      </c>
    </row>
    <row r="6" spans="1:5" x14ac:dyDescent="0.25">
      <c r="D6" s="6" t="s">
        <v>2</v>
      </c>
      <c r="E6" s="7">
        <f>COUNTBLANK(HR_Data[Department])</f>
        <v>0</v>
      </c>
    </row>
    <row r="7" spans="1:5" x14ac:dyDescent="0.25">
      <c r="A7" s="13" t="s">
        <v>30</v>
      </c>
      <c r="B7" s="13"/>
      <c r="D7" s="6" t="s">
        <v>49</v>
      </c>
      <c r="E7" s="7">
        <f>COUNTBLANK(HR_Data[Education Field])</f>
        <v>0</v>
      </c>
    </row>
    <row r="8" spans="1:5" x14ac:dyDescent="0.25">
      <c r="A8" s="13"/>
      <c r="B8" s="13"/>
      <c r="D8" s="6" t="s">
        <v>3</v>
      </c>
      <c r="E8" s="7">
        <f>COUNTBLANK(HR_Data[Gender])</f>
        <v>0</v>
      </c>
    </row>
    <row r="9" spans="1:5" x14ac:dyDescent="0.25">
      <c r="A9" s="4" t="s">
        <v>31</v>
      </c>
      <c r="B9" s="7">
        <f>MIN(HR_Data[Age])</f>
        <v>18</v>
      </c>
      <c r="D9" s="6" t="s">
        <v>50</v>
      </c>
      <c r="E9" s="7">
        <f>COUNTBLANK(HR_Data[Job Role])</f>
        <v>0</v>
      </c>
    </row>
    <row r="10" spans="1:5" x14ac:dyDescent="0.25">
      <c r="A10" s="4" t="s">
        <v>65</v>
      </c>
      <c r="B10" s="7">
        <f>MAX(HR_Data[Age])</f>
        <v>60</v>
      </c>
      <c r="D10" s="6" t="s">
        <v>51</v>
      </c>
      <c r="E10" s="7">
        <f>COUNTBLANK(HR_Data[Job Satisfaction])</f>
        <v>0</v>
      </c>
    </row>
    <row r="11" spans="1:5" x14ac:dyDescent="0.25">
      <c r="A11" s="4" t="s">
        <v>32</v>
      </c>
      <c r="B11" s="7">
        <f>MIN(HR_Data[Monthly Income])</f>
        <v>1009</v>
      </c>
      <c r="D11" s="6" t="s">
        <v>52</v>
      </c>
      <c r="E11" s="7">
        <f>COUNTBLANK(HR_Data[Monthly Income])</f>
        <v>0</v>
      </c>
    </row>
    <row r="12" spans="1:5" x14ac:dyDescent="0.25">
      <c r="A12" s="4" t="s">
        <v>33</v>
      </c>
      <c r="B12" s="7">
        <f>MAX(HR_Data[Monthly Income])</f>
        <v>19999</v>
      </c>
      <c r="D12" s="6" t="s">
        <v>53</v>
      </c>
      <c r="E12" s="7">
        <f>COUNTBLANK(HR_Data[Over Time])</f>
        <v>0</v>
      </c>
    </row>
    <row r="13" spans="1:5" x14ac:dyDescent="0.25">
      <c r="A13" s="4" t="s">
        <v>64</v>
      </c>
      <c r="B13" s="7">
        <f>COUNTIF(HR_Data[Validation Flag],"Error")</f>
        <v>0</v>
      </c>
      <c r="D13" s="6" t="s">
        <v>54</v>
      </c>
      <c r="E13" s="7">
        <f>COUNTBLANK(HR_Data[Percent Salary Hike])</f>
        <v>0</v>
      </c>
    </row>
    <row r="14" spans="1:5" x14ac:dyDescent="0.25">
      <c r="D14" s="6" t="s">
        <v>55</v>
      </c>
      <c r="E14" s="7">
        <f>COUNTBLANK(HR_Data[Performance Rating])</f>
        <v>0</v>
      </c>
    </row>
    <row r="15" spans="1:5" x14ac:dyDescent="0.25">
      <c r="D15" s="6" t="s">
        <v>56</v>
      </c>
      <c r="E15" s="7">
        <f>COUNTBLANK(HR_Data[Total Working Years])</f>
        <v>0</v>
      </c>
    </row>
    <row r="16" spans="1:5" x14ac:dyDescent="0.25">
      <c r="D16" s="6" t="s">
        <v>62</v>
      </c>
      <c r="E16" s="7">
        <f>COUNTBLANK(HR_Data[Work-Life Balance])</f>
        <v>0</v>
      </c>
    </row>
    <row r="17" spans="4:5" x14ac:dyDescent="0.25">
      <c r="D17" s="6" t="s">
        <v>57</v>
      </c>
      <c r="E17" s="7">
        <f>COUNTBLANK(HR_Data[Years At Company])</f>
        <v>0</v>
      </c>
    </row>
  </sheetData>
  <mergeCells count="3">
    <mergeCell ref="D1:E2"/>
    <mergeCell ref="A1:B2"/>
    <mergeCell ref="A7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5FBB-200D-4161-9075-61863AA5FC1D}">
  <sheetPr codeName="Sheet3"/>
  <dimension ref="A1:K18"/>
  <sheetViews>
    <sheetView showGridLines="0" workbookViewId="0">
      <selection activeCell="B19" sqref="B19"/>
    </sheetView>
  </sheetViews>
  <sheetFormatPr defaultRowHeight="15" x14ac:dyDescent="0.25"/>
  <cols>
    <col min="1" max="1" width="26.140625" bestFit="1" customWidth="1"/>
    <col min="2" max="2" width="16.28515625" bestFit="1" customWidth="1"/>
    <col min="3" max="3" width="14.28515625" customWidth="1"/>
    <col min="4" max="4" width="3" customWidth="1"/>
    <col min="5" max="5" width="26.140625" bestFit="1" customWidth="1"/>
    <col min="6" max="6" width="16.28515625" bestFit="1" customWidth="1"/>
    <col min="7" max="7" width="15.140625" bestFit="1" customWidth="1"/>
    <col min="8" max="8" width="3" customWidth="1"/>
    <col min="9" max="9" width="26.140625" bestFit="1" customWidth="1"/>
    <col min="10" max="10" width="23.5703125" bestFit="1" customWidth="1"/>
    <col min="11" max="11" width="22.85546875" bestFit="1" customWidth="1"/>
    <col min="12" max="12" width="11.28515625" bestFit="1" customWidth="1"/>
  </cols>
  <sheetData>
    <row r="1" spans="1:11" x14ac:dyDescent="0.25">
      <c r="A1" s="14" t="s">
        <v>38</v>
      </c>
      <c r="B1" s="14"/>
      <c r="E1" s="14" t="s">
        <v>39</v>
      </c>
      <c r="F1" s="14"/>
      <c r="I1" s="14" t="s">
        <v>40</v>
      </c>
      <c r="J1" s="14"/>
    </row>
    <row r="2" spans="1:11" x14ac:dyDescent="0.25">
      <c r="A2" s="14"/>
      <c r="B2" s="14"/>
      <c r="E2" s="14"/>
      <c r="F2" s="14"/>
      <c r="I2" s="14"/>
      <c r="J2" s="14"/>
    </row>
    <row r="3" spans="1:11" x14ac:dyDescent="0.25">
      <c r="A3" s="2" t="s">
        <v>67</v>
      </c>
      <c r="B3" s="2" t="s">
        <v>37</v>
      </c>
      <c r="E3" s="2" t="s">
        <v>67</v>
      </c>
      <c r="F3" s="2" t="s">
        <v>37</v>
      </c>
      <c r="I3" s="2" t="s">
        <v>67</v>
      </c>
      <c r="J3" s="2" t="s">
        <v>37</v>
      </c>
    </row>
    <row r="4" spans="1:11" x14ac:dyDescent="0.25">
      <c r="A4" s="2" t="s">
        <v>26</v>
      </c>
      <c r="B4" t="s">
        <v>4</v>
      </c>
      <c r="C4" t="s">
        <v>27</v>
      </c>
      <c r="E4" s="2" t="s">
        <v>26</v>
      </c>
      <c r="F4" t="s">
        <v>4</v>
      </c>
      <c r="G4" t="s">
        <v>27</v>
      </c>
      <c r="I4" s="2" t="s">
        <v>26</v>
      </c>
      <c r="J4" t="s">
        <v>4</v>
      </c>
      <c r="K4" t="s">
        <v>27</v>
      </c>
    </row>
    <row r="5" spans="1:11" x14ac:dyDescent="0.25">
      <c r="A5" s="4" t="s">
        <v>23</v>
      </c>
      <c r="B5">
        <v>12</v>
      </c>
      <c r="C5">
        <v>12</v>
      </c>
      <c r="E5" s="4" t="s">
        <v>9</v>
      </c>
      <c r="F5">
        <v>110</v>
      </c>
      <c r="G5">
        <v>110</v>
      </c>
      <c r="I5" s="4" t="s">
        <v>68</v>
      </c>
      <c r="J5">
        <v>103</v>
      </c>
      <c r="K5">
        <v>103</v>
      </c>
    </row>
    <row r="6" spans="1:11" x14ac:dyDescent="0.25">
      <c r="A6" s="4" t="s">
        <v>10</v>
      </c>
      <c r="B6">
        <v>133</v>
      </c>
      <c r="C6">
        <v>133</v>
      </c>
      <c r="E6" s="4" t="s">
        <v>4</v>
      </c>
      <c r="F6">
        <v>127</v>
      </c>
      <c r="G6">
        <v>127</v>
      </c>
      <c r="I6" s="4" t="s">
        <v>41</v>
      </c>
      <c r="J6">
        <v>34</v>
      </c>
      <c r="K6">
        <v>34</v>
      </c>
    </row>
    <row r="7" spans="1:11" x14ac:dyDescent="0.25">
      <c r="A7" s="4" t="s">
        <v>5</v>
      </c>
      <c r="B7">
        <v>92</v>
      </c>
      <c r="C7">
        <v>92</v>
      </c>
      <c r="E7" s="4" t="s">
        <v>27</v>
      </c>
      <c r="F7">
        <v>237</v>
      </c>
      <c r="G7">
        <v>237</v>
      </c>
      <c r="I7" s="4" t="s">
        <v>42</v>
      </c>
      <c r="J7">
        <v>100</v>
      </c>
      <c r="K7">
        <v>100</v>
      </c>
    </row>
    <row r="8" spans="1:11" x14ac:dyDescent="0.25">
      <c r="A8" s="4" t="s">
        <v>27</v>
      </c>
      <c r="B8">
        <v>237</v>
      </c>
      <c r="C8">
        <v>237</v>
      </c>
      <c r="I8" s="4" t="s">
        <v>27</v>
      </c>
      <c r="J8">
        <v>237</v>
      </c>
      <c r="K8">
        <v>237</v>
      </c>
    </row>
    <row r="9" spans="1:11" x14ac:dyDescent="0.25">
      <c r="A9" s="4"/>
      <c r="I9" s="4"/>
    </row>
    <row r="10" spans="1:11" x14ac:dyDescent="0.25">
      <c r="A10" s="14" t="s">
        <v>43</v>
      </c>
      <c r="B10" s="14"/>
      <c r="E10" s="14" t="s">
        <v>47</v>
      </c>
      <c r="F10" s="14"/>
    </row>
    <row r="11" spans="1:11" x14ac:dyDescent="0.25">
      <c r="A11" s="14"/>
      <c r="B11" s="14"/>
      <c r="E11" s="14"/>
      <c r="F11" s="14"/>
    </row>
    <row r="12" spans="1:11" x14ac:dyDescent="0.25">
      <c r="A12" s="2" t="s">
        <v>67</v>
      </c>
      <c r="B12" s="2" t="s">
        <v>37</v>
      </c>
      <c r="E12" s="2" t="s">
        <v>67</v>
      </c>
      <c r="F12" s="2" t="s">
        <v>37</v>
      </c>
    </row>
    <row r="13" spans="1:11" x14ac:dyDescent="0.25">
      <c r="A13" s="2" t="s">
        <v>26</v>
      </c>
      <c r="B13" t="s">
        <v>4</v>
      </c>
      <c r="C13" t="s">
        <v>27</v>
      </c>
      <c r="E13" s="2" t="s">
        <v>26</v>
      </c>
      <c r="F13" t="s">
        <v>4</v>
      </c>
      <c r="G13" t="s">
        <v>27</v>
      </c>
    </row>
    <row r="14" spans="1:11" x14ac:dyDescent="0.25">
      <c r="A14" s="4" t="s">
        <v>44</v>
      </c>
      <c r="B14">
        <v>25</v>
      </c>
      <c r="C14">
        <v>25</v>
      </c>
      <c r="E14" s="4">
        <v>1</v>
      </c>
      <c r="F14">
        <v>66</v>
      </c>
      <c r="G14">
        <v>66</v>
      </c>
    </row>
    <row r="15" spans="1:11" x14ac:dyDescent="0.25">
      <c r="A15" s="4" t="s">
        <v>45</v>
      </c>
      <c r="B15">
        <v>163</v>
      </c>
      <c r="C15">
        <v>163</v>
      </c>
      <c r="E15" s="4">
        <v>2</v>
      </c>
      <c r="F15">
        <v>46</v>
      </c>
      <c r="G15">
        <v>46</v>
      </c>
    </row>
    <row r="16" spans="1:11" x14ac:dyDescent="0.25">
      <c r="A16" s="4" t="s">
        <v>46</v>
      </c>
      <c r="B16">
        <v>49</v>
      </c>
      <c r="C16">
        <v>49</v>
      </c>
      <c r="E16" s="4">
        <v>3</v>
      </c>
      <c r="F16">
        <v>73</v>
      </c>
      <c r="G16">
        <v>73</v>
      </c>
    </row>
    <row r="17" spans="1:7" x14ac:dyDescent="0.25">
      <c r="A17" s="4" t="s">
        <v>27</v>
      </c>
      <c r="B17">
        <v>237</v>
      </c>
      <c r="C17">
        <v>237</v>
      </c>
      <c r="E17" s="4">
        <v>4</v>
      </c>
      <c r="F17">
        <v>52</v>
      </c>
      <c r="G17">
        <v>52</v>
      </c>
    </row>
    <row r="18" spans="1:7" x14ac:dyDescent="0.25">
      <c r="E18" s="4" t="s">
        <v>27</v>
      </c>
      <c r="F18">
        <v>237</v>
      </c>
      <c r="G18">
        <v>237</v>
      </c>
    </row>
  </sheetData>
  <mergeCells count="5">
    <mergeCell ref="A1:B2"/>
    <mergeCell ref="E1:F2"/>
    <mergeCell ref="I1:J2"/>
    <mergeCell ref="A10:B11"/>
    <mergeCell ref="E10:F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74097DA-413F-4478-B7AF-C2DF146FDD05}">
  <ds:schemaRefs/>
</ds:datastoreItem>
</file>

<file path=customXml/itemProps2.xml><?xml version="1.0" encoding="utf-8"?>
<ds:datastoreItem xmlns:ds="http://schemas.openxmlformats.org/officeDocument/2006/customXml" ds:itemID="{CC212EA4-5CB3-44E7-A3FD-3D0D22CADB49}">
  <ds:schemaRefs/>
</ds:datastoreItem>
</file>

<file path=customXml/itemProps3.xml><?xml version="1.0" encoding="utf-8"?>
<ds:datastoreItem xmlns:ds="http://schemas.openxmlformats.org/officeDocument/2006/customXml" ds:itemID="{FDABD4F6-F22D-4B13-91DA-C9EB45119473}">
  <ds:schemaRefs/>
</ds:datastoreItem>
</file>

<file path=customXml/itemProps4.xml><?xml version="1.0" encoding="utf-8"?>
<ds:datastoreItem xmlns:ds="http://schemas.openxmlformats.org/officeDocument/2006/customXml" ds:itemID="{36EF1094-B5BB-429E-8F32-366F80CE6C1F}">
  <ds:schemaRefs/>
</ds:datastoreItem>
</file>

<file path=customXml/itemProps5.xml><?xml version="1.0" encoding="utf-8"?>
<ds:datastoreItem xmlns:ds="http://schemas.openxmlformats.org/officeDocument/2006/customXml" ds:itemID="{CA594001-2F44-4BCA-8486-F1599B43B9E6}">
  <ds:schemaRefs/>
</ds:datastoreItem>
</file>

<file path=customXml/itemProps6.xml><?xml version="1.0" encoding="utf-8"?>
<ds:datastoreItem xmlns:ds="http://schemas.openxmlformats.org/officeDocument/2006/customXml" ds:itemID="{55D54A8A-72E3-4C8A-B7A7-9A66300B5C4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56DDE32-07A1-4FC7-A503-724E8E178DBD}">
  <ds:schemaRefs/>
</ds:datastoreItem>
</file>

<file path=customXml/itemProps8.xml><?xml version="1.0" encoding="utf-8"?>
<ds:datastoreItem xmlns:ds="http://schemas.openxmlformats.org/officeDocument/2006/customXml" ds:itemID="{2BE15AF8-4F0D-4CCE-AAC8-E29D10AACBA2}">
  <ds:schemaRefs/>
</ds:datastoreItem>
</file>

<file path=customXml/itemProps9.xml><?xml version="1.0" encoding="utf-8"?>
<ds:datastoreItem xmlns:ds="http://schemas.openxmlformats.org/officeDocument/2006/customXml" ds:itemID="{28AE4ACA-0178-426A-8E93-11BD90EFE632}">
  <ds:schemaRefs/>
</ds:datastoreItem>
</file>

<file path=customXml/itemProps10.xml><?xml version="1.0" encoding="utf-8"?>
<ds:datastoreItem xmlns:ds="http://schemas.openxmlformats.org/officeDocument/2006/customXml" ds:itemID="{33D51CD1-0EAF-42BE-9149-49C391007F25}">
  <ds:schemaRefs/>
</ds:datastoreItem>
</file>

<file path=customXml/itemProps11.xml><?xml version="1.0" encoding="utf-8"?>
<ds:datastoreItem xmlns:ds="http://schemas.openxmlformats.org/officeDocument/2006/customXml" ds:itemID="{0F890C4B-3771-43FA-BE60-F6BDE1923B03}">
  <ds:schemaRefs/>
</ds:datastoreItem>
</file>

<file path=customXml/itemProps12.xml><?xml version="1.0" encoding="utf-8"?>
<ds:datastoreItem xmlns:ds="http://schemas.openxmlformats.org/officeDocument/2006/customXml" ds:itemID="{4045154B-6573-44FF-B113-33A7648F8D8E}">
  <ds:schemaRefs/>
</ds:datastoreItem>
</file>

<file path=customXml/itemProps13.xml><?xml version="1.0" encoding="utf-8"?>
<ds:datastoreItem xmlns:ds="http://schemas.openxmlformats.org/officeDocument/2006/customXml" ds:itemID="{57A83D43-0C6D-4040-8D72-DE986F8A1835}">
  <ds:schemaRefs/>
</ds:datastoreItem>
</file>

<file path=customXml/itemProps14.xml><?xml version="1.0" encoding="utf-8"?>
<ds:datastoreItem xmlns:ds="http://schemas.openxmlformats.org/officeDocument/2006/customXml" ds:itemID="{EDD679BB-04D6-415C-A63F-E2E38F23B1B6}">
  <ds:schemaRefs/>
</ds:datastoreItem>
</file>

<file path=customXml/itemProps15.xml><?xml version="1.0" encoding="utf-8"?>
<ds:datastoreItem xmlns:ds="http://schemas.openxmlformats.org/officeDocument/2006/customXml" ds:itemID="{D6013E0D-2C7E-4975-9F82-D564C96D91A9}">
  <ds:schemaRefs/>
</ds:datastoreItem>
</file>

<file path=customXml/itemProps16.xml><?xml version="1.0" encoding="utf-8"?>
<ds:datastoreItem xmlns:ds="http://schemas.openxmlformats.org/officeDocument/2006/customXml" ds:itemID="{520EDC2A-2276-472A-BACD-111162A08934}">
  <ds:schemaRefs/>
</ds:datastoreItem>
</file>

<file path=customXml/itemProps17.xml><?xml version="1.0" encoding="utf-8"?>
<ds:datastoreItem xmlns:ds="http://schemas.openxmlformats.org/officeDocument/2006/customXml" ds:itemID="{A098F8CB-D651-4B84-B9E9-5FF07EFF98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HR_Data</vt:lpstr>
      <vt:lpstr>Data_Audit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Srivastava</dc:creator>
  <cp:lastModifiedBy>Shweta Srivastava</cp:lastModifiedBy>
  <dcterms:created xsi:type="dcterms:W3CDTF">2026-06-15T06:16:08Z</dcterms:created>
  <dcterms:modified xsi:type="dcterms:W3CDTF">2026-07-10T05:32:16Z</dcterms:modified>
</cp:coreProperties>
</file>